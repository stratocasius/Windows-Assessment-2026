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jacksonlewis-my.sharepoint.com/personal/dossr_jacksonlewis_com/Documents/Documents/Endpoint Analytics/Assessments/Adobe-Assessments-2026/"/>
    </mc:Choice>
  </mc:AlternateContent>
  <xr:revisionPtr revIDLastSave="4724" documentId="8_{BF9AD7C8-9973-4B1D-AB21-9FBCA9006C54}" xr6:coauthVersionLast="47" xr6:coauthVersionMax="47" xr10:uidLastSave="{230472CD-9C54-4A87-BAAA-D13E4267BDA9}"/>
  <bookViews>
    <workbookView xWindow="-120" yWindow="-120" windowWidth="38640" windowHeight="15720" tabRatio="343" firstSheet="1" activeTab="2" xr2:uid="{CE293654-8834-4E1F-8CFB-89743311262B}"/>
  </bookViews>
  <sheets>
    <sheet name="Definitions" sheetId="2" r:id="rId1"/>
    <sheet name="Core IT - Perfmon 2026 6hr" sheetId="1" r:id="rId2"/>
    <sheet name="Pilot Offices - Perfmon 2026 6h" sheetId="4" r:id="rId3"/>
    <sheet name="Charts" sheetId="3" r:id="rId4"/>
    <sheet name="By Office" sheetId="5" r:id="rId5"/>
  </sheets>
  <externalReferences>
    <externalReference r:id="rId6"/>
  </externalReferences>
  <definedNames>
    <definedName name="_xlnm._FilterDatabase" localSheetId="2" hidden="1">'Pilot Offices - Perfmon 2026 6h'!$F$2:$F$304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N217" i="4" l="1"/>
  <c r="EM217" i="4"/>
  <c r="EL217" i="4"/>
  <c r="EK217" i="4"/>
  <c r="EJ217" i="4"/>
  <c r="DZ217" i="4"/>
  <c r="DT217" i="4"/>
  <c r="DS217" i="4"/>
  <c r="DR217" i="4"/>
  <c r="DQ217" i="4"/>
  <c r="DP217" i="4"/>
  <c r="DO217" i="4"/>
  <c r="DN217" i="4"/>
  <c r="DM217" i="4"/>
  <c r="DL217" i="4"/>
  <c r="DK217" i="4"/>
  <c r="DJ217" i="4"/>
  <c r="DI217" i="4"/>
  <c r="DH217" i="4"/>
  <c r="DG217" i="4"/>
  <c r="DF217" i="4"/>
  <c r="DE217" i="4"/>
  <c r="DD217" i="4"/>
  <c r="DB217" i="4"/>
  <c r="DA217" i="4"/>
  <c r="CZ217" i="4"/>
  <c r="CP217" i="4"/>
  <c r="CJ217" i="4"/>
  <c r="CI217" i="4"/>
  <c r="CH217" i="4"/>
  <c r="CG217" i="4"/>
  <c r="CF217" i="4"/>
  <c r="CE217" i="4"/>
  <c r="CD217" i="4"/>
  <c r="CC217" i="4"/>
  <c r="CB217" i="4"/>
  <c r="CA217" i="4"/>
  <c r="BZ217" i="4"/>
  <c r="BY217" i="4"/>
  <c r="BX217" i="4"/>
  <c r="AX217" i="4"/>
  <c r="AV217" i="4"/>
  <c r="AN217" i="4"/>
  <c r="AI217" i="4"/>
  <c r="S217" i="4"/>
  <c r="BW54" i="4"/>
  <c r="BW217" i="4" s="1"/>
  <c r="BV54" i="4"/>
  <c r="BV217" i="4" s="1"/>
  <c r="BU54" i="4"/>
  <c r="BT54" i="4"/>
  <c r="BU217" i="4" s="1"/>
  <c r="BR54" i="4"/>
  <c r="BR217" i="4" s="1"/>
  <c r="BQ54" i="4"/>
  <c r="BQ217" i="4" s="1"/>
  <c r="BP54" i="4"/>
  <c r="BP217" i="4" s="1"/>
  <c r="BF54" i="4"/>
  <c r="BF217" i="4" s="1"/>
  <c r="AZ54" i="4"/>
  <c r="AZ217" i="4" s="1"/>
  <c r="AY54" i="4"/>
  <c r="AY217" i="4" s="1"/>
  <c r="AX54" i="4"/>
  <c r="AW54" i="4"/>
  <c r="AW217" i="4" s="1"/>
  <c r="AV54" i="4"/>
  <c r="AU54" i="4"/>
  <c r="AU217" i="4" s="1"/>
  <c r="AT54" i="4"/>
  <c r="AT217" i="4" s="1"/>
  <c r="AS54" i="4"/>
  <c r="AS217" i="4" s="1"/>
  <c r="AR54" i="4"/>
  <c r="AR217" i="4" s="1"/>
  <c r="AQ54" i="4"/>
  <c r="AQ217" i="4" s="1"/>
  <c r="AP54" i="4"/>
  <c r="AP217" i="4" s="1"/>
  <c r="AO54" i="4"/>
  <c r="AO217" i="4" s="1"/>
  <c r="AM54" i="4"/>
  <c r="AM217" i="4" s="1"/>
  <c r="AL54" i="4"/>
  <c r="AL217" i="4" s="1"/>
  <c r="AK54" i="4"/>
  <c r="AK217" i="4" s="1"/>
  <c r="AJ54" i="4"/>
  <c r="AJ217" i="4" s="1"/>
  <c r="AH54" i="4"/>
  <c r="AH217" i="4" s="1"/>
  <c r="AG54" i="4"/>
  <c r="AG217" i="4" s="1"/>
  <c r="AF54" i="4"/>
  <c r="AF217" i="4" s="1"/>
  <c r="AE54" i="4"/>
  <c r="AE217" i="4" s="1"/>
  <c r="AD54" i="4"/>
  <c r="AD217" i="4" s="1"/>
  <c r="AA54" i="4"/>
  <c r="AA217" i="4" s="1"/>
  <c r="U54" i="4"/>
  <c r="U217" i="4" s="1"/>
  <c r="R54" i="4"/>
  <c r="R217" i="4" s="1"/>
  <c r="Q54" i="4"/>
  <c r="Q217" i="4" s="1"/>
  <c r="M54" i="4"/>
  <c r="M217" i="4" s="1"/>
  <c r="L54" i="4"/>
  <c r="L217" i="4" s="1"/>
  <c r="K54" i="4"/>
  <c r="K217" i="4" s="1"/>
  <c r="EM61" i="1"/>
  <c r="EL61" i="1"/>
  <c r="EK61" i="1"/>
  <c r="EJ61" i="1"/>
  <c r="EI61" i="1"/>
  <c r="EH61" i="1"/>
  <c r="EG61" i="1"/>
  <c r="EE61" i="1"/>
  <c r="ED61" i="1"/>
  <c r="EC61" i="1"/>
  <c r="EB61" i="1"/>
  <c r="EA61" i="1"/>
  <c r="DZ61" i="1"/>
  <c r="DY61" i="1"/>
  <c r="DW61" i="1"/>
  <c r="DV61" i="1"/>
  <c r="DU61" i="1"/>
  <c r="DT61" i="1"/>
  <c r="DS61" i="1"/>
  <c r="DR61" i="1"/>
  <c r="DQ61" i="1"/>
  <c r="DP61" i="1"/>
  <c r="DO61" i="1"/>
  <c r="DN61" i="1"/>
  <c r="DM61" i="1"/>
  <c r="DL61" i="1"/>
  <c r="DK61" i="1"/>
  <c r="DJ61" i="1"/>
  <c r="DI61" i="1"/>
  <c r="DH61" i="1"/>
  <c r="DG61" i="1"/>
  <c r="DF61" i="1"/>
  <c r="DE61" i="1"/>
  <c r="DD61" i="1"/>
  <c r="DC61" i="1"/>
  <c r="DA61" i="1"/>
  <c r="CZ61" i="1"/>
  <c r="CY61" i="1"/>
  <c r="CX61" i="1"/>
  <c r="CU61" i="1"/>
  <c r="CT61" i="1"/>
  <c r="CS61" i="1"/>
  <c r="CR61" i="1"/>
  <c r="CQ61" i="1"/>
  <c r="CP61" i="1"/>
  <c r="CO61" i="1"/>
  <c r="CM61" i="1"/>
  <c r="CL61" i="1"/>
  <c r="CK61" i="1"/>
  <c r="CJ61" i="1"/>
  <c r="CI61" i="1"/>
  <c r="CH61" i="1"/>
  <c r="CG61" i="1"/>
  <c r="CF61" i="1"/>
  <c r="CE61" i="1"/>
  <c r="CD61" i="1"/>
  <c r="CC61" i="1"/>
  <c r="CB61" i="1"/>
  <c r="CA61" i="1"/>
  <c r="BZ61" i="1"/>
  <c r="BY61" i="1"/>
  <c r="BX61" i="1"/>
  <c r="BW61" i="1"/>
  <c r="BV61" i="1"/>
  <c r="BU61" i="1"/>
  <c r="BT61" i="1"/>
  <c r="BS61" i="1"/>
  <c r="BQ61" i="1"/>
  <c r="BP61" i="1"/>
  <c r="BO61" i="1"/>
  <c r="BN61" i="1"/>
  <c r="BK61" i="1"/>
  <c r="BJ61" i="1"/>
  <c r="BI61" i="1"/>
  <c r="BH61" i="1"/>
  <c r="BG61" i="1"/>
  <c r="BF61" i="1"/>
  <c r="BE61" i="1"/>
  <c r="BC61" i="1"/>
  <c r="BB61" i="1"/>
  <c r="BA61" i="1"/>
  <c r="AZ61" i="1"/>
  <c r="AY61" i="1"/>
  <c r="AX61" i="1"/>
  <c r="AW61" i="1"/>
  <c r="AV61" i="1"/>
  <c r="AU61" i="1"/>
  <c r="AT61" i="1"/>
  <c r="AS61" i="1"/>
  <c r="AR61" i="1"/>
  <c r="AQ61" i="1"/>
  <c r="AP61" i="1"/>
  <c r="AO61" i="1"/>
  <c r="AN61" i="1"/>
  <c r="AM61" i="1"/>
  <c r="AL61" i="1"/>
  <c r="AK61" i="1"/>
  <c r="AJ61" i="1"/>
  <c r="AI61" i="1"/>
  <c r="AG61" i="1"/>
  <c r="AF61" i="1"/>
  <c r="AE61" i="1"/>
  <c r="AD61" i="1"/>
  <c r="AC61" i="1"/>
  <c r="Z61" i="1"/>
  <c r="U61" i="1"/>
  <c r="T61" i="1"/>
  <c r="R61" i="1"/>
  <c r="Q61" i="1"/>
  <c r="P61" i="1"/>
  <c r="L61" i="1"/>
  <c r="BT217" i="4" l="1"/>
  <c r="J4" i="1"/>
  <c r="J61" i="1" s="1"/>
  <c r="K4" i="1"/>
  <c r="K61" i="1" s="1"/>
  <c r="L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Doss, Randy (Greenville)</author>
  </authors>
  <commentList>
    <comment ref="A4" authorId="0" shapeId="0" xr:uid="{1AC5487C-F747-4983-902D-F6258BC4EF87}">
      <text>
        <r>
          <rPr>
            <b/>
            <sz val="9"/>
            <color indexed="81"/>
            <rFont val="Tahoma"/>
            <family val="2"/>
          </rPr>
          <t>59 - EP
43 - SP
44 - AR
89 - WA</t>
        </r>
        <r>
          <rPr>
            <sz val="9"/>
            <color indexed="81"/>
            <rFont val="Tahoma"/>
            <family val="2"/>
          </rPr>
          <t xml:space="preserve">
</t>
        </r>
      </text>
    </comment>
    <comment ref="A5" authorId="0" shapeId="0" xr:uid="{A4B8D349-9DDE-41FC-B87E-D075892A8B0D}">
      <text>
        <r>
          <rPr>
            <b/>
            <sz val="9"/>
            <color indexed="81"/>
            <rFont val="Tahoma"/>
            <family val="2"/>
          </rPr>
          <t>77 - EP
42 - SP
100 -AR?
89 - WA</t>
        </r>
      </text>
    </comment>
    <comment ref="A6" authorId="0" shapeId="0" xr:uid="{C5261F0D-919F-41B6-923C-8ABE6C034A60}">
      <text>
        <r>
          <rPr>
            <b/>
            <sz val="9"/>
            <color indexed="81"/>
            <rFont val="Tahoma"/>
            <family val="2"/>
          </rPr>
          <t>78 - EP
44 - SP
100 - AR
89 - WA</t>
        </r>
      </text>
    </comment>
    <comment ref="A7" authorId="0" shapeId="0" xr:uid="{82CAC8B5-27D1-48CB-B494-B361A19ABFFE}">
      <text>
        <r>
          <rPr>
            <b/>
            <sz val="9"/>
            <color indexed="81"/>
            <rFont val="Tahoma"/>
            <family val="2"/>
          </rPr>
          <t>88
74
100
89</t>
        </r>
      </text>
    </comment>
    <comment ref="A8" authorId="0" shapeId="0" xr:uid="{3CCFB6F8-36C0-4E4B-B408-9CF673C156A9}">
      <text>
        <r>
          <rPr>
            <b/>
            <sz val="9"/>
            <color indexed="81"/>
            <rFont val="Tahoma"/>
            <family val="2"/>
          </rPr>
          <t>77
40
100
91</t>
        </r>
      </text>
    </comment>
    <comment ref="A9" authorId="0" shapeId="0" xr:uid="{38870BB4-5ECD-46AA-810D-E21C6FB01436}">
      <text>
        <r>
          <rPr>
            <b/>
            <sz val="9"/>
            <color indexed="81"/>
            <rFont val="Tahoma"/>
            <family val="2"/>
          </rPr>
          <t>85
67
100
89</t>
        </r>
      </text>
    </comment>
    <comment ref="A10" authorId="0" shapeId="0" xr:uid="{E485B461-BC1A-406B-9ADD-299CBCB50D9B}">
      <text>
        <r>
          <rPr>
            <b/>
            <sz val="9"/>
            <color indexed="81"/>
            <rFont val="Tahoma"/>
            <family val="2"/>
          </rPr>
          <t>53
41
28
89</t>
        </r>
      </text>
    </comment>
    <comment ref="A11" authorId="0" shapeId="0" xr:uid="{5E6C67EA-DA0A-4B96-A3D6-10AE92D64D24}">
      <text>
        <r>
          <rPr>
            <b/>
            <sz val="9"/>
            <color indexed="81"/>
            <rFont val="Tahoma"/>
            <family val="2"/>
          </rPr>
          <t>67
85
27
89</t>
        </r>
      </text>
    </comment>
    <comment ref="A12" authorId="0" shapeId="0" xr:uid="{2877DDF6-A4D8-4E3B-AB61-6D600C01BAFD}">
      <text>
        <r>
          <rPr>
            <b/>
            <sz val="9"/>
            <color indexed="81"/>
            <rFont val="Tahoma"/>
            <family val="2"/>
          </rPr>
          <t>73
74
56
89</t>
        </r>
      </text>
    </comment>
    <comment ref="A13" authorId="0" shapeId="0" xr:uid="{8D939764-45D4-4E1A-AA3D-A0E7F24DCF3C}">
      <text>
        <r>
          <rPr>
            <b/>
            <sz val="9"/>
            <color indexed="81"/>
            <rFont val="Tahoma"/>
            <family val="2"/>
          </rPr>
          <t>62
62
36
89</t>
        </r>
      </text>
    </comment>
    <comment ref="A14" authorId="0" shapeId="0" xr:uid="{BA01801B-0984-458B-8169-0B55E5052752}">
      <text>
        <r>
          <rPr>
            <b/>
            <sz val="9"/>
            <color indexed="81"/>
            <rFont val="Tahoma"/>
            <family val="2"/>
          </rPr>
          <t>95
--
100
89</t>
        </r>
      </text>
    </comment>
    <comment ref="A15" authorId="0" shapeId="0" xr:uid="{350F91F4-17BD-4509-9842-31FA5878D9CD}">
      <text>
        <r>
          <rPr>
            <b/>
            <sz val="9"/>
            <color indexed="81"/>
            <rFont val="Tahoma"/>
            <family val="2"/>
          </rPr>
          <t>75
100
36
89</t>
        </r>
      </text>
    </comment>
    <comment ref="A16" authorId="0" shapeId="0" xr:uid="{6D2BE9F3-E093-4C03-90D3-2B48AAD9BB89}">
      <text>
        <r>
          <rPr>
            <b/>
            <sz val="9"/>
            <color indexed="81"/>
            <rFont val="Tahoma"/>
            <family val="2"/>
          </rPr>
          <t>70
68
52
89</t>
        </r>
      </text>
    </comment>
    <comment ref="A17" authorId="0" shapeId="0" xr:uid="{6FEC44FB-3642-436A-8F7D-95DB1B341D8D}">
      <text>
        <r>
          <rPr>
            <b/>
            <sz val="9"/>
            <color indexed="81"/>
            <rFont val="Tahoma"/>
            <family val="2"/>
          </rPr>
          <t>66
89
19
89</t>
        </r>
      </text>
    </comment>
    <comment ref="A18" authorId="0" shapeId="0" xr:uid="{F963770D-613A-40C6-BACF-9B5EC968C0B4}">
      <text>
        <r>
          <rPr>
            <b/>
            <sz val="9"/>
            <color indexed="81"/>
            <rFont val="Tahoma"/>
            <family val="2"/>
          </rPr>
          <t>80
100
50
89</t>
        </r>
      </text>
    </comment>
    <comment ref="A19" authorId="0" shapeId="0" xr:uid="{B98F29C0-2610-4A28-8CF7-E4CF38D85C13}">
      <text>
        <r>
          <rPr>
            <b/>
            <sz val="9"/>
            <color indexed="81"/>
            <rFont val="Tahoma"/>
            <family val="2"/>
          </rPr>
          <t>75
37
100
89</t>
        </r>
      </text>
    </comment>
    <comment ref="A20" authorId="0" shapeId="0" xr:uid="{845239D1-30DC-414B-AE3B-12E5C27DCACE}">
      <text>
        <r>
          <rPr>
            <b/>
            <sz val="9"/>
            <color indexed="81"/>
            <rFont val="Tahoma"/>
            <family val="2"/>
          </rPr>
          <t>96
100
100
89</t>
        </r>
      </text>
    </comment>
    <comment ref="A21" authorId="0" shapeId="0" xr:uid="{91A42C49-2776-4178-8780-AEE323B2FC89}">
      <text>
        <r>
          <rPr>
            <b/>
            <sz val="9"/>
            <color indexed="81"/>
            <rFont val="Tahoma"/>
            <family val="2"/>
          </rPr>
          <t>74
100
28
9</t>
        </r>
      </text>
    </comment>
    <comment ref="A22" authorId="0" shapeId="0" xr:uid="{4BC491B1-EFCD-4D8D-931E-A76819237A68}">
      <text>
        <r>
          <rPr>
            <b/>
            <sz val="9"/>
            <color indexed="81"/>
            <rFont val="Tahoma"/>
            <family val="2"/>
          </rPr>
          <t>89
73
100
94</t>
        </r>
      </text>
    </comment>
    <comment ref="A23" authorId="0" shapeId="0" xr:uid="{F23ECFBB-988A-42EB-BB0A-6749D2A08DBF}">
      <text>
        <r>
          <rPr>
            <b/>
            <sz val="9"/>
            <color indexed="81"/>
            <rFont val="Tahoma"/>
            <family val="2"/>
          </rPr>
          <t>59
21
61
9</t>
        </r>
      </text>
    </comment>
    <comment ref="A24" authorId="0" shapeId="0" xr:uid="{CE926B83-145A-4554-B809-D2D524CB70D1}">
      <text>
        <r>
          <rPr>
            <b/>
            <sz val="9"/>
            <color indexed="81"/>
            <rFont val="Tahoma"/>
            <family val="2"/>
          </rPr>
          <t>86
63
100
94</t>
        </r>
      </text>
    </comment>
    <comment ref="A25" authorId="0" shapeId="0" xr:uid="{B528F710-505F-45DE-A566-19955A9A56B1}">
      <text>
        <r>
          <rPr>
            <b/>
            <sz val="9"/>
            <color indexed="81"/>
            <rFont val="Tahoma"/>
            <family val="2"/>
          </rPr>
          <t>60
28
57
94</t>
        </r>
      </text>
    </comment>
    <comment ref="A26" authorId="0" shapeId="0" xr:uid="{BA21631E-5E6F-4C6D-9AB6-AFAE590BFE48}">
      <text>
        <r>
          <rPr>
            <b/>
            <sz val="9"/>
            <color indexed="81"/>
            <rFont val="Tahoma"/>
            <family val="2"/>
          </rPr>
          <t>57
20
59
94</t>
        </r>
      </text>
    </comment>
    <comment ref="A27" authorId="0" shapeId="0" xr:uid="{6DF038CE-2A2F-4DCE-A1F2-2FEECE885366}">
      <text>
        <r>
          <rPr>
            <b/>
            <sz val="9"/>
            <color indexed="81"/>
            <rFont val="Tahoma"/>
            <family val="2"/>
          </rPr>
          <t>90
75
100
94</t>
        </r>
      </text>
    </comment>
    <comment ref="A28" authorId="0" shapeId="0" xr:uid="{D6D91CB3-21D1-43AE-A2D8-C676DC69B78A}">
      <text>
        <r>
          <rPr>
            <b/>
            <sz val="9"/>
            <color indexed="81"/>
            <rFont val="Tahoma"/>
            <family val="2"/>
          </rPr>
          <t>53
34
37
88</t>
        </r>
      </text>
    </comment>
    <comment ref="A29" authorId="0" shapeId="0" xr:uid="{130BC805-9116-474A-BC5F-9F2FC848D0C7}">
      <text>
        <r>
          <rPr>
            <b/>
            <sz val="9"/>
            <color indexed="81"/>
            <rFont val="Tahoma"/>
            <family val="2"/>
          </rPr>
          <t>76
39
100
89</t>
        </r>
      </text>
    </comment>
    <comment ref="A30" authorId="0" shapeId="0" xr:uid="{AE770F4B-3687-4E81-94E2-E4F1FF57D1BC}">
      <text>
        <r>
          <rPr>
            <b/>
            <sz val="9"/>
            <color indexed="81"/>
            <rFont val="Tahoma"/>
            <family val="2"/>
          </rPr>
          <t>62
48
44
94</t>
        </r>
      </text>
    </comment>
    <comment ref="A31" authorId="0" shapeId="0" xr:uid="{C13F04FC-FDAD-4DC5-82ED-E8746843C32D}">
      <text>
        <r>
          <rPr>
            <sz val="9"/>
            <color indexed="81"/>
            <rFont val="Tahoma"/>
            <family val="2"/>
          </rPr>
          <t>87
67
100
94</t>
        </r>
      </text>
    </comment>
    <comment ref="A32" authorId="0" shapeId="0" xr:uid="{EDE800DE-270C-41A4-A0E7-1C3784BD0593}">
      <text>
        <r>
          <rPr>
            <b/>
            <sz val="9"/>
            <color indexed="81"/>
            <rFont val="Tahoma"/>
            <family val="2"/>
          </rPr>
          <t>71
24
100
89</t>
        </r>
      </text>
    </comment>
    <comment ref="A33" authorId="0" shapeId="0" xr:uid="{9D80A8B5-C011-4408-9672-7FC81512CCF9}">
      <text>
        <r>
          <rPr>
            <b/>
            <sz val="9"/>
            <color indexed="81"/>
            <rFont val="Tahoma"/>
            <family val="2"/>
          </rPr>
          <t>59
50
34
94</t>
        </r>
      </text>
    </comment>
    <comment ref="A34" authorId="0" shapeId="0" xr:uid="{8D8178E3-92DD-4BDD-895E-2E2A528FF213}">
      <text>
        <r>
          <rPr>
            <b/>
            <sz val="9"/>
            <color indexed="81"/>
            <rFont val="Tahoma"/>
            <family val="2"/>
          </rPr>
          <t>54
29
40
94</t>
        </r>
      </text>
    </comment>
    <comment ref="A35" authorId="0" shapeId="0" xr:uid="{A3FFEAFD-3050-4A89-BDE9-F852CBF4F501}">
      <text>
        <r>
          <rPr>
            <b/>
            <sz val="9"/>
            <color indexed="81"/>
            <rFont val="Tahoma"/>
            <family val="2"/>
          </rPr>
          <t>65
44
58
94</t>
        </r>
      </text>
    </comment>
    <comment ref="A36" authorId="0" shapeId="0" xr:uid="{48807615-DCF0-4F43-8BAE-ADAA28532B14}">
      <text>
        <r>
          <rPr>
            <b/>
            <sz val="9"/>
            <color indexed="81"/>
            <rFont val="Tahoma"/>
            <family val="2"/>
          </rPr>
          <t>75
30
100
94</t>
        </r>
      </text>
    </comment>
    <comment ref="A37" authorId="0" shapeId="0" xr:uid="{036C1DDA-9839-4EB8-9C05-A13204C2D41F}">
      <text>
        <r>
          <rPr>
            <b/>
            <sz val="9"/>
            <color indexed="81"/>
            <rFont val="Tahoma"/>
            <family val="2"/>
          </rPr>
          <t>97
--
100
94</t>
        </r>
      </text>
    </comment>
    <comment ref="A38" authorId="0" shapeId="0" xr:uid="{E7E3F285-588E-4026-8FD5-0ADAEFD71BB4}">
      <text>
        <r>
          <rPr>
            <b/>
            <sz val="9"/>
            <color indexed="81"/>
            <rFont val="Tahoma"/>
            <family val="2"/>
          </rPr>
          <t>75
38
100
88</t>
        </r>
      </text>
    </comment>
    <comment ref="A39" authorId="0" shapeId="0" xr:uid="{D29616E3-89F5-4132-A494-54C6EA0E2B9D}">
      <text>
        <r>
          <rPr>
            <b/>
            <sz val="9"/>
            <color indexed="81"/>
            <rFont val="Tahoma"/>
            <family val="2"/>
          </rPr>
          <t>84
64
93
94</t>
        </r>
      </text>
    </comment>
    <comment ref="A40" authorId="0" shapeId="0" xr:uid="{198284B8-564F-4ACF-91F5-C627EECA29E3}">
      <text>
        <r>
          <rPr>
            <b/>
            <sz val="9"/>
            <color indexed="81"/>
            <rFont val="Tahoma"/>
            <family val="2"/>
          </rPr>
          <t>70
49
68
94</t>
        </r>
      </text>
    </comment>
    <comment ref="A41" authorId="0" shapeId="0" xr:uid="{D1ED75AA-CC5B-4F87-B3FD-DEDE652A4581}">
      <text>
        <r>
          <rPr>
            <b/>
            <sz val="9"/>
            <color indexed="81"/>
            <rFont val="Tahoma"/>
            <family val="2"/>
          </rPr>
          <t>84
65
100
88</t>
        </r>
      </text>
    </comment>
    <comment ref="A42" authorId="0" shapeId="0" xr:uid="{34DAD836-4E86-416D-B0A9-819708AF4311}">
      <text>
        <r>
          <rPr>
            <b/>
            <sz val="9"/>
            <color indexed="81"/>
            <rFont val="Tahoma"/>
            <family val="2"/>
          </rPr>
          <t>65
46
60
89</t>
        </r>
      </text>
    </comment>
    <comment ref="A43" authorId="0" shapeId="0" xr:uid="{BBD96BB5-3604-485D-9FC7-A97ACEB47B4D}">
      <text>
        <r>
          <rPr>
            <sz val="9"/>
            <color indexed="81"/>
            <rFont val="Tahoma"/>
            <family val="2"/>
          </rPr>
          <t xml:space="preserve">76
71
63
94
</t>
        </r>
      </text>
    </comment>
    <comment ref="A44" authorId="0" shapeId="0" xr:uid="{FBA693AB-09A6-4CAC-944A-C8BF2B559302}">
      <text>
        <r>
          <rPr>
            <b/>
            <sz val="9"/>
            <color indexed="81"/>
            <rFont val="Tahoma"/>
            <family val="2"/>
          </rPr>
          <t>78
47
94
94</t>
        </r>
      </text>
    </comment>
    <comment ref="A45" authorId="0" shapeId="0" xr:uid="{F346872C-51BB-4F13-806D-1EC72AD0A334}">
      <text>
        <r>
          <rPr>
            <b/>
            <sz val="9"/>
            <color indexed="81"/>
            <rFont val="Tahoma"/>
            <family val="2"/>
          </rPr>
          <t>69
71
43
94</t>
        </r>
      </text>
    </comment>
    <comment ref="A46" authorId="0" shapeId="0" xr:uid="{C32F70D2-CE8E-42DD-AAA4-07469C34F8EC}">
      <text>
        <r>
          <rPr>
            <b/>
            <sz val="9"/>
            <color indexed="81"/>
            <rFont val="Tahoma"/>
            <family val="2"/>
          </rPr>
          <t>63
30
74
83</t>
        </r>
      </text>
    </comment>
    <comment ref="A47" authorId="0" shapeId="0" xr:uid="{C24314C1-A3AD-4659-A274-03E4538C7AFA}">
      <text>
        <r>
          <rPr>
            <b/>
            <sz val="9"/>
            <color indexed="81"/>
            <rFont val="Tahoma"/>
            <family val="2"/>
          </rPr>
          <t>77
42
100
88</t>
        </r>
      </text>
    </comment>
    <comment ref="A48" authorId="0" shapeId="0" xr:uid="{57042277-EF32-419D-BB1F-B9AF177F3307}">
      <text>
        <r>
          <rPr>
            <b/>
            <sz val="9"/>
            <color indexed="81"/>
            <rFont val="Tahoma"/>
            <family val="2"/>
          </rPr>
          <t>68
63
54
88</t>
        </r>
      </text>
    </comment>
    <comment ref="A49" authorId="0" shapeId="0" xr:uid="{EB0BE6CB-223B-4650-8604-19BEACBDA946}">
      <text>
        <r>
          <rPr>
            <b/>
            <sz val="9"/>
            <color indexed="81"/>
            <rFont val="Tahoma"/>
            <family val="2"/>
          </rPr>
          <t>76
36
100
91</t>
        </r>
      </text>
    </comment>
    <comment ref="A50" authorId="0" shapeId="0" xr:uid="{4B3E9D5D-7242-4453-AE78-B864340C6A64}">
      <text>
        <r>
          <rPr>
            <b/>
            <sz val="9"/>
            <color indexed="81"/>
            <rFont val="Tahoma"/>
            <family val="2"/>
          </rPr>
          <t>69
63
52
91</t>
        </r>
      </text>
    </comment>
    <comment ref="A51" authorId="0" shapeId="0" xr:uid="{249F20CB-D902-4F61-BD09-CD3364C337E3}">
      <text>
        <r>
          <rPr>
            <b/>
            <sz val="9"/>
            <color indexed="81"/>
            <rFont val="Tahoma"/>
            <family val="2"/>
          </rPr>
          <t>51
24
41
88</t>
        </r>
      </text>
    </comment>
    <comment ref="A52" authorId="0" shapeId="0" xr:uid="{5E75F873-00A1-4F99-8603-9EDDDF498369}">
      <text>
        <r>
          <rPr>
            <b/>
            <sz val="9"/>
            <color indexed="81"/>
            <rFont val="Tahoma"/>
            <family val="2"/>
          </rPr>
          <t xml:space="preserve">
88
75
100
91
--</t>
        </r>
      </text>
    </comment>
    <comment ref="A53" authorId="0" shapeId="0" xr:uid="{446B13C2-89FE-4611-A281-479D65F3AE73}">
      <text>
        <r>
          <rPr>
            <b/>
            <sz val="9"/>
            <color indexed="81"/>
            <rFont val="Tahoma"/>
            <family val="2"/>
          </rPr>
          <t>Doss, Randy (Greenville):</t>
        </r>
        <r>
          <rPr>
            <sz val="9"/>
            <color indexed="81"/>
            <rFont val="Tahoma"/>
            <family val="2"/>
          </rPr>
          <t xml:space="preserve">
</t>
        </r>
      </text>
    </comment>
    <comment ref="A54" authorId="0" shapeId="0" xr:uid="{EC5E7E9C-20CF-4D66-B2E4-02A27845016A}">
      <text>
        <r>
          <rPr>
            <b/>
            <sz val="9"/>
            <color indexed="81"/>
            <rFont val="Tahoma"/>
            <family val="2"/>
          </rPr>
          <t>80
77
72
91</t>
        </r>
      </text>
    </comment>
    <comment ref="A55" authorId="0" shapeId="0" xr:uid="{78015CBF-B983-4908-833C-C940CCF11D79}">
      <text>
        <r>
          <rPr>
            <b/>
            <sz val="9"/>
            <color indexed="81"/>
            <rFont val="Tahoma"/>
            <family val="2"/>
          </rPr>
          <t>61
48
51
83</t>
        </r>
      </text>
    </comment>
    <comment ref="A56" authorId="0" shapeId="0" xr:uid="{45537509-7F2B-480C-8CB2-53EFA3B623D8}">
      <text>
        <r>
          <rPr>
            <b/>
            <sz val="9"/>
            <color indexed="81"/>
            <rFont val="Tahoma"/>
            <family val="2"/>
          </rPr>
          <t>70
100
28
83</t>
        </r>
      </text>
    </comment>
    <comment ref="A57" authorId="0" shapeId="0" xr:uid="{59FD5E89-5CAD-41D5-B858-1DEEAD02E30B}">
      <text>
        <r>
          <rPr>
            <b/>
            <sz val="9"/>
            <color indexed="81"/>
            <rFont val="Tahoma"/>
            <family val="2"/>
          </rPr>
          <t>88
81
100
83</t>
        </r>
      </text>
    </comment>
    <comment ref="A58" authorId="0" shapeId="0" xr:uid="{DCDE8A19-815B-465F-A8B5-D97E0E3A6FC5}">
      <text>
        <r>
          <rPr>
            <b/>
            <sz val="9"/>
            <color indexed="81"/>
            <rFont val="Tahoma"/>
            <family val="2"/>
          </rPr>
          <t>60
40
57
83</t>
        </r>
      </text>
    </comment>
    <comment ref="A59" authorId="0" shapeId="0" xr:uid="{BAC4C384-3BDE-4BE4-99E6-69FCBAD415A9}">
      <text>
        <r>
          <rPr>
            <b/>
            <sz val="9"/>
            <color indexed="81"/>
            <rFont val="Tahoma"/>
            <family val="2"/>
          </rPr>
          <t>74
38
100
83</t>
        </r>
      </text>
    </comment>
    <comment ref="A60" authorId="0" shapeId="0" xr:uid="{F681431D-FC55-4120-A490-5949D2E72B1F}">
      <text>
        <r>
          <rPr>
            <b/>
            <sz val="9"/>
            <color indexed="81"/>
            <rFont val="Tahoma"/>
            <family val="2"/>
          </rPr>
          <t>86
74
100
83</t>
        </r>
      </text>
    </comment>
    <comment ref="A190" authorId="0" shapeId="0" xr:uid="{10F522E1-3FB1-40A1-818F-A8752F1137F7}">
      <text>
        <r>
          <rPr>
            <sz val="9"/>
            <color indexed="81"/>
            <rFont val="Tahoma"/>
            <family val="2"/>
          </rPr>
          <t>45 - Endpoint
23 - Startup
29 - App Reliability
83 - Work Anywhere</t>
        </r>
      </text>
    </comment>
    <comment ref="A191" authorId="0" shapeId="0" xr:uid="{B8060D88-7F7E-4C87-83AE-44673F4D48FC}">
      <text>
        <r>
          <rPr>
            <sz val="9"/>
            <color indexed="81"/>
            <rFont val="Tahoma"/>
            <family val="2"/>
          </rPr>
          <t xml:space="preserve">45- Endpoint
24- Startup
28- App Reliability
83 - Work Anywhere
</t>
        </r>
      </text>
    </comment>
    <comment ref="A192" authorId="0" shapeId="0" xr:uid="{49CC4206-485E-46AD-B50B-C8B9FF6D8D2D}">
      <text>
        <r>
          <rPr>
            <b/>
            <sz val="9"/>
            <color indexed="81"/>
            <rFont val="Tahoma"/>
            <family val="2"/>
          </rPr>
          <t>47 - Endpoint
23 - Startup
27 - AppReliability
91 - Work Anywhere</t>
        </r>
      </text>
    </comment>
    <comment ref="A193" authorId="0" shapeId="0" xr:uid="{B103FE01-A8FD-47A9-AD97-79A6E42AC5E1}">
      <text>
        <r>
          <rPr>
            <sz val="9"/>
            <color indexed="81"/>
            <rFont val="Tahoma"/>
            <family val="2"/>
          </rPr>
          <t xml:space="preserve">47 - Endpoint
18 - Startup
37 - AppReliability
86 - Work Anywhere
</t>
        </r>
      </text>
    </comment>
    <comment ref="A194" authorId="0" shapeId="0" xr:uid="{BDE7BFF1-50C1-4D31-A43C-0628C77448B5}">
      <text>
        <r>
          <rPr>
            <b/>
            <sz val="9"/>
            <color indexed="81"/>
            <rFont val="Tahoma"/>
            <family val="2"/>
          </rPr>
          <t>48 - Endpoint
23 - Startup
27 - App Reliability
94 - Work Anywhere</t>
        </r>
      </text>
    </comment>
    <comment ref="A195" authorId="0" shapeId="0" xr:uid="{4218CC8D-879F-4051-9C70-DFCDEC11ED5F}">
      <text>
        <r>
          <rPr>
            <b/>
            <sz val="9"/>
            <color indexed="81"/>
            <rFont val="Tahoma"/>
            <family val="2"/>
          </rPr>
          <t>48
21
29
94</t>
        </r>
      </text>
    </comment>
    <comment ref="A196" authorId="0" shapeId="0" xr:uid="{11B8B1BC-5B1C-424F-A607-F4EE7909C4DD}">
      <text>
        <r>
          <rPr>
            <b/>
            <sz val="9"/>
            <color indexed="81"/>
            <rFont val="Tahoma"/>
            <family val="2"/>
          </rPr>
          <t>48
24
32
89</t>
        </r>
      </text>
    </comment>
    <comment ref="A197" authorId="0" shapeId="0" xr:uid="{67C6BC6B-1839-4D8D-A87B-AD253ECAE9F3}">
      <text>
        <r>
          <rPr>
            <b/>
            <sz val="9"/>
            <color indexed="81"/>
            <rFont val="Tahoma"/>
            <family val="2"/>
          </rPr>
          <t>49
23
35
89</t>
        </r>
      </text>
    </comment>
    <comment ref="A198" authorId="0" shapeId="0" xr:uid="{A8C1FEB2-E236-4BED-9BE6-8A23E8CFE0EC}">
      <text>
        <r>
          <rPr>
            <b/>
            <sz val="9"/>
            <color indexed="81"/>
            <rFont val="Tahoma"/>
            <family val="2"/>
          </rPr>
          <t>49
24
34
89</t>
        </r>
      </text>
    </comment>
    <comment ref="A199" authorId="0" shapeId="0" xr:uid="{7F86A9F6-CA4B-4E5C-ACE7-EBBBEEA065A1}">
      <text>
        <r>
          <rPr>
            <b/>
            <sz val="9"/>
            <color indexed="81"/>
            <rFont val="Tahoma"/>
            <family val="2"/>
          </rPr>
          <t>50
23
37
89</t>
        </r>
        <r>
          <rPr>
            <sz val="9"/>
            <color indexed="81"/>
            <rFont val="Tahoma"/>
            <family val="2"/>
          </rPr>
          <t xml:space="preserve">
</t>
        </r>
      </text>
    </comment>
    <comment ref="A200" authorId="0" shapeId="0" xr:uid="{C704555D-15B8-45D2-B4B9-23B5A829B2B0}">
      <text>
        <r>
          <rPr>
            <b/>
            <sz val="9"/>
            <color indexed="81"/>
            <rFont val="Tahoma"/>
            <family val="2"/>
          </rPr>
          <t>49
22
39
86</t>
        </r>
      </text>
    </comment>
    <comment ref="A201" authorId="0" shapeId="0" xr:uid="{A7464281-D790-4B24-9A6C-CF8BD927C6A9}">
      <text>
        <r>
          <rPr>
            <b/>
            <sz val="9"/>
            <color indexed="81"/>
            <rFont val="Tahoma"/>
            <family val="2"/>
          </rPr>
          <t>49
21
39
88</t>
        </r>
      </text>
    </comment>
  </commentList>
</comments>
</file>

<file path=xl/sharedStrings.xml><?xml version="1.0" encoding="utf-8"?>
<sst xmlns="http://schemas.openxmlformats.org/spreadsheetml/2006/main" count="3166" uniqueCount="965">
  <si>
    <t>PerfMon Counters to add for Hardware  monitoring</t>
  </si>
  <si>
    <t>[Processor] "% Processor time"</t>
  </si>
  <si>
    <t>% Processor Time is the percentage of elapsed time that the processor spends to execute a non-Idle thread. It is calculated by measuring the percentage of time that the processor spends executing the idle thread and then subtracting that value from 100%. (Each processor has an idle thread that consumes cycles when no other threads are ready to run). This counter is the primary indicator of processor activity, and displays the average percentage of busy time observed during the sample interval.</t>
  </si>
  <si>
    <t>[Processor] "% Privileged time"</t>
  </si>
  <si>
    <t>% Privileged Time : This performance counter indicates the percentage of time that applications spend in executing system calls in kernel (or privileged) mode, such as drivers, I/O request packets (IRPs), and context switching.</t>
  </si>
  <si>
    <t>[Processor] "% User time"</t>
  </si>
  <si>
    <t>elapsed time the processor spent executing in user mode.</t>
  </si>
  <si>
    <t>[Physical Disk] "Current Disk Queue Length" &amp; "Avg. Disk Queue Length"</t>
  </si>
  <si>
    <t>a direct measurement of the disk queue length at the time it is sampled so in most cases it is better to monitor "Avg. Disk Queue Length" as this value is derived using the (Disk Transfers/sec)*(Disk sec/Transfer) counters.</t>
  </si>
  <si>
    <t>[Physical Disk] "% Idle Time"</t>
  </si>
  <si>
    <t>percentage of time that the disk was idle. ie. there are no pending disk requests from the operating system waiting to be completed.</t>
  </si>
  <si>
    <t>[Physical Disk] "Avg. Disk sec/Read" &amp; "Avg. Disk sec/Write"</t>
  </si>
  <si>
    <t>average time it takes for a disk transfer to complete.  Although this value is displayed in seconds it is actually accurate down to milliseconds</t>
  </si>
  <si>
    <t>[Physical Disk] "Disk Reads/sec" &amp; "Disk Writes/sec"</t>
  </si>
  <si>
    <t>measure the total number of IO requests completed per second.</t>
  </si>
  <si>
    <t>[Memory] "Available MBs"</t>
  </si>
  <si>
    <t>total amount of available memory on the system.</t>
  </si>
  <si>
    <t>[Memory] "Pages/sec" </t>
  </si>
  <si>
    <t>actually the sum of "Pages Input/sec" and "Pages Output/sec" counters which is the rate at which pages are being read and written as a result of pages faults.  Small spikes with this value do not mean there is an issue but sustained values of greater than 50 can mean that system memory is a bottleneck.</t>
  </si>
  <si>
    <t>[Memory] "Page Faults/sec"</t>
  </si>
  <si>
    <t>An exception raised by the memory management unit that happens when a process needs to access data within its address space, it fails to load in the physical memory.</t>
  </si>
  <si>
    <t>[Memory] "Paging File(_Total)\% Usage"</t>
  </si>
  <si>
    <t>percentage of the system page file that is currently in use.</t>
  </si>
  <si>
    <t>[Memory] "Private Bytes/sec"</t>
  </si>
  <si>
    <t>The Private Bytes counter indicates the total amount of memory that a process has allocated, not including memory shared with other processes. Only reserved for related process.</t>
  </si>
  <si>
    <t>[Network interface] "Bytes total/sec"</t>
  </si>
  <si>
    <t>measures the number of bytes being transferred through your network adaptor.  You want to make sure that your network adaptor can handle the amount of traffic flowing in and out of your server and ideally you would not want to see this value go over 75%</t>
  </si>
  <si>
    <t>[Thermal Zone] "High Precision Temp"</t>
  </si>
  <si>
    <t>Device - User (Role)</t>
  </si>
  <si>
    <t>Office</t>
  </si>
  <si>
    <t>Device</t>
  </si>
  <si>
    <t>SLT4</t>
  </si>
  <si>
    <t>RAM</t>
  </si>
  <si>
    <t xml:space="preserve">Disk </t>
  </si>
  <si>
    <t>CPU</t>
  </si>
  <si>
    <t>System\Processor Queue Length: Number of threads waiting for CPU (should be under 2 times the number of cores).</t>
  </si>
  <si>
    <t>PhysicalDisk\Avg. Disk Queue Length: Measures I/O congestion; values over 2 per disk indicate a bottleneck.</t>
  </si>
  <si>
    <t>PhysicalDisk\Avg. Disk sec/Read &amp; Write: Shows latency. Values over 20-25ms indicate slow storage.</t>
  </si>
  <si>
    <t>PhysicalDisk\% Idle Time: The best metric for overall disk health; should not be consistently low.</t>
  </si>
  <si>
    <t>Memory\% Committed Bytes in Use: Shows how much RAM + Pagefile is being used; a trend upward indicates a memory leak.</t>
  </si>
  <si>
    <t>System\Context Switches/sec: High values (e.g., &gt;10,000 per sec per core) might indicate excessive thread switching.</t>
  </si>
  <si>
    <t>Processor(_Total)\% Privileged Time</t>
  </si>
  <si>
    <t>Processor(_Total)\% Processor Time</t>
  </si>
  <si>
    <t>Processor(_Total)\% User Time</t>
  </si>
  <si>
    <t>BigHand?</t>
  </si>
  <si>
    <t>BK36XC725393PJ</t>
  </si>
  <si>
    <t>NOC</t>
  </si>
  <si>
    <t>SLT6</t>
  </si>
  <si>
    <t>SLT5</t>
  </si>
  <si>
    <t>USER</t>
  </si>
  <si>
    <t>Role</t>
  </si>
  <si>
    <t>IT</t>
  </si>
  <si>
    <t>\\Memory\Available MBytes</t>
  </si>
  <si>
    <t>\\Memory\Page Faults/sec</t>
  </si>
  <si>
    <t>\\Memory\Pages/sec</t>
  </si>
  <si>
    <t>\\Network Adapter(WAN Miniport [Network Monitor])\Bytes Total/sec</t>
  </si>
  <si>
    <t>\\Network Adapter(WAN Miniport [IP])\Bytes Total/sec</t>
  </si>
  <si>
    <t>\\Network Adapter(WAN Miniport [IPv6])\Bytes Total/sec</t>
  </si>
  <si>
    <t>\\Network Adapter(Teredo Tunneling Pseudo-Interface)\Bytes Total/sec</t>
  </si>
  <si>
    <t>\\Network Adapter(PANGP Virtual Ethernet Adapter Secure)\Bytes Total/sec</t>
  </si>
  <si>
    <t>\\Network Adapter(Microsoft IP-HTTPS Platform Interface)\Bytes Total/sec</t>
  </si>
  <si>
    <t>\\Network Adapter(Microsoft Hyper-V Network Adapter)\Bytes Total/sec</t>
  </si>
  <si>
    <t>\\Network Adapter(Local Area Connection* 6)\Bytes Total/sec</t>
  </si>
  <si>
    <t>\\Network Adapter(Local Area Connection* 5)\Bytes Total/sec</t>
  </si>
  <si>
    <t>\\Network Adapter(Local Area Connection* 4)\Bytes Total/sec</t>
  </si>
  <si>
    <t>\\Network Adapter(Local Area Connection* 3)\Bytes Total/sec</t>
  </si>
  <si>
    <t>\\Network Adapter(Intel[R] Wi-Fi 6 AX201 160MHz)\Bytes Total/sec</t>
  </si>
  <si>
    <t>\\Network Adapter(Bluetooth Device [Personal Area Network])\Bytes Total/sec</t>
  </si>
  <si>
    <t>\\Network Adapter(6to4 Adapter)\Bytes Total/sec</t>
  </si>
  <si>
    <t>\\Thermal Zone Information(\_SB._SAN.TZ01)\High Precision Temperature</t>
  </si>
  <si>
    <t>\\Thermal Zone Information(\_SB._SAN.TZ01)\Temperature</t>
  </si>
  <si>
    <t>DISC I/O</t>
  </si>
  <si>
    <t>Avg. Disk Bytes/Read</t>
  </si>
  <si>
    <t>Avg. Disk Bytes/Write</t>
  </si>
  <si>
    <t>Avg. Disk Bytes\% Idle Time</t>
  </si>
  <si>
    <t>(POWERPNT)\% Processor Time</t>
  </si>
  <si>
    <t>(PowerPDF)\% Processor Time</t>
  </si>
  <si>
    <t>(PANGPS)\% Processor Time</t>
  </si>
  <si>
    <t>(PAD.Console.Host)\% Processor Time</t>
  </si>
  <si>
    <t>(OUTLOOK)\% Processor Time</t>
  </si>
  <si>
    <t>(OneDrive)\% Processor Time</t>
  </si>
  <si>
    <t>(NetDocuments.ndMail.Application)\% Processor Time</t>
  </si>
  <si>
    <t>(ndOffice)\% Processor Time</t>
  </si>
  <si>
    <t>(MsMpEng)\% Processor Time</t>
  </si>
  <si>
    <t>(msedgewebview2)\% Processor Time</t>
  </si>
  <si>
    <t>(msedge)\% Processor Time</t>
  </si>
  <si>
    <t>(ms-teams)\% Processor Time</t>
  </si>
  <si>
    <t>(M365Copilot)\% Processor Time</t>
  </si>
  <si>
    <t>(jabra-direct)\% Processor Time</t>
  </si>
  <si>
    <t>(ir_agent)\% Processor Time</t>
  </si>
  <si>
    <t>(EXCEL)\% Processor Time</t>
  </si>
  <si>
    <t>(Creative Cloud UI Helper)\% Processor Time</t>
  </si>
  <si>
    <t>(Creative Cloud Helper)\% Processor Time</t>
  </si>
  <si>
    <t>(Creative Cloud)\% Processor Time</t>
  </si>
  <si>
    <t>(CoreSync)\% Processor Time</t>
  </si>
  <si>
    <t>(Copilot.exe)\% Processor Time</t>
  </si>
  <si>
    <t>(Chrome)\% Processor Time</t>
  </si>
  <si>
    <t>(CCXProcess)\% Processor Time</t>
  </si>
  <si>
    <t>(CCLibrary)\% Processor Time</t>
  </si>
  <si>
    <t>(AdobeUpdateService)\% Processor Time</t>
  </si>
  <si>
    <t>(AdobeNotificationClient)\% Processor Time</t>
  </si>
  <si>
    <t>(AdobeIPCBroker)\% Processor Time</t>
  </si>
  <si>
    <t>(AdobeCollabSync)\% Processor Time</t>
  </si>
  <si>
    <t>(Adobe Deskop Service)\% Processor Time</t>
  </si>
  <si>
    <t>(AcroCEF)\% Processor Time</t>
  </si>
  <si>
    <t>(Acrobat)\% Processor Time</t>
  </si>
  <si>
    <t>(Access Experience)\% Processor Time</t>
  </si>
  <si>
    <t>(ACC)\% Processor Time</t>
  </si>
  <si>
    <t>(WINWORD)\IO Data Bytes/sec</t>
  </si>
  <si>
    <t>(spoolsv.exe)\IO Data Bytes/sec</t>
  </si>
  <si>
    <t>(ResearchMonitor Agent)\IO Data Bytes/sec</t>
  </si>
  <si>
    <t>(POWERPNT)\IO Data Bytes/sec</t>
  </si>
  <si>
    <t>(PowerPDF)\IO Data Bytes/sec</t>
  </si>
  <si>
    <t>(PANGPS)\IO Data Bytes/sec</t>
  </si>
  <si>
    <t>(PAD.Console.Host)\IO Data Bytes/sec</t>
  </si>
  <si>
    <t>(OUTLOOK)\IO Data Bytes/sec</t>
  </si>
  <si>
    <t>(OneDrive)\IO Data Bytes/sec</t>
  </si>
  <si>
    <t>(NetDocuments.ndMail.Application)\IO Data Bytes/sec</t>
  </si>
  <si>
    <t>(ndOffice)\IO Data Bytes/sec</t>
  </si>
  <si>
    <t>(MsMpEng)\IO Data Bytes/sec</t>
  </si>
  <si>
    <t>(msedgewebview2)\IO Data Bytes/sec</t>
  </si>
  <si>
    <t>(msedge)\IO Data Bytes/sec</t>
  </si>
  <si>
    <t>(ms-teams)\IO Data Bytes/sec</t>
  </si>
  <si>
    <t>(M365Copilot)\IO Data Bytes/sec</t>
  </si>
  <si>
    <t>(jabra-direct)\IO Data Bytes/sec</t>
  </si>
  <si>
    <t>(ir_agent)\IO Data Bytes/sec</t>
  </si>
  <si>
    <t>(EXCEL)\IO Data Bytes/sec</t>
  </si>
  <si>
    <t>(Creative Cloud UI Helper)\IO Data Bytes/sec</t>
  </si>
  <si>
    <t>(Creative Cloud Helper)\IO Data Bytes/sec</t>
  </si>
  <si>
    <t>(Creative Cloud)\IO Data Bytes/sec</t>
  </si>
  <si>
    <t>(CoreSync)\IO Data Bytes/sec</t>
  </si>
  <si>
    <t>(Copilot.exe)\IO Data Bytes/sec</t>
  </si>
  <si>
    <t>(Chrome)\IO Data Bytes/sec</t>
  </si>
  <si>
    <t>(CCXProcess)\IO Data Bytes/sec</t>
  </si>
  <si>
    <t>(CCLibrary)\IO Data Bytes/sec</t>
  </si>
  <si>
    <t>(AdobeUpdateService)\IO Data Bytes/sec</t>
  </si>
  <si>
    <t>(AdobeNotificationClient)\IO Data Bytes/sec</t>
  </si>
  <si>
    <t>(AdobeIPCBroker)\IO Data Bytes/sec</t>
  </si>
  <si>
    <t>(AdobeCollabSync)\IO Data Bytes/sec</t>
  </si>
  <si>
    <t>(Adobe Deskop Service)\IO Data Bytes/sec</t>
  </si>
  <si>
    <t>(AcroCEF)\IO Data Bytes/sec</t>
  </si>
  <si>
    <t>(Acrobat)\IO Data Bytes/sec</t>
  </si>
  <si>
    <t>(Access Experience)\IO Data Bytes/sec</t>
  </si>
  <si>
    <t>(ACC)\IO Data Bytes/sec</t>
  </si>
  <si>
    <t>(WINWORD)\Private Bytes</t>
  </si>
  <si>
    <t>(spoolsv.exe)\Private Bytes</t>
  </si>
  <si>
    <t>(ResearchMonitor Agent)\Private Bytes</t>
  </si>
  <si>
    <t>(POWERPNT)\Private Bytes</t>
  </si>
  <si>
    <t>(PowerPDF)\Private Bytes</t>
  </si>
  <si>
    <t>(PANGPS)\Private Bytes</t>
  </si>
  <si>
    <t>(PAD.Console.Host)\Private Bytes</t>
  </si>
  <si>
    <t>(OUTLOOK)\Private Bytes</t>
  </si>
  <si>
    <t>(OneDrive)\Private Bytes</t>
  </si>
  <si>
    <t>(NetDocuments.ndMail.Application)\Private Bytes</t>
  </si>
  <si>
    <t>(ndOffice)\Private Bytes</t>
  </si>
  <si>
    <t>(MsMpEng)\Private Bytes</t>
  </si>
  <si>
    <t>(msedgewebview2)\Private Bytes</t>
  </si>
  <si>
    <t>(msedge)\Private Bytes</t>
  </si>
  <si>
    <t>(ms-teams)\Private Bytes</t>
  </si>
  <si>
    <t>(M365Copilot)\Private Bytes</t>
  </si>
  <si>
    <t>(jabra-direct)\Private Bytes</t>
  </si>
  <si>
    <t>(ir_agent)\Private Bytes</t>
  </si>
  <si>
    <t>(EXCEL)\Private Bytes</t>
  </si>
  <si>
    <t>(Creative Cloud UI Helper)\Private Bytes</t>
  </si>
  <si>
    <t>(Creative Cloud Helper)\Private Bytes</t>
  </si>
  <si>
    <t>(Creative Cloud)\Private Bytes</t>
  </si>
  <si>
    <t>(CoreSync)\Private Bytes</t>
  </si>
  <si>
    <t>(Copilot.exe)\Private Bytes</t>
  </si>
  <si>
    <t>(Chrome)\Private Bytes</t>
  </si>
  <si>
    <t>(CCXProcess)\Private Bytes</t>
  </si>
  <si>
    <t>(CCLibrary)\Private Bytes</t>
  </si>
  <si>
    <t>(AdobeUpdateService)\Private Bytes</t>
  </si>
  <si>
    <t>(AdobeNotificationClient)\Private Bytes</t>
  </si>
  <si>
    <t>(AdobeIPCBroker)\Private Bytes</t>
  </si>
  <si>
    <t>(AdobeCollabSync)\Private Bytes</t>
  </si>
  <si>
    <t>(Adobe Deskop Service)\Private Bytes</t>
  </si>
  <si>
    <t>(AcroCEF)\Private Bytes</t>
  </si>
  <si>
    <t>(Acrobat)\Private Bytes</t>
  </si>
  <si>
    <t>(Access Experience)\Private Bytes</t>
  </si>
  <si>
    <t>(ACC)\Private Bytes</t>
  </si>
  <si>
    <t>(ResearchMonitor Agent)\% or Time</t>
  </si>
  <si>
    <t>(spoolsv.exe)\% or Time</t>
  </si>
  <si>
    <t>LT6762</t>
  </si>
  <si>
    <t xml:space="preserve"> Sagar Bajpai</t>
  </si>
  <si>
    <t>ATTYassoc</t>
  </si>
  <si>
    <t>SF</t>
  </si>
  <si>
    <t>NYC</t>
  </si>
  <si>
    <t>SCV</t>
  </si>
  <si>
    <t>PIT</t>
  </si>
  <si>
    <t>LT6510</t>
  </si>
  <si>
    <t>Sean Hudgins</t>
  </si>
  <si>
    <t>DC</t>
  </si>
  <si>
    <t>JAX</t>
  </si>
  <si>
    <t>LT7007</t>
  </si>
  <si>
    <t>Delonie Plummer</t>
  </si>
  <si>
    <t>Inder Singh</t>
  </si>
  <si>
    <t>SLT7</t>
  </si>
  <si>
    <t>Andrew Maunz</t>
  </si>
  <si>
    <t>ATTYip</t>
  </si>
  <si>
    <t>LT7080</t>
  </si>
  <si>
    <t>LT7258</t>
  </si>
  <si>
    <t>LT7639</t>
  </si>
  <si>
    <t>Lori Mans</t>
  </si>
  <si>
    <t>BK3634725303PJ</t>
  </si>
  <si>
    <t>Harrison Weimer</t>
  </si>
  <si>
    <t>PHI</t>
  </si>
  <si>
    <t>BK337VV25363P7</t>
  </si>
  <si>
    <t xml:space="preserve"> Elliott, Sharon Mollman</t>
  </si>
  <si>
    <t>ATTYoc</t>
  </si>
  <si>
    <t>MAD</t>
  </si>
  <si>
    <t>BK337R725363P7</t>
  </si>
  <si>
    <t>Barker, Daniel D</t>
  </si>
  <si>
    <t>ATTYeq</t>
  </si>
  <si>
    <t>BK36XVX25393PJ</t>
  </si>
  <si>
    <t xml:space="preserve"> Sutil, Yoksaidy</t>
  </si>
  <si>
    <t>BH</t>
  </si>
  <si>
    <t>LT7193</t>
  </si>
  <si>
    <t>Almonte, Julio C</t>
  </si>
  <si>
    <t>ATTYlawgrad</t>
  </si>
  <si>
    <t>LI</t>
  </si>
  <si>
    <t>LT7181</t>
  </si>
  <si>
    <t>Schwartz, Jeffrey A</t>
  </si>
  <si>
    <t>ATL</t>
  </si>
  <si>
    <t>STATUS</t>
  </si>
  <si>
    <t>\Network Adapter(Surface Ethernet Adapter _2)\Bytes Total/sec</t>
  </si>
  <si>
    <t xml:space="preserve"> </t>
  </si>
  <si>
    <t>DONE</t>
  </si>
  <si>
    <t>\\(WINWORD)\% Processor Time</t>
  </si>
  <si>
    <t>\\Network Adapter(Intel[R] Wi-Fi 7</t>
  </si>
  <si>
    <t>0F3994Q24393MR </t>
  </si>
  <si>
    <t>WilcezM</t>
  </si>
  <si>
    <t>1TB</t>
  </si>
  <si>
    <t>3.8 - 16 core</t>
  </si>
  <si>
    <t>Complete</t>
  </si>
  <si>
    <t>BK34KC325163PJ</t>
  </si>
  <si>
    <t>TanseyP</t>
  </si>
  <si>
    <t>BK33T7825163PJ</t>
  </si>
  <si>
    <t>ClarkA</t>
  </si>
  <si>
    <t>0F33GKP24243MR</t>
  </si>
  <si>
    <t>HumphreJ</t>
  </si>
  <si>
    <t>LT7176</t>
  </si>
  <si>
    <t>CarvalhoC</t>
  </si>
  <si>
    <t>collectorWaiting</t>
  </si>
  <si>
    <t>0F364T624513MR</t>
  </si>
  <si>
    <t>StephenC</t>
  </si>
  <si>
    <t>BK33D6C24253GT</t>
  </si>
  <si>
    <t>HaganC</t>
  </si>
  <si>
    <t>PITT</t>
  </si>
  <si>
    <t>BK36WDR25393PJ</t>
  </si>
  <si>
    <t>BecklesS</t>
  </si>
  <si>
    <t>BK33V9Y25223PJ</t>
  </si>
  <si>
    <t>MooreV</t>
  </si>
  <si>
    <t>BK34K7K25323PJ</t>
  </si>
  <si>
    <t>kaetherM</t>
  </si>
  <si>
    <t>BK34KDW25163PJ</t>
  </si>
  <si>
    <t>YadavG</t>
  </si>
  <si>
    <t>BK34KGG25163PJ</t>
  </si>
  <si>
    <t>ConwayA</t>
  </si>
  <si>
    <t>BK368B325193PJ</t>
  </si>
  <si>
    <t>KuzminS</t>
  </si>
  <si>
    <t>BK36WMC25393PJ</t>
  </si>
  <si>
    <t>CucchiaS</t>
  </si>
  <si>
    <t>SeditaJ</t>
  </si>
  <si>
    <t>BK36Y6625393PJ</t>
  </si>
  <si>
    <t>FisherL</t>
  </si>
  <si>
    <t>LT5160</t>
  </si>
  <si>
    <t>NguyenD</t>
  </si>
  <si>
    <t>LT5271</t>
  </si>
  <si>
    <t>PrattT</t>
  </si>
  <si>
    <t>LT5492</t>
  </si>
  <si>
    <t>timmw</t>
  </si>
  <si>
    <t>LT5581</t>
  </si>
  <si>
    <t>PittmanS</t>
  </si>
  <si>
    <t>LT5618</t>
  </si>
  <si>
    <t>MezackL</t>
  </si>
  <si>
    <t>LT5706</t>
  </si>
  <si>
    <t>guptap</t>
  </si>
  <si>
    <t>LT5711</t>
  </si>
  <si>
    <t>DundigaB</t>
  </si>
  <si>
    <t>LT5776</t>
  </si>
  <si>
    <t>treutinj</t>
  </si>
  <si>
    <t>LT5802</t>
  </si>
  <si>
    <t>tjandraa</t>
  </si>
  <si>
    <t>LT5825</t>
  </si>
  <si>
    <t>dossr</t>
  </si>
  <si>
    <t>LT5962</t>
  </si>
  <si>
    <t>brodeurj</t>
  </si>
  <si>
    <t>LT6027</t>
  </si>
  <si>
    <t>LT6064</t>
  </si>
  <si>
    <t>LipseyJ</t>
  </si>
  <si>
    <t>LT6157</t>
  </si>
  <si>
    <t>BoigrisS</t>
  </si>
  <si>
    <t>LT6158</t>
  </si>
  <si>
    <t>DawkinsL</t>
  </si>
  <si>
    <t>LT6215</t>
  </si>
  <si>
    <t>sonij</t>
  </si>
  <si>
    <t>LT6291</t>
  </si>
  <si>
    <t>RampullJ</t>
  </si>
  <si>
    <t>LT6312</t>
  </si>
  <si>
    <t>MendsJ</t>
  </si>
  <si>
    <t>LT6490</t>
  </si>
  <si>
    <t>LiuJ</t>
  </si>
  <si>
    <t>LT6499</t>
  </si>
  <si>
    <t>PaulinoA</t>
  </si>
  <si>
    <t>LT6532</t>
  </si>
  <si>
    <t>LT6546</t>
  </si>
  <si>
    <t>BaekC</t>
  </si>
  <si>
    <t>LT6553</t>
  </si>
  <si>
    <t>AnupN</t>
  </si>
  <si>
    <t>LT6650</t>
  </si>
  <si>
    <t>RichardA</t>
  </si>
  <si>
    <t>LT6686</t>
  </si>
  <si>
    <t>HallD</t>
  </si>
  <si>
    <t>LT6769</t>
  </si>
  <si>
    <t>LimehouH</t>
  </si>
  <si>
    <t>LT6988</t>
  </si>
  <si>
    <t>GuzmanD</t>
  </si>
  <si>
    <t>LT7020</t>
  </si>
  <si>
    <t>SinghA</t>
  </si>
  <si>
    <t>LT7021</t>
  </si>
  <si>
    <t>WinardS</t>
  </si>
  <si>
    <t>LT7216</t>
  </si>
  <si>
    <t>WiltonB</t>
  </si>
  <si>
    <t>LT7228</t>
  </si>
  <si>
    <t>PlummeAn</t>
  </si>
  <si>
    <t>LT7252</t>
  </si>
  <si>
    <t>Statnik</t>
  </si>
  <si>
    <t>LT7266</t>
  </si>
  <si>
    <t>MitcheLa</t>
  </si>
  <si>
    <t>LT7317</t>
  </si>
  <si>
    <t>ThomasM</t>
  </si>
  <si>
    <t>LT7325</t>
  </si>
  <si>
    <t>ColonW</t>
  </si>
  <si>
    <t>LT7721</t>
  </si>
  <si>
    <t>LT7735</t>
  </si>
  <si>
    <t>DelavegD</t>
  </si>
  <si>
    <t>LT7807</t>
  </si>
  <si>
    <t>WongJ</t>
  </si>
  <si>
    <t>LT7869</t>
  </si>
  <si>
    <t>JavedF</t>
  </si>
  <si>
    <t>LT7933</t>
  </si>
  <si>
    <t>EmpamanE</t>
  </si>
  <si>
    <t>LT7942</t>
  </si>
  <si>
    <t>CiffoneL</t>
  </si>
  <si>
    <t>PMO</t>
  </si>
  <si>
    <t>SeditaJ/MarshallA</t>
  </si>
  <si>
    <t>Memory</t>
  </si>
  <si>
    <t>Network</t>
  </si>
  <si>
    <t>SP8</t>
  </si>
  <si>
    <t>SLStudio</t>
  </si>
  <si>
    <t>SLStudio2</t>
  </si>
  <si>
    <t>???</t>
  </si>
  <si>
    <t>\\Network Adapter(Realtek USB GbE Family Controller)\Bytes Total/sec</t>
  </si>
  <si>
    <t>AVGs</t>
  </si>
  <si>
    <t>\\Network AdapterIntel[R] Wi-Fi 7</t>
  </si>
  <si>
    <t>\\Network AdapterTeredo Tunneling Pseudo-Interface\Bytes Total/sec</t>
  </si>
  <si>
    <t>\\Network AdapterPANGP Virtual Ethernet Adapter Secure\Bytes Total/sec</t>
  </si>
  <si>
    <t>\Network AdapterSurface Ethernet Adapter _2\Bytes Total/sec</t>
  </si>
  <si>
    <t>\\Network AdapterMicrosoft Hyper-V Network Adapter\Bytes Total/sec</t>
  </si>
  <si>
    <t>\\Network AdapterIntel[R] Wi-Fi 6 AX201 160MHz\Bytes Total/sec</t>
  </si>
  <si>
    <t>spoolsv.exe\% or Time</t>
  </si>
  <si>
    <t>ResearchMonitor Agent\% or Time</t>
  </si>
  <si>
    <t>POWERPNT</t>
  </si>
  <si>
    <t>PowerPDF</t>
  </si>
  <si>
    <t>PANGPS</t>
  </si>
  <si>
    <t>PAD.Console.Host</t>
  </si>
  <si>
    <t>OUTLOOK</t>
  </si>
  <si>
    <t>OneDrive</t>
  </si>
  <si>
    <t>NetDocuments.ndMail.Application</t>
  </si>
  <si>
    <t>ndOffice</t>
  </si>
  <si>
    <t>MsMpEng</t>
  </si>
  <si>
    <t>msedgewebview2</t>
  </si>
  <si>
    <t>msedge</t>
  </si>
  <si>
    <t>ms-teams</t>
  </si>
  <si>
    <t>M365Copilot</t>
  </si>
  <si>
    <t>jabra-direct</t>
  </si>
  <si>
    <t>ir_agent</t>
  </si>
  <si>
    <t>EXCEL</t>
  </si>
  <si>
    <t>Creative Cloud UI Helper</t>
  </si>
  <si>
    <t>Creative Cloud Helper</t>
  </si>
  <si>
    <t>Creative Cloud</t>
  </si>
  <si>
    <t>CoreSync</t>
  </si>
  <si>
    <t>Copilot.exe</t>
  </si>
  <si>
    <t>Chrome</t>
  </si>
  <si>
    <t>CCXProcess</t>
  </si>
  <si>
    <t>CCLibrary</t>
  </si>
  <si>
    <t>AdobeUpdateService</t>
  </si>
  <si>
    <t>AdobeNotificationClient</t>
  </si>
  <si>
    <t>AdobeIPCBroker</t>
  </si>
  <si>
    <t>AdobeCollabSync</t>
  </si>
  <si>
    <t>Adobe Deskop Service</t>
  </si>
  <si>
    <t>AcroCEF</t>
  </si>
  <si>
    <t>Acrobat</t>
  </si>
  <si>
    <t>Access Experience</t>
  </si>
  <si>
    <t>ACC</t>
  </si>
  <si>
    <t>WINWORD</t>
  </si>
  <si>
    <t>SP9</t>
  </si>
  <si>
    <t>JL Core IT - Windows 11 HW-Analysis Before for:</t>
  </si>
  <si>
    <t>Pilot Offices</t>
  </si>
  <si>
    <t>WINWORD\IO Data Bytes/sec</t>
  </si>
  <si>
    <t>spoolsv.exe\IO Data Bytes/sec</t>
  </si>
  <si>
    <t>ResearchMonitor Agent\IO Data Bytes/sec</t>
  </si>
  <si>
    <t>POWERPNT\IO Data Bytes/sec</t>
  </si>
  <si>
    <t>PowerPDF\IO Data Bytes/sec</t>
  </si>
  <si>
    <t>PANGPS\IO Data Bytes/sec</t>
  </si>
  <si>
    <t>PAD.Console.Host\IO Data Bytes/sec</t>
  </si>
  <si>
    <t>OUTLOOK\IO Data Bytes/sec</t>
  </si>
  <si>
    <t>OneDrive\IO Data Bytes/sec</t>
  </si>
  <si>
    <t>NetDocuments.ndMail.Application\IO Data Bytes/sec</t>
  </si>
  <si>
    <t>ndOffice\IO Data Bytes/sec</t>
  </si>
  <si>
    <t>MsMpEng\IO Data Bytes/sec</t>
  </si>
  <si>
    <t>msedgewebview2\IO Data Bytes/sec</t>
  </si>
  <si>
    <t>msedge\IO Data Bytes/sec</t>
  </si>
  <si>
    <t>ms-teams\IO Data Bytes/sec</t>
  </si>
  <si>
    <t>M365Copilot\IO Data Bytes/sec</t>
  </si>
  <si>
    <t>jabra-direct\IO Data Bytes/sec</t>
  </si>
  <si>
    <t>ir_agent\IO Data Bytes/sec</t>
  </si>
  <si>
    <t>EXCEL\IO Data Bytes/sec</t>
  </si>
  <si>
    <t>Creative Cloud UI Helper\IO Data Bytes/sec</t>
  </si>
  <si>
    <t>Creative Cloud Helper\IO Data Bytes/sec</t>
  </si>
  <si>
    <t>Creative Cloud\IO Data Bytes/sec</t>
  </si>
  <si>
    <t>CoreSync\IO Data Bytes/sec</t>
  </si>
  <si>
    <t>Copilot.exe\IO Data Bytes/sec</t>
  </si>
  <si>
    <t>Chrome\IO Data Bytes/sec</t>
  </si>
  <si>
    <t>CCXProcess\IO Data Bytes/sec</t>
  </si>
  <si>
    <t>CCLibrary\IO Data Bytes/sec</t>
  </si>
  <si>
    <t>AdobeUpdateService\IO Data Bytes/sec</t>
  </si>
  <si>
    <t>AdobeNotificationClient\IO Data Bytes/sec</t>
  </si>
  <si>
    <t>AdobeIPCBroker\IO Data Bytes/sec</t>
  </si>
  <si>
    <t>AdobeCollabSync\IO Data Bytes/sec</t>
  </si>
  <si>
    <t>Adobe Deskop Service\IO Data Bytes/sec</t>
  </si>
  <si>
    <t>AcroCEF\IO Data Bytes/sec</t>
  </si>
  <si>
    <t>Acrobat\IO Data Bytes/sec</t>
  </si>
  <si>
    <t>Access Experience\IO Data Bytes/sec</t>
  </si>
  <si>
    <t>ACC\IO Data Bytes/sec</t>
  </si>
  <si>
    <t>spoolsv.exe</t>
  </si>
  <si>
    <t>ResearchMonitor Agent</t>
  </si>
  <si>
    <t>LT7184</t>
  </si>
  <si>
    <t>Rosen, Evan M. (Atlanta)</t>
  </si>
  <si>
    <t>LT7183</t>
  </si>
  <si>
    <t>Hughes, David A. (Atlanta)</t>
  </si>
  <si>
    <t>LT6812</t>
  </si>
  <si>
    <t>Montgomery, Nicholas G. (Atlanta)</t>
  </si>
  <si>
    <t>LT6487</t>
  </si>
  <si>
    <t>Ellis, William (Atlanta)</t>
  </si>
  <si>
    <t>LT6634</t>
  </si>
  <si>
    <t>Magnus, Eric R. (Atlanta)</t>
  </si>
  <si>
    <t>0F33PQP24053GT</t>
  </si>
  <si>
    <t>Kim, Hyejin (Atlanta)</t>
  </si>
  <si>
    <t>0F3K4PM24243MR</t>
  </si>
  <si>
    <t>Holland-Jackson, Leira (Atlanta)</t>
  </si>
  <si>
    <t>BK34JWK25393PJ</t>
  </si>
  <si>
    <t>Mohl, David S. (Atlanta)</t>
  </si>
  <si>
    <t>BK338G325163PJ</t>
  </si>
  <si>
    <t>Holsomback, Dana (Atlanta)</t>
  </si>
  <si>
    <t>Tansey, Philip (Atlanta)</t>
  </si>
  <si>
    <t>LT6955</t>
  </si>
  <si>
    <t>McCall, John M. (Atlanta)</t>
  </si>
  <si>
    <t>Humphreys, Jeff (Atlanta)</t>
  </si>
  <si>
    <t>LT5833</t>
  </si>
  <si>
    <t>Todd, Susan (Atlanta)</t>
  </si>
  <si>
    <t>LT7180</t>
  </si>
  <si>
    <t>Bluehs, Julie (Atlanta)</t>
  </si>
  <si>
    <t>LT6332</t>
  </si>
  <si>
    <t>Sanderfer, Roxanne (Atlanta)</t>
  </si>
  <si>
    <t>Schwartz, Jeffrey A. (Atlanta)</t>
  </si>
  <si>
    <t>LT7185</t>
  </si>
  <si>
    <t>Lewis, Monique (Atlanta)</t>
  </si>
  <si>
    <t>LT7958</t>
  </si>
  <si>
    <t>Mays, Jordan (Atlanta)</t>
  </si>
  <si>
    <t>LT5320</t>
  </si>
  <si>
    <t>LT7179</t>
  </si>
  <si>
    <t>Lewis, Darlene (Atlanta)</t>
  </si>
  <si>
    <t>LT7661</t>
  </si>
  <si>
    <t>Borna, Emily S. (Atlanta)</t>
  </si>
  <si>
    <t>LT6495</t>
  </si>
  <si>
    <t>Porter, Kaya Grace (Atlanta)</t>
  </si>
  <si>
    <t>LT7758</t>
  </si>
  <si>
    <t>Plummer, Adonica (Atlanta)</t>
  </si>
  <si>
    <t>LT6583</t>
  </si>
  <si>
    <t>Stein, Serena R. (Atlanta)</t>
  </si>
  <si>
    <t>Dundigalla, Bhanu (Atlanta)</t>
  </si>
  <si>
    <t>LT7186</t>
  </si>
  <si>
    <t>Collins, Keely Jac (Atlanta)</t>
  </si>
  <si>
    <t>LT7854</t>
  </si>
  <si>
    <t>Shy, Dionne (Atlanta)</t>
  </si>
  <si>
    <t>0F3BRWB24253MR</t>
  </si>
  <si>
    <t>Chebuhar, Allison P. (Atlanta)</t>
  </si>
  <si>
    <t>LT7165</t>
  </si>
  <si>
    <t>Clark, Tyler (Atlanta)</t>
  </si>
  <si>
    <t>LT5667</t>
  </si>
  <si>
    <t>Midence, Adriana R. (Atlanta)</t>
  </si>
  <si>
    <t>BK36WGY25393PJ</t>
  </si>
  <si>
    <t>Jackson, Malcolm B. (Atlanta)</t>
  </si>
  <si>
    <t>LT5672</t>
  </si>
  <si>
    <t>Gann, Dawn (Atlanta)</t>
  </si>
  <si>
    <t>LT6435</t>
  </si>
  <si>
    <t>MacBeth, Lisa (Atlanta)</t>
  </si>
  <si>
    <t>LT6401</t>
  </si>
  <si>
    <t>Capobianco, Robert W. (Atlanta)</t>
  </si>
  <si>
    <t>LT6053</t>
  </si>
  <si>
    <t>Spitz, Jonathan J. (Atlanta)</t>
  </si>
  <si>
    <t>BK3633425303PJ</t>
  </si>
  <si>
    <t>Cato, Raquel (Atlanta)</t>
  </si>
  <si>
    <t>LT7182</t>
  </si>
  <si>
    <t>Van Dyke, C. Todd (Atlanta)</t>
  </si>
  <si>
    <t>LT5318</t>
  </si>
  <si>
    <t>Cherof, Edward M. (Atlanta)</t>
  </si>
  <si>
    <t>LT7081</t>
  </si>
  <si>
    <t>Hardy, Jalen (Atlanta)</t>
  </si>
  <si>
    <t>0F3K4X824243MR</t>
  </si>
  <si>
    <t>Young, Katina (Atlanta)</t>
  </si>
  <si>
    <t>0F3667T24513MR</t>
  </si>
  <si>
    <t>Wilson, Jeffrey S. (Atlanta)</t>
  </si>
  <si>
    <t>LT6803</t>
  </si>
  <si>
    <t>Fattahi, Parsa (Atlanta)</t>
  </si>
  <si>
    <t>LT6914</t>
  </si>
  <si>
    <t>Alexander, Taylor (Atlanta)</t>
  </si>
  <si>
    <t>LT6355</t>
  </si>
  <si>
    <t>Kohler, Dion Y. (Atlanta)</t>
  </si>
  <si>
    <t>LT6541</t>
  </si>
  <si>
    <t>Lee, Sanchez (Atlanta)</t>
  </si>
  <si>
    <t>LT6974</t>
  </si>
  <si>
    <t>James, Najmah (Atlanta)</t>
  </si>
  <si>
    <t>LT5821</t>
  </si>
  <si>
    <t>Perez, Raymond, II (Atlanta)</t>
  </si>
  <si>
    <t>LT6372</t>
  </si>
  <si>
    <t>Pitts, Regina (Atlanta)</t>
  </si>
  <si>
    <t>LT5289</t>
  </si>
  <si>
    <t>Martarella, Tia L. (Atlanta)</t>
  </si>
  <si>
    <t>Clark, Adrienne (Atlanta)</t>
  </si>
  <si>
    <t>DiagWaiting</t>
  </si>
  <si>
    <t>ATTYep</t>
  </si>
  <si>
    <t>ATTYas</t>
  </si>
  <si>
    <t>MRK</t>
  </si>
  <si>
    <t>OFF</t>
  </si>
  <si>
    <t>OA</t>
  </si>
  <si>
    <t>ASST</t>
  </si>
  <si>
    <t>ASSTrec</t>
  </si>
  <si>
    <t>PARA</t>
  </si>
  <si>
    <t>Pricing</t>
  </si>
  <si>
    <t>NBI</t>
  </si>
  <si>
    <t>COLL</t>
  </si>
  <si>
    <t>BILL</t>
  </si>
  <si>
    <t xml:space="preserve">Device </t>
  </si>
  <si>
    <t>EA Score</t>
  </si>
  <si>
    <t>97
100
100
91</t>
  </si>
  <si>
    <t>70
69
49
91</t>
  </si>
  <si>
    <t>58
70
16
88</t>
  </si>
  <si>
    <t xml:space="preserve">
84
62
100
89</t>
  </si>
  <si>
    <t>75
30
100
94</t>
  </si>
  <si>
    <t>LT6380</t>
  </si>
  <si>
    <t>LT6306</t>
  </si>
  <si>
    <t>0F364VQ24513MR</t>
  </si>
  <si>
    <t>0F34PXX24513MR</t>
  </si>
  <si>
    <t>BK337VD25363P7</t>
  </si>
  <si>
    <t>LT6262</t>
  </si>
  <si>
    <t>LT7815</t>
  </si>
  <si>
    <t>0F3663824513MR</t>
  </si>
  <si>
    <t>Moges, Yamrot Henok (DC)</t>
  </si>
  <si>
    <t>Hsiung, Fay (DC)</t>
  </si>
  <si>
    <t>Wilkinson, Nigel L. (DC)</t>
  </si>
  <si>
    <t>Kreiser, Matthew E. (DC)</t>
  </si>
  <si>
    <t>Kelly, David A. (DC Region)</t>
  </si>
  <si>
    <t>Baek, Chan (DC)</t>
  </si>
  <si>
    <t>Morey, Megan (DC)</t>
  </si>
  <si>
    <t>Solos, Shivanthi (DC)</t>
  </si>
  <si>
    <t>Agren, Jordan (DC)</t>
  </si>
  <si>
    <t>LT6807</t>
  </si>
  <si>
    <t>LT7320</t>
  </si>
  <si>
    <t>Trivino, Amanda (NOC)</t>
  </si>
  <si>
    <t>Kay, Liana (NOC)</t>
  </si>
  <si>
    <t>LT6392</t>
  </si>
  <si>
    <t>O'Leary, John (NOC)</t>
  </si>
  <si>
    <t>BK36XQB25393PJ</t>
  </si>
  <si>
    <t>Chizmadia, Kristie (NOC)</t>
  </si>
  <si>
    <t>BK36Y4Q25393PJ</t>
  </si>
  <si>
    <t>Soltmann, Matthew (NOC)</t>
  </si>
  <si>
    <t>LT6940</t>
  </si>
  <si>
    <t>Chang, Richard (NOC)</t>
  </si>
  <si>
    <t>LT7330</t>
  </si>
  <si>
    <t>Gibbon, Shauna (NOC)</t>
  </si>
  <si>
    <t>BK36WVV25393PJ</t>
  </si>
  <si>
    <t>Valdiviezo, Johnny (NOC)</t>
  </si>
  <si>
    <t>LT6535</t>
  </si>
  <si>
    <t>Turenne, Crystal (NOC)</t>
  </si>
  <si>
    <t>DENVER</t>
  </si>
  <si>
    <t>DC Office</t>
  </si>
  <si>
    <t>64
65
37
89</t>
  </si>
  <si>
    <t>55
42
29
94</t>
  </si>
  <si>
    <t>69
74
45
89</t>
  </si>
  <si>
    <t>75
74
52
100</t>
  </si>
  <si>
    <t>86
63
100
94</t>
  </si>
  <si>
    <t>77
49
100
83</t>
  </si>
  <si>
    <t>69
65
53
89</t>
  </si>
  <si>
    <t>STAT</t>
  </si>
  <si>
    <t>BD</t>
  </si>
  <si>
    <t>zBG9</t>
  </si>
  <si>
    <t>57
67
15
89</t>
  </si>
  <si>
    <t>DEN</t>
  </si>
  <si>
    <t>FAC</t>
  </si>
  <si>
    <t>HR</t>
  </si>
  <si>
    <t>PD</t>
  </si>
  <si>
    <t>NOC Office</t>
  </si>
  <si>
    <t>SEATTLE</t>
  </si>
  <si>
    <t>LT7177</t>
  </si>
  <si>
    <t>Ellerkamp, Jenny (Denver)</t>
  </si>
  <si>
    <t>LT6302</t>
  </si>
  <si>
    <t>Vali, Max (Denver)</t>
  </si>
  <si>
    <t>LT6297</t>
  </si>
  <si>
    <t>Palen, Artie (Denver)</t>
  </si>
  <si>
    <t>LT7192</t>
  </si>
  <si>
    <t>Schowe, Denise (Denver)</t>
  </si>
  <si>
    <t>LT7770</t>
  </si>
  <si>
    <t>Spillers, Grant T. (Denver)</t>
  </si>
  <si>
    <t>LT5645</t>
  </si>
  <si>
    <t>Cooper, Arianna (Denver)</t>
  </si>
  <si>
    <t>LT5129</t>
  </si>
  <si>
    <t>Cognetta, Heather (Denver)</t>
  </si>
  <si>
    <t>LT7253</t>
  </si>
  <si>
    <t>Marsh, Lisa B. (Denver)</t>
  </si>
  <si>
    <t>LT5138</t>
  </si>
  <si>
    <t>Willis, Natalie B. (Denver)</t>
  </si>
  <si>
    <t>LT6827</t>
  </si>
  <si>
    <t>Breaker, Michael J. (Denver)</t>
  </si>
  <si>
    <t>LT6673</t>
  </si>
  <si>
    <t>LT7298</t>
  </si>
  <si>
    <t>LT7153</t>
  </si>
  <si>
    <t>LT6184</t>
  </si>
  <si>
    <t>Adwell, Dylan (Denver)</t>
  </si>
  <si>
    <t>Roque, Karla (Denver)</t>
  </si>
  <si>
    <t>Panagakos, Melisa H. (Denver)</t>
  </si>
  <si>
    <t>Sun, Olivia (Denver)</t>
  </si>
  <si>
    <t>LT6126</t>
  </si>
  <si>
    <t>Leslie, Nicole (Denver)</t>
  </si>
  <si>
    <t>LT6977</t>
  </si>
  <si>
    <t>Tancrede, Mindy (Denver)</t>
  </si>
  <si>
    <t>LT6990</t>
  </si>
  <si>
    <t>Mitchell, Laura A. (Denver)</t>
  </si>
  <si>
    <t>LT7771</t>
  </si>
  <si>
    <t>Berman, Leah (Denver)</t>
  </si>
  <si>
    <t>LT5832</t>
  </si>
  <si>
    <t>Avelino, Débora (Denver)</t>
  </si>
  <si>
    <t>LT6141</t>
  </si>
  <si>
    <t>Graves, Ashley N. (Denver)</t>
  </si>
  <si>
    <t>LT7824</t>
  </si>
  <si>
    <t>0F37MVD24523MR</t>
  </si>
  <si>
    <t>Phillips, Autumn (Denver)</t>
  </si>
  <si>
    <t>Trotta, Nicole (Denver)</t>
  </si>
  <si>
    <t>LT7314</t>
  </si>
  <si>
    <t>Longaker, Ryan (Denver)</t>
  </si>
  <si>
    <t>LT7205</t>
  </si>
  <si>
    <t>Lessmann, Ryan P. (Denver)</t>
  </si>
  <si>
    <t>BK34JT925393PJ</t>
  </si>
  <si>
    <t>Kleiman, Beth (Denver)</t>
  </si>
  <si>
    <t>LT6476</t>
  </si>
  <si>
    <t>LT5125</t>
  </si>
  <si>
    <t>Merrill, Kendall (Denver)</t>
  </si>
  <si>
    <t>Pechaitis, Scott M. (Denver)</t>
  </si>
  <si>
    <t>LT5127</t>
  </si>
  <si>
    <t>LT5134</t>
  </si>
  <si>
    <t>Smith, Jonathan T. (Denver)</t>
  </si>
  <si>
    <t>LT7833</t>
  </si>
  <si>
    <t>Ayoub, Lauren M. (Denver)</t>
  </si>
  <si>
    <t>LT7775</t>
  </si>
  <si>
    <t>Trim, Roger G. (Denver)</t>
  </si>
  <si>
    <t>BK34KBQ25163PJ</t>
  </si>
  <si>
    <t>LT6178</t>
  </si>
  <si>
    <t>Johnson, Lori (Denver)</t>
  </si>
  <si>
    <t>Engel, Sabrina (Denver)</t>
  </si>
  <si>
    <t>0F37FWP25063GT</t>
  </si>
  <si>
    <t>LT6376</t>
  </si>
  <si>
    <t>Whitson, Tristen (Denver)</t>
  </si>
  <si>
    <t>LT6182</t>
  </si>
  <si>
    <t>Grant, Connor (Denver)</t>
  </si>
  <si>
    <t>LT6453</t>
  </si>
  <si>
    <t>Elliott, Catherine (Denver)</t>
  </si>
  <si>
    <t>LT6870</t>
  </si>
  <si>
    <t>Barksdale, Laressa (Denver)</t>
  </si>
  <si>
    <t>LT7928</t>
  </si>
  <si>
    <t>Murphy, Eric (Seattle)</t>
  </si>
  <si>
    <t>LT6287</t>
  </si>
  <si>
    <t>Callis, A.J. (Seattle)</t>
  </si>
  <si>
    <t>LT7917</t>
  </si>
  <si>
    <t>Wen, Jean (Seattle)</t>
  </si>
  <si>
    <t>LT7143</t>
  </si>
  <si>
    <t>Kamjula, Tania S. (Seattle)</t>
  </si>
  <si>
    <t>LT7802</t>
  </si>
  <si>
    <t>Waugh, Joshua A. (Seattle)</t>
  </si>
  <si>
    <t>LT7670</t>
  </si>
  <si>
    <t>Silke, David (Seattle)</t>
  </si>
  <si>
    <t>LT7152</t>
  </si>
  <si>
    <t>Shaykho, Fadi (Seattle)</t>
  </si>
  <si>
    <t>LT6572</t>
  </si>
  <si>
    <t>Zimmerman, Lance (Seattle)</t>
  </si>
  <si>
    <t>LT7669</t>
  </si>
  <si>
    <t>Griffin, Michael A. (Seattle)</t>
  </si>
  <si>
    <t>LT7668</t>
  </si>
  <si>
    <t>Nohle, Peter H. (Seattle)</t>
  </si>
  <si>
    <t>LT7743</t>
  </si>
  <si>
    <t>Jeon, Jennie (Seattle)</t>
  </si>
  <si>
    <t>LT7327</t>
  </si>
  <si>
    <t>Shower, Stephanie (Seattle)</t>
  </si>
  <si>
    <t>LT6917</t>
  </si>
  <si>
    <t>Day, Craig A. (Seattle)</t>
  </si>
  <si>
    <t>LT6730</t>
  </si>
  <si>
    <t>Cox, Jessica M. (Seattle)</t>
  </si>
  <si>
    <t>LT5336</t>
  </si>
  <si>
    <t>Arico, Dominic (Seattle)</t>
  </si>
  <si>
    <t>LT6088</t>
  </si>
  <si>
    <t>Baker-Brown, Sarah (Seattle)</t>
  </si>
  <si>
    <t>LT7785</t>
  </si>
  <si>
    <t>LT6469</t>
  </si>
  <si>
    <t>O'Connor, Bryan P. (Seattle)</t>
  </si>
  <si>
    <t>Emerson, Sage (Seattle)</t>
  </si>
  <si>
    <t>LT6217</t>
  </si>
  <si>
    <t>Crockett, Ben (Seattle)</t>
  </si>
  <si>
    <t>LT6740</t>
  </si>
  <si>
    <t>Lundgren, Brian P. (Seattle)</t>
  </si>
  <si>
    <t>LT7672</t>
  </si>
  <si>
    <t>Elkhafaifi, Leila (Seattle)</t>
  </si>
  <si>
    <t>LT5340</t>
  </si>
  <si>
    <t>Stewart, Tanya (Seattle)</t>
  </si>
  <si>
    <t>LT6523</t>
  </si>
  <si>
    <t>Keeley, Brian K. (Seattle)</t>
  </si>
  <si>
    <t>LT5998</t>
  </si>
  <si>
    <t>Wood, Daniel (Seattle)</t>
  </si>
  <si>
    <t>LT7730</t>
  </si>
  <si>
    <t>Tanner, Martha (Seattle)</t>
  </si>
  <si>
    <t>LT7336</t>
  </si>
  <si>
    <t>Tinajero, Joshua H. (Seattle)</t>
  </si>
  <si>
    <t>BK38G4425293PJ</t>
  </si>
  <si>
    <t>Brown, Maya (DC)</t>
  </si>
  <si>
    <t>LT6867</t>
  </si>
  <si>
    <t>Holland, Cassandra (DC)</t>
  </si>
  <si>
    <t>LT6866</t>
  </si>
  <si>
    <t>Neifach, Michael H. (DC)</t>
  </si>
  <si>
    <t>BK399B725193PJ</t>
  </si>
  <si>
    <t>Acevedo, Melissa (DC)</t>
  </si>
  <si>
    <t>BK36Y9Y25393PJ</t>
  </si>
  <si>
    <t>Sanare, Andrew (DC)</t>
  </si>
  <si>
    <t>0F366BG24513MR</t>
  </si>
  <si>
    <t>Bledsoe, Kenneth M. (DC Region)</t>
  </si>
  <si>
    <t>LT6011</t>
  </si>
  <si>
    <t>Brefo, Manda (DC Region)</t>
  </si>
  <si>
    <t>LT6786</t>
  </si>
  <si>
    <t>Cochran, Bria M. (DC)</t>
  </si>
  <si>
    <t>LT6865</t>
  </si>
  <si>
    <t>Kutarba, Margo (DC)</t>
  </si>
  <si>
    <t>LT6836</t>
  </si>
  <si>
    <t>McVay, Connie (DC)</t>
  </si>
  <si>
    <t>LT7731</t>
  </si>
  <si>
    <t>Rose, Emma C. (DC Region)</t>
  </si>
  <si>
    <t>0F3BDYD24043GT</t>
  </si>
  <si>
    <t>Margolis, Anna R. (DC Region)</t>
  </si>
  <si>
    <t>0F38FH925033MR</t>
  </si>
  <si>
    <t>Remy, John M. (DC)</t>
  </si>
  <si>
    <t>LT6868</t>
  </si>
  <si>
    <t>Murphy, Thomas P. (DC)</t>
  </si>
  <si>
    <t>LT7777</t>
  </si>
  <si>
    <t>Barbaro, Karrie L. (DC)</t>
  </si>
  <si>
    <t>0F34PXR24513MR</t>
  </si>
  <si>
    <t>McCaulley, Erica (DC)</t>
  </si>
  <si>
    <t>LT7734</t>
  </si>
  <si>
    <t>Wright, Teresa Burke (DC)</t>
  </si>
  <si>
    <t>0F33FX424243MR</t>
  </si>
  <si>
    <t>Hodapp, Spencer (DC)</t>
  </si>
  <si>
    <t>BK36X8M25393PJ</t>
  </si>
  <si>
    <t>Heiser, Jeanne L. (DC)</t>
  </si>
  <si>
    <t>LT6596</t>
  </si>
  <si>
    <t>Behen, Vicky (DC)</t>
  </si>
  <si>
    <t>Hudgins, Sean R. (DC Region)</t>
  </si>
  <si>
    <t>LT6310</t>
  </si>
  <si>
    <t>LT6719</t>
  </si>
  <si>
    <t>Nieman, Matthew F. (DC)</t>
  </si>
  <si>
    <t>Ashley, Carol R. (DC)</t>
  </si>
  <si>
    <t>BK36XXY25393PJ</t>
  </si>
  <si>
    <t>Ross, Jason A. (DC)</t>
  </si>
  <si>
    <t>LT6551</t>
  </si>
  <si>
    <t>Yingling, Christian A. (DC Region)</t>
  </si>
  <si>
    <t>0F38FFX25033MR</t>
  </si>
  <si>
    <t>Irwin, Mary (DC)</t>
  </si>
  <si>
    <t>LT5124</t>
  </si>
  <si>
    <t>Dennis, Bernard G., III (DC)</t>
  </si>
  <si>
    <t>LT6863</t>
  </si>
  <si>
    <t>Palys, Bernice (DC)</t>
  </si>
  <si>
    <t>LT5248</t>
  </si>
  <si>
    <t>Charner, Y. Jed (DC)</t>
  </si>
  <si>
    <t>LT5142</t>
  </si>
  <si>
    <t>0F364Q924513MR</t>
  </si>
  <si>
    <t>BK34KXV25163PJ</t>
  </si>
  <si>
    <t>James, Regina (DC)</t>
  </si>
  <si>
    <t>Song, Stephany (DC)</t>
  </si>
  <si>
    <t>Meade, Bobby (DC)</t>
  </si>
  <si>
    <t>BK34JQF25393PJ</t>
  </si>
  <si>
    <t>LT6667</t>
  </si>
  <si>
    <t>Adams, Briana P. (DC Region)</t>
  </si>
  <si>
    <t>Young, Porter S. (DC)</t>
  </si>
  <si>
    <t>LT6784</t>
  </si>
  <si>
    <t>Southerland, Trisha (DC)</t>
  </si>
  <si>
    <t>BK33D6324253GT</t>
  </si>
  <si>
    <t>Noble, Keith (DC)</t>
  </si>
  <si>
    <t>0F3BD8625093GT</t>
  </si>
  <si>
    <t>Oliver, Brenda (DC)</t>
  </si>
  <si>
    <t>0F36K4C25033MR</t>
  </si>
  <si>
    <t>Kemp-Nguyen, Heather (DC)</t>
  </si>
  <si>
    <t>LT6823</t>
  </si>
  <si>
    <t>Ellis, Gillian (DC)</t>
  </si>
  <si>
    <t>LT6437</t>
  </si>
  <si>
    <t>Hatcher, Michael R. (DC)</t>
  </si>
  <si>
    <t>LT6857</t>
  </si>
  <si>
    <t>Schuler, Joseph E. (DC)</t>
  </si>
  <si>
    <t>LT6456</t>
  </si>
  <si>
    <t>Mullen, Mary (DC Region)</t>
  </si>
  <si>
    <t>0F3BCM325093GT</t>
  </si>
  <si>
    <t>Bellwoar, Andrew J. (DC)</t>
  </si>
  <si>
    <t>BK33TP425223PJ</t>
  </si>
  <si>
    <t>Obando, Ashley E. (DC Region)</t>
  </si>
  <si>
    <t>LT6789</t>
  </si>
  <si>
    <t>Fu, Minnie (DC)</t>
  </si>
  <si>
    <t>0F3BCTW25093GT</t>
  </si>
  <si>
    <t>Guiral, Carolina (DC)</t>
  </si>
  <si>
    <t>0F36XCF24493P7</t>
  </si>
  <si>
    <t>Schneider, Jeremy S. (DC)</t>
  </si>
  <si>
    <t>LT7251</t>
  </si>
  <si>
    <t>Schlichthernlein, Leia (NOC)</t>
  </si>
  <si>
    <t>LT5683</t>
  </si>
  <si>
    <t>Long, Terri (NOC)</t>
  </si>
  <si>
    <t>LT7324</t>
  </si>
  <si>
    <t>Golia, Juliana (NOC)</t>
  </si>
  <si>
    <t>LT7230</t>
  </si>
  <si>
    <t>Kennedy, David (NOC)</t>
  </si>
  <si>
    <t>0F33T4Y25033P7</t>
  </si>
  <si>
    <t>BK36Y8Q25393PJ</t>
  </si>
  <si>
    <t>Pasqualicchio, John (NOC)</t>
  </si>
  <si>
    <t>Wolf, Christina (NOC)</t>
  </si>
  <si>
    <t>0F33GQM24243MR</t>
  </si>
  <si>
    <t>Accardo, Lisa (NOC)</t>
  </si>
  <si>
    <t>AVD-GENDESK-010</t>
  </si>
  <si>
    <t>LT7332</t>
  </si>
  <si>
    <t>BK36CCW25323P7</t>
  </si>
  <si>
    <t>Woods, Schedale (NOC)</t>
  </si>
  <si>
    <t>Sanchez, Rickey (NOC)</t>
  </si>
  <si>
    <t>Patrylow, Luke (NOC)</t>
  </si>
  <si>
    <t>Statnikov, Ilya (NOC)</t>
  </si>
  <si>
    <t>AVD-GENDESK-054</t>
  </si>
  <si>
    <t>Rice, Krystal (NOC)</t>
  </si>
  <si>
    <t>KM</t>
  </si>
  <si>
    <t>zBook</t>
  </si>
  <si>
    <t>AAP</t>
  </si>
  <si>
    <t>OffSvc</t>
  </si>
  <si>
    <t>CLE</t>
  </si>
  <si>
    <t>SEA</t>
  </si>
  <si>
    <t>Atlanta</t>
  </si>
  <si>
    <t>Seattle</t>
  </si>
  <si>
    <t>Denver</t>
  </si>
  <si>
    <t>91
83
100
89</t>
  </si>
  <si>
    <t>77
75
66
89</t>
  </si>
  <si>
    <t>84
62
100
89</t>
  </si>
  <si>
    <t>80
72
73
94</t>
  </si>
  <si>
    <t>66
71
33
94</t>
  </si>
  <si>
    <t>87
67
100
94</t>
  </si>
  <si>
    <t>89
80
100
88</t>
  </si>
  <si>
    <t>96
100
100
89</t>
  </si>
  <si>
    <t>74
96
36
89</t>
  </si>
  <si>
    <t>65
48
59
89</t>
  </si>
  <si>
    <t>76
92
48
89</t>
  </si>
  <si>
    <t>54
34
40
88</t>
  </si>
  <si>
    <t>83
59
100
89</t>
  </si>
  <si>
    <t>93
84
100
94</t>
  </si>
  <si>
    <t>73
61
67
91</t>
  </si>
  <si>
    <t>56
23
56
88</t>
  </si>
  <si>
    <t>62
39
57
91</t>
  </si>
  <si>
    <t>75
93
43
89</t>
  </si>
  <si>
    <t>64
66
36
91</t>
  </si>
  <si>
    <t>78
47
100
86</t>
  </si>
  <si>
    <t>72
75
53
88</t>
  </si>
  <si>
    <t>95
100
100
86</t>
  </si>
  <si>
    <t>64
71
39
83</t>
  </si>
  <si>
    <t>86
65
100
94</t>
  </si>
  <si>
    <t>78
95
55
83</t>
  </si>
  <si>
    <t>75
78
64
83</t>
  </si>
  <si>
    <t>84
75
88
89</t>
  </si>
  <si>
    <t>67
52
61
88</t>
  </si>
  <si>
    <t>62
39
52
94</t>
  </si>
  <si>
    <t>74
67
61
94</t>
  </si>
  <si>
    <t xml:space="preserve">
73
87
41
89</t>
  </si>
  <si>
    <t>82
57
100
88</t>
  </si>
  <si>
    <t>81
100
50
94</t>
  </si>
  <si>
    <t xml:space="preserve">
66
66
43
88</t>
  </si>
  <si>
    <t xml:space="preserve">
76
77
62
89</t>
  </si>
  <si>
    <t>67
62
49
89</t>
  </si>
  <si>
    <t>59
23
59
94</t>
  </si>
  <si>
    <t>94
93
100
89</t>
  </si>
  <si>
    <t>75
98
33
94</t>
  </si>
  <si>
    <t>78
22
17
4</t>
  </si>
  <si>
    <t>67
85
67
100
89</t>
  </si>
  <si>
    <t>90
81
100
89</t>
  </si>
  <si>
    <t>77
85
53
94</t>
  </si>
  <si>
    <t>88
71
100
94</t>
  </si>
  <si>
    <t>72
71
58
88</t>
  </si>
  <si>
    <t>69
79
45
83</t>
  </si>
  <si>
    <t>56
23
50
94</t>
  </si>
  <si>
    <t>94
92
100
91</t>
  </si>
  <si>
    <t>66
57
46
94</t>
  </si>
  <si>
    <t>95
97
100
89</t>
  </si>
  <si>
    <t>88
74
100
89</t>
  </si>
  <si>
    <t>70
22
100
88</t>
  </si>
  <si>
    <t>56
21
--
91</t>
  </si>
  <si>
    <t>72
71
59
88</t>
  </si>
  <si>
    <t>65
50
58
86</t>
  </si>
  <si>
    <t>84
100
61
91</t>
  </si>
  <si>
    <t>74
32
100
89</t>
  </si>
  <si>
    <t>74
71
62
89</t>
  </si>
  <si>
    <t>94
92
100
89</t>
  </si>
  <si>
    <t>82
74
80
91</t>
  </si>
  <si>
    <t>74
74
56
91</t>
  </si>
  <si>
    <t>54
35
37
91</t>
  </si>
  <si>
    <t>70
60
57
94</t>
  </si>
  <si>
    <t>92
82
100
94</t>
  </si>
  <si>
    <t>71
57
65
91</t>
  </si>
  <si>
    <t>75
70
72
83</t>
  </si>
  <si>
    <t>85
94
67
94</t>
  </si>
  <si>
    <t>79
44
100
94</t>
  </si>
  <si>
    <t>79
68
78
91</t>
  </si>
  <si>
    <t>82
90
62
94</t>
  </si>
  <si>
    <t>50
40
22
89</t>
  </si>
  <si>
    <t>67
55
64
83</t>
  </si>
  <si>
    <t>Data</t>
  </si>
  <si>
    <t>87
75
100
86</t>
  </si>
  <si>
    <t>85
68
100
88</t>
  </si>
  <si>
    <t>85
61
100
94</t>
  </si>
  <si>
    <t>70
64
58
89</t>
  </si>
  <si>
    <t>72
23
100
94</t>
  </si>
  <si>
    <t>68
83
39
83</t>
  </si>
  <si>
    <t>74
84
54
83</t>
  </si>
  <si>
    <t>84
74
94
86</t>
  </si>
  <si>
    <t>83
66
100
83</t>
  </si>
  <si>
    <t>91
82
97
94</t>
  </si>
  <si>
    <t>89
72
100
94</t>
  </si>
  <si>
    <t>55
48
23
94</t>
  </si>
  <si>
    <t>66
8
100
89</t>
  </si>
  <si>
    <t>84
64
100
89</t>
  </si>
  <si>
    <t>64
70
40
83</t>
  </si>
  <si>
    <t>70
66
61
83</t>
  </si>
  <si>
    <t>89
73
100
94</t>
  </si>
  <si>
    <t>81
73
77
94</t>
  </si>
  <si>
    <t>93
91
100
89</t>
  </si>
  <si>
    <t>71
23
100
91</t>
  </si>
  <si>
    <t>68
57
59
89</t>
  </si>
  <si>
    <t>89
75
100
94</t>
  </si>
  <si>
    <t>80
45
100
94</t>
  </si>
  <si>
    <t>64
41
67
83</t>
  </si>
  <si>
    <t>95
--
100
89</t>
  </si>
  <si>
    <t>77
47
100
86</t>
  </si>
  <si>
    <t>67
48
59
94</t>
  </si>
  <si>
    <t>84
72
98
83</t>
  </si>
  <si>
    <t>54
47
22
94</t>
  </si>
  <si>
    <t>81
50
100
94</t>
  </si>
  <si>
    <t>67
79
28
94</t>
  </si>
  <si>
    <t>63
28
72
88</t>
  </si>
  <si>
    <t>79
45
100
91</t>
  </si>
  <si>
    <t>75
63
79
83</t>
  </si>
  <si>
    <t>94
100
100
83</t>
  </si>
  <si>
    <t>76
76
69
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</si>
</sst>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b/>
      <sz val="11"/>
      <color theme="1"/>
      <name val="Aptos Narrow"/>
      <family val="2"/>
      <scheme val="minor"/>
    </font>
    <font>
      <sz val="16"/>
      <color theme="1"/>
      <name val="Aptos Narrow"/>
      <family val="2"/>
      <scheme val="minor"/>
    </font>
    <font>
      <b/>
      <sz val="11"/>
      <color theme="1"/>
      <name val="Aptos Display"/>
      <family val="2"/>
      <scheme val="major"/>
    </font>
    <font>
      <sz val="11"/>
      <color theme="1"/>
      <name val="Aptos Display"/>
      <family val="2"/>
      <scheme val="major"/>
    </font>
    <font>
      <sz val="10"/>
      <name val="Segoe UI"/>
      <family val="2"/>
    </font>
    <font>
      <sz val="11"/>
      <name val="Segoe UI"/>
      <family val="2"/>
    </font>
    <font>
      <sz val="10"/>
      <name val="Segoe UI"/>
      <family val="2"/>
    </font>
    <font>
      <sz val="11"/>
      <name val="Aptos Display"/>
      <family val="2"/>
      <scheme val="major"/>
    </font>
    <font>
      <sz val="8"/>
      <name val="Aptos Narrow"/>
      <family val="2"/>
      <scheme val="minor"/>
    </font>
    <font>
      <sz val="9"/>
      <color indexed="81"/>
      <name val="Tahoma"/>
      <family val="2"/>
    </font>
    <font>
      <b/>
      <sz val="9"/>
      <color indexed="81"/>
      <name val="Tahoma"/>
      <family val="2"/>
    </font>
    <font>
      <b/>
      <sz val="11"/>
      <name val="Aptos Display"/>
      <family val="2"/>
      <scheme val="major"/>
    </font>
    <font>
      <b/>
      <sz val="12"/>
      <color theme="1"/>
      <name val="Aptos Narrow"/>
      <family val="2"/>
      <scheme val="minor"/>
    </font>
    <font>
      <b/>
      <sz val="11"/>
      <color theme="5" tint="-0.499984740745262"/>
      <name val="Aptos Narrow"/>
      <family val="2"/>
      <scheme val="minor"/>
    </font>
    <font>
      <sz val="16"/>
      <color theme="1"/>
      <name val="Aptos Display"/>
      <family val="2"/>
      <scheme val="major"/>
    </font>
    <font>
      <sz val="16"/>
      <color theme="0"/>
      <name val="Aptos Display"/>
      <family val="2"/>
      <scheme val="major"/>
    </font>
    <font>
      <sz val="18"/>
      <color theme="0"/>
      <name val="Aptos Display"/>
      <family val="2"/>
      <scheme val="major"/>
    </font>
    <font>
      <b/>
      <sz val="11"/>
      <color theme="0"/>
      <name val="Aptos Display"/>
      <family val="2"/>
      <scheme val="major"/>
    </font>
    <font>
      <b/>
      <sz val="11"/>
      <color theme="0"/>
      <name val="Aptos Narrow"/>
      <family val="2"/>
      <scheme val="minor"/>
    </font>
    <font>
      <sz val="11"/>
      <color theme="0"/>
      <name val="Aptos Narrow"/>
      <family val="2"/>
      <scheme val="minor"/>
    </font>
    <font>
      <u/>
      <sz val="11"/>
      <color theme="1"/>
      <name val="Aptos Narrow"/>
      <family val="2"/>
      <scheme val="minor"/>
    </font>
    <font>
      <b/>
      <sz val="14"/>
      <color theme="1"/>
      <name val="Aptos Narrow"/>
      <family val="2"/>
      <scheme val="minor"/>
    </font>
    <font>
      <b/>
      <sz val="18"/>
      <color theme="0"/>
      <name val="Aptos Display"/>
      <family val="2"/>
      <scheme val="major"/>
    </font>
    <font>
      <b/>
      <u/>
      <sz val="11"/>
      <color theme="1"/>
      <name val="Aptos Narrow"/>
      <family val="2"/>
      <scheme val="minor"/>
    </font>
  </fonts>
  <fills count="26">
    <fill>
      <patternFill patternType="none"/>
    </fill>
    <fill>
      <patternFill patternType="gray125"/>
    </fill>
    <fill>
      <patternFill patternType="solid">
        <fgColor theme="9" tint="0.39997558519241921"/>
        <bgColor indexed="64"/>
      </patternFill>
    </fill>
    <fill>
      <patternFill patternType="solid">
        <fgColor rgb="FFFF7C5D"/>
        <bgColor indexed="64"/>
      </patternFill>
    </fill>
    <fill>
      <patternFill patternType="solid">
        <fgColor theme="2" tint="-9.9978637043366805E-2"/>
        <bgColor indexed="64"/>
      </patternFill>
    </fill>
    <fill>
      <patternFill patternType="solid">
        <fgColor theme="9" tint="0.59999389629810485"/>
        <bgColor indexed="64"/>
      </patternFill>
    </fill>
    <fill>
      <patternFill patternType="solid">
        <fgColor theme="9" tint="-0.249977111117893"/>
        <bgColor indexed="64"/>
      </patternFill>
    </fill>
    <fill>
      <patternFill patternType="solid">
        <fgColor rgb="FFCAAFFF"/>
        <bgColor indexed="64"/>
      </patternFill>
    </fill>
    <fill>
      <patternFill patternType="solid">
        <fgColor rgb="FFE5C7A7"/>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theme="8" tint="0.39997558519241921"/>
        <bgColor indexed="64"/>
      </patternFill>
    </fill>
    <fill>
      <patternFill patternType="solid">
        <fgColor rgb="FFF64E1A"/>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rgb="FFFFC00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1"/>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rgb="FF00B0F0"/>
        <bgColor indexed="64"/>
      </patternFill>
    </fill>
    <fill>
      <patternFill patternType="solid">
        <fgColor rgb="FFEFCBBB"/>
        <bgColor indexed="64"/>
      </patternFill>
    </fill>
    <fill>
      <patternFill patternType="solid">
        <fgColor rgb="FFFF8F75"/>
        <bgColor indexed="64"/>
      </patternFill>
    </fill>
    <fill>
      <patternFill patternType="solid">
        <fgColor theme="3"/>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144">
    <xf numFmtId="0" fontId="0" fillId="0" borderId="0" xfId="0"/>
    <xf numFmtId="0" fontId="1" fillId="2" borderId="0" xfId="0" applyFont="1" applyFill="1"/>
    <xf numFmtId="0" fontId="0" fillId="2" borderId="0" xfId="0" applyFill="1"/>
    <xf numFmtId="4" fontId="0" fillId="3" borderId="0" xfId="0" applyNumberFormat="1" applyFill="1"/>
    <xf numFmtId="4" fontId="0" fillId="0" borderId="0" xfId="0" applyNumberFormat="1"/>
    <xf numFmtId="0" fontId="1" fillId="4" borderId="0" xfId="0" applyFont="1" applyFill="1" applyAlignment="1">
      <alignment horizontal="center"/>
    </xf>
    <xf numFmtId="4" fontId="0" fillId="6" borderId="0" xfId="0" applyNumberFormat="1" applyFill="1"/>
    <xf numFmtId="4" fontId="0" fillId="7" borderId="0" xfId="0" applyNumberFormat="1" applyFill="1"/>
    <xf numFmtId="4" fontId="0" fillId="8" borderId="0" xfId="0" applyNumberFormat="1" applyFill="1"/>
    <xf numFmtId="2" fontId="0" fillId="8" borderId="0" xfId="0" applyNumberFormat="1" applyFill="1"/>
    <xf numFmtId="0" fontId="1" fillId="9" borderId="0" xfId="0" applyFont="1" applyFill="1"/>
    <xf numFmtId="0" fontId="0" fillId="9" borderId="0" xfId="0" applyFill="1"/>
    <xf numFmtId="4" fontId="0" fillId="10" borderId="0" xfId="0" applyNumberFormat="1" applyFill="1"/>
    <xf numFmtId="0" fontId="0" fillId="9" borderId="0" xfId="0" applyFill="1" applyAlignment="1">
      <alignment horizontal="center"/>
    </xf>
    <xf numFmtId="0" fontId="0" fillId="0" borderId="0" xfId="0" applyAlignment="1">
      <alignment horizontal="center"/>
    </xf>
    <xf numFmtId="0" fontId="3" fillId="4" borderId="0" xfId="0" applyFont="1" applyFill="1"/>
    <xf numFmtId="0" fontId="4" fillId="5" borderId="0" xfId="0" applyFont="1" applyFill="1"/>
    <xf numFmtId="0" fontId="4" fillId="5" borderId="0" xfId="0" applyFont="1" applyFill="1" applyAlignment="1">
      <alignment horizontal="center"/>
    </xf>
    <xf numFmtId="0" fontId="1" fillId="4" borderId="0" xfId="0" applyFont="1" applyFill="1"/>
    <xf numFmtId="0" fontId="5" fillId="0" borderId="0" xfId="0" applyFont="1" applyAlignment="1">
      <alignment horizontal="left" vertical="center"/>
    </xf>
    <xf numFmtId="0" fontId="6" fillId="0" borderId="0" xfId="0" applyFont="1" applyAlignment="1">
      <alignment horizontal="left" vertical="center"/>
    </xf>
    <xf numFmtId="0" fontId="7" fillId="0" borderId="0" xfId="0" applyFont="1" applyAlignment="1">
      <alignment horizontal="left" vertical="center"/>
    </xf>
    <xf numFmtId="11" fontId="5" fillId="0" borderId="0" xfId="0" applyNumberFormat="1" applyFont="1" applyAlignment="1">
      <alignment horizontal="left" vertical="center"/>
    </xf>
    <xf numFmtId="0" fontId="1" fillId="9" borderId="0" xfId="0" applyFont="1" applyFill="1" applyAlignment="1">
      <alignment horizontal="center"/>
    </xf>
    <xf numFmtId="0" fontId="3" fillId="4" borderId="0" xfId="0" applyFont="1" applyFill="1" applyAlignment="1">
      <alignment horizontal="center"/>
    </xf>
    <xf numFmtId="0" fontId="4" fillId="5" borderId="0" xfId="0" applyFont="1" applyFill="1" applyAlignment="1">
      <alignment horizontal="left"/>
    </xf>
    <xf numFmtId="2" fontId="0" fillId="12" borderId="0" xfId="0" applyNumberFormat="1" applyFill="1"/>
    <xf numFmtId="4" fontId="0" fillId="12" borderId="0" xfId="0" applyNumberFormat="1" applyFill="1"/>
    <xf numFmtId="2" fontId="0" fillId="13" borderId="0" xfId="0" applyNumberFormat="1" applyFill="1"/>
    <xf numFmtId="0" fontId="0" fillId="13" borderId="0" xfId="0" applyFill="1"/>
    <xf numFmtId="4" fontId="0" fillId="13" borderId="0" xfId="0" applyNumberFormat="1" applyFill="1"/>
    <xf numFmtId="0" fontId="0" fillId="11" borderId="0" xfId="0" applyFill="1"/>
    <xf numFmtId="0" fontId="3" fillId="5" borderId="0" xfId="0" applyFont="1" applyFill="1" applyAlignment="1">
      <alignment horizontal="center"/>
    </xf>
    <xf numFmtId="0" fontId="3" fillId="5" borderId="0" xfId="0" applyFont="1" applyFill="1"/>
    <xf numFmtId="0" fontId="1" fillId="0" borderId="0" xfId="0" applyFont="1" applyAlignment="1">
      <alignment horizontal="center"/>
    </xf>
    <xf numFmtId="0" fontId="8" fillId="5" borderId="0" xfId="0" applyFont="1" applyFill="1"/>
    <xf numFmtId="0" fontId="3" fillId="14" borderId="0" xfId="0" applyFont="1" applyFill="1"/>
    <xf numFmtId="0" fontId="3" fillId="14" borderId="0" xfId="0" applyFont="1" applyFill="1" applyAlignment="1">
      <alignment horizontal="center"/>
    </xf>
    <xf numFmtId="0" fontId="1" fillId="9" borderId="0" xfId="0" applyFont="1" applyFill="1" applyAlignment="1">
      <alignment horizontal="left"/>
    </xf>
    <xf numFmtId="0" fontId="3" fillId="4" borderId="0" xfId="0" applyFont="1" applyFill="1" applyAlignment="1">
      <alignment horizontal="left"/>
    </xf>
    <xf numFmtId="0" fontId="0" fillId="0" borderId="0" xfId="0" applyAlignment="1">
      <alignment horizontal="left"/>
    </xf>
    <xf numFmtId="4" fontId="1" fillId="6" borderId="0" xfId="0" applyNumberFormat="1" applyFont="1" applyFill="1"/>
    <xf numFmtId="0" fontId="12" fillId="14" borderId="0" xfId="0" applyFont="1" applyFill="1"/>
    <xf numFmtId="0" fontId="12" fillId="14" borderId="0" xfId="0" applyFont="1" applyFill="1" applyAlignment="1">
      <alignment horizontal="left"/>
    </xf>
    <xf numFmtId="0" fontId="1" fillId="14" borderId="0" xfId="0" applyFont="1" applyFill="1"/>
    <xf numFmtId="2" fontId="0" fillId="10" borderId="0" xfId="0" applyNumberFormat="1" applyFill="1"/>
    <xf numFmtId="2" fontId="1" fillId="10" borderId="0" xfId="0" applyNumberFormat="1" applyFont="1" applyFill="1"/>
    <xf numFmtId="0" fontId="0" fillId="10" borderId="0" xfId="0" applyFill="1"/>
    <xf numFmtId="4" fontId="13" fillId="7" borderId="0" xfId="0" applyNumberFormat="1" applyFont="1" applyFill="1" applyAlignment="1">
      <alignment horizontal="center"/>
    </xf>
    <xf numFmtId="4" fontId="14" fillId="10" borderId="0" xfId="0" applyNumberFormat="1" applyFont="1" applyFill="1"/>
    <xf numFmtId="0" fontId="3" fillId="15" borderId="0" xfId="0" applyFont="1" applyFill="1" applyAlignment="1">
      <alignment horizontal="center"/>
    </xf>
    <xf numFmtId="0" fontId="3" fillId="16" borderId="0" xfId="0" applyFont="1" applyFill="1" applyAlignment="1">
      <alignment horizontal="center"/>
    </xf>
    <xf numFmtId="0" fontId="4" fillId="9" borderId="0" xfId="0" applyFont="1" applyFill="1" applyAlignment="1">
      <alignment horizontal="left"/>
    </xf>
    <xf numFmtId="0" fontId="3" fillId="9" borderId="0" xfId="0" applyFont="1" applyFill="1" applyAlignment="1">
      <alignment horizontal="center"/>
    </xf>
    <xf numFmtId="0" fontId="3" fillId="17" borderId="0" xfId="0" applyFont="1" applyFill="1" applyAlignment="1">
      <alignment horizontal="center"/>
    </xf>
    <xf numFmtId="0" fontId="4" fillId="9" borderId="0" xfId="0" applyFont="1" applyFill="1" applyAlignment="1">
      <alignment horizontal="center"/>
    </xf>
    <xf numFmtId="0" fontId="12" fillId="14" borderId="0" xfId="0" applyFont="1" applyFill="1" applyAlignment="1">
      <alignment horizontal="center"/>
    </xf>
    <xf numFmtId="0" fontId="0" fillId="18" borderId="0" xfId="0" applyFill="1"/>
    <xf numFmtId="0" fontId="0" fillId="18" borderId="0" xfId="0" applyFill="1" applyAlignment="1">
      <alignment horizontal="left"/>
    </xf>
    <xf numFmtId="0" fontId="0" fillId="18" borderId="0" xfId="0" applyFill="1" applyAlignment="1">
      <alignment horizontal="center"/>
    </xf>
    <xf numFmtId="0" fontId="1" fillId="18" borderId="0" xfId="0" applyFont="1" applyFill="1" applyAlignment="1">
      <alignment horizontal="center"/>
    </xf>
    <xf numFmtId="0" fontId="1" fillId="18" borderId="0" xfId="0" applyFont="1" applyFill="1"/>
    <xf numFmtId="0" fontId="4" fillId="9" borderId="0" xfId="0" applyFont="1" applyFill="1"/>
    <xf numFmtId="0" fontId="0" fillId="19" borderId="0" xfId="0" applyFill="1"/>
    <xf numFmtId="4" fontId="1" fillId="19" borderId="0" xfId="0" applyNumberFormat="1" applyFont="1" applyFill="1"/>
    <xf numFmtId="4" fontId="1" fillId="3" borderId="0" xfId="0" applyNumberFormat="1" applyFont="1" applyFill="1" applyAlignment="1">
      <alignment horizontal="center"/>
    </xf>
    <xf numFmtId="4" fontId="13" fillId="6" borderId="0" xfId="0" applyNumberFormat="1" applyFont="1" applyFill="1" applyAlignment="1">
      <alignment horizontal="center"/>
    </xf>
    <xf numFmtId="0" fontId="3" fillId="20" borderId="0" xfId="0" applyFont="1" applyFill="1" applyAlignment="1">
      <alignment horizontal="center"/>
    </xf>
    <xf numFmtId="0" fontId="3" fillId="21" borderId="0" xfId="0" applyFont="1" applyFill="1" applyAlignment="1">
      <alignment horizontal="center"/>
    </xf>
    <xf numFmtId="4" fontId="2" fillId="22" borderId="0" xfId="0" applyNumberFormat="1" applyFont="1" applyFill="1"/>
    <xf numFmtId="0" fontId="2" fillId="0" borderId="0" xfId="0" applyFont="1"/>
    <xf numFmtId="0" fontId="15" fillId="18" borderId="0" xfId="0" applyFont="1" applyFill="1" applyAlignment="1">
      <alignment horizontal="left"/>
    </xf>
    <xf numFmtId="0" fontId="15" fillId="18" borderId="0" xfId="0" applyFont="1" applyFill="1" applyAlignment="1">
      <alignment horizontal="center"/>
    </xf>
    <xf numFmtId="0" fontId="16" fillId="18" borderId="0" xfId="0" applyFont="1" applyFill="1" applyAlignment="1">
      <alignment horizontal="right"/>
    </xf>
    <xf numFmtId="4" fontId="0" fillId="19" borderId="0" xfId="0" applyNumberFormat="1" applyFill="1"/>
    <xf numFmtId="0" fontId="3" fillId="23" borderId="0" xfId="0" applyFont="1" applyFill="1" applyAlignment="1">
      <alignment horizontal="center"/>
    </xf>
    <xf numFmtId="0" fontId="0" fillId="24" borderId="0" xfId="0" applyFill="1"/>
    <xf numFmtId="0" fontId="4" fillId="18" borderId="0" xfId="0" applyFont="1" applyFill="1" applyAlignment="1">
      <alignment horizontal="left"/>
    </xf>
    <xf numFmtId="0" fontId="4" fillId="18" borderId="0" xfId="0" applyFont="1" applyFill="1" applyAlignment="1">
      <alignment horizontal="center"/>
    </xf>
    <xf numFmtId="0" fontId="3" fillId="18" borderId="0" xfId="0" applyFont="1" applyFill="1" applyAlignment="1">
      <alignment horizontal="center"/>
    </xf>
    <xf numFmtId="0" fontId="17" fillId="18" borderId="0" xfId="0" applyFont="1" applyFill="1" applyAlignment="1">
      <alignment horizontal="left"/>
    </xf>
    <xf numFmtId="0" fontId="4" fillId="0" borderId="0" xfId="0" applyFont="1"/>
    <xf numFmtId="0" fontId="4" fillId="0" borderId="0" xfId="0" applyFont="1" applyAlignment="1">
      <alignment horizontal="center"/>
    </xf>
    <xf numFmtId="0" fontId="3" fillId="0" borderId="0" xfId="0" applyFont="1"/>
    <xf numFmtId="0" fontId="3" fillId="0" borderId="0" xfId="0" applyFont="1" applyAlignment="1">
      <alignment horizontal="center"/>
    </xf>
    <xf numFmtId="0" fontId="12" fillId="0" borderId="0" xfId="0" applyFont="1"/>
    <xf numFmtId="0" fontId="12" fillId="0" borderId="0" xfId="0" applyFont="1" applyAlignment="1">
      <alignment horizontal="left"/>
    </xf>
    <xf numFmtId="0" fontId="12" fillId="0" borderId="0" xfId="0" applyFont="1" applyAlignment="1">
      <alignment horizontal="center"/>
    </xf>
    <xf numFmtId="0" fontId="1" fillId="5" borderId="0" xfId="0" applyFont="1" applyFill="1" applyAlignment="1">
      <alignment horizontal="center"/>
    </xf>
    <xf numFmtId="0" fontId="0" fillId="5" borderId="0" xfId="0" applyFill="1"/>
    <xf numFmtId="0" fontId="0" fillId="5" borderId="0" xfId="0" applyFill="1" applyAlignment="1">
      <alignment horizontal="center"/>
    </xf>
    <xf numFmtId="0" fontId="1" fillId="5" borderId="0" xfId="0" applyFont="1" applyFill="1" applyAlignment="1">
      <alignment horizontal="left"/>
    </xf>
    <xf numFmtId="2" fontId="0" fillId="0" borderId="0" xfId="0" applyNumberFormat="1"/>
    <xf numFmtId="0" fontId="1" fillId="10" borderId="0" xfId="0" applyFont="1" applyFill="1" applyAlignment="1">
      <alignment horizontal="center"/>
    </xf>
    <xf numFmtId="2" fontId="0" fillId="25" borderId="0" xfId="0" applyNumberFormat="1" applyFill="1"/>
    <xf numFmtId="0" fontId="0" fillId="25" borderId="0" xfId="0" applyFill="1"/>
    <xf numFmtId="0" fontId="4" fillId="18" borderId="0" xfId="0" applyFont="1" applyFill="1"/>
    <xf numFmtId="0" fontId="18" fillId="18" borderId="0" xfId="0" applyFont="1" applyFill="1" applyAlignment="1">
      <alignment horizontal="center"/>
    </xf>
    <xf numFmtId="0" fontId="3" fillId="4" borderId="0" xfId="0" applyFont="1" applyFill="1" applyAlignment="1">
      <alignment horizontal="left" readingOrder="1"/>
    </xf>
    <xf numFmtId="0" fontId="1" fillId="9" borderId="0" xfId="0" applyFont="1" applyFill="1" applyAlignment="1">
      <alignment horizontal="left" wrapText="1" readingOrder="1"/>
    </xf>
    <xf numFmtId="0" fontId="1" fillId="5" borderId="0" xfId="0" applyFont="1" applyFill="1" applyAlignment="1">
      <alignment horizontal="left" readingOrder="1"/>
    </xf>
    <xf numFmtId="0" fontId="18" fillId="18" borderId="0" xfId="0" applyFont="1" applyFill="1"/>
    <xf numFmtId="2" fontId="0" fillId="5" borderId="0" xfId="0" applyNumberFormat="1" applyFill="1"/>
    <xf numFmtId="2" fontId="0" fillId="5" borderId="0" xfId="0" applyNumberFormat="1" applyFill="1" applyAlignment="1">
      <alignment horizontal="center"/>
    </xf>
    <xf numFmtId="2" fontId="0" fillId="5" borderId="0" xfId="0" applyNumberFormat="1" applyFill="1" applyAlignment="1">
      <alignment horizontal="left" readingOrder="1"/>
    </xf>
    <xf numFmtId="2" fontId="0" fillId="0" borderId="0" xfId="0" applyNumberFormat="1" applyAlignment="1">
      <alignment horizontal="center"/>
    </xf>
    <xf numFmtId="2" fontId="0" fillId="9" borderId="0" xfId="0" applyNumberFormat="1" applyFill="1"/>
    <xf numFmtId="2" fontId="0" fillId="9" borderId="0" xfId="0" applyNumberFormat="1" applyFill="1" applyAlignment="1">
      <alignment horizontal="center"/>
    </xf>
    <xf numFmtId="2" fontId="0" fillId="9" borderId="0" xfId="0" applyNumberFormat="1" applyFill="1" applyAlignment="1">
      <alignment horizontal="left" readingOrder="1"/>
    </xf>
    <xf numFmtId="2" fontId="1" fillId="9" borderId="0" xfId="0" applyNumberFormat="1" applyFont="1" applyFill="1" applyAlignment="1">
      <alignment horizontal="center"/>
    </xf>
    <xf numFmtId="2" fontId="0" fillId="6" borderId="0" xfId="0" applyNumberFormat="1" applyFill="1"/>
    <xf numFmtId="2" fontId="19" fillId="18" borderId="0" xfId="0" applyNumberFormat="1" applyFont="1" applyFill="1"/>
    <xf numFmtId="2" fontId="20" fillId="18" borderId="0" xfId="0" applyNumberFormat="1" applyFont="1" applyFill="1"/>
    <xf numFmtId="2" fontId="20" fillId="18" borderId="0" xfId="0" applyNumberFormat="1" applyFont="1" applyFill="1" applyAlignment="1">
      <alignment horizontal="center"/>
    </xf>
    <xf numFmtId="2" fontId="1" fillId="5" borderId="0" xfId="0" applyNumberFormat="1" applyFont="1" applyFill="1" applyAlignment="1">
      <alignment horizontal="center"/>
    </xf>
    <xf numFmtId="1" fontId="4" fillId="18" borderId="0" xfId="0" applyNumberFormat="1" applyFont="1" applyFill="1" applyAlignment="1">
      <alignment horizontal="center"/>
    </xf>
    <xf numFmtId="1" fontId="3" fillId="4" borderId="0" xfId="0" applyNumberFormat="1" applyFont="1" applyFill="1" applyAlignment="1">
      <alignment horizontal="center"/>
    </xf>
    <xf numFmtId="1" fontId="1" fillId="4" borderId="0" xfId="0" applyNumberFormat="1" applyFont="1" applyFill="1" applyAlignment="1">
      <alignment horizontal="center"/>
    </xf>
    <xf numFmtId="1" fontId="0" fillId="9" borderId="0" xfId="0" applyNumberFormat="1" applyFill="1" applyAlignment="1">
      <alignment horizontal="center"/>
    </xf>
    <xf numFmtId="1" fontId="0" fillId="5" borderId="0" xfId="0" applyNumberFormat="1" applyFill="1" applyAlignment="1">
      <alignment horizontal="center"/>
    </xf>
    <xf numFmtId="1" fontId="20" fillId="18" borderId="0" xfId="0" applyNumberFormat="1" applyFont="1" applyFill="1" applyAlignment="1">
      <alignment horizontal="center"/>
    </xf>
    <xf numFmtId="1" fontId="0" fillId="0" borderId="0" xfId="0" applyNumberFormat="1" applyAlignment="1">
      <alignment horizontal="center"/>
    </xf>
    <xf numFmtId="2" fontId="21" fillId="5" borderId="0" xfId="0" applyNumberFormat="1" applyFont="1" applyFill="1"/>
    <xf numFmtId="2" fontId="21" fillId="5" borderId="0" xfId="0" applyNumberFormat="1" applyFont="1" applyFill="1" applyAlignment="1">
      <alignment horizontal="center"/>
    </xf>
    <xf numFmtId="1" fontId="21" fillId="5" borderId="0" xfId="0" applyNumberFormat="1" applyFont="1" applyFill="1" applyAlignment="1">
      <alignment horizontal="center"/>
    </xf>
    <xf numFmtId="2" fontId="21" fillId="10" borderId="0" xfId="0" applyNumberFormat="1" applyFont="1" applyFill="1"/>
    <xf numFmtId="2" fontId="21" fillId="0" borderId="0" xfId="0" applyNumberFormat="1" applyFont="1"/>
    <xf numFmtId="2" fontId="22" fillId="25" borderId="0" xfId="0" applyNumberFormat="1" applyFont="1" applyFill="1"/>
    <xf numFmtId="2" fontId="22" fillId="25" borderId="0" xfId="0" applyNumberFormat="1" applyFont="1" applyFill="1" applyAlignment="1">
      <alignment horizontal="center"/>
    </xf>
    <xf numFmtId="1" fontId="22" fillId="25" borderId="0" xfId="0" applyNumberFormat="1" applyFont="1" applyFill="1" applyAlignment="1">
      <alignment horizontal="center"/>
    </xf>
    <xf numFmtId="0" fontId="1" fillId="5" borderId="0" xfId="0" applyFont="1" applyFill="1" applyAlignment="1">
      <alignment horizontal="left" wrapText="1" readingOrder="1"/>
    </xf>
    <xf numFmtId="0" fontId="1" fillId="16" borderId="0" xfId="0" applyFont="1" applyFill="1" applyAlignment="1">
      <alignment horizontal="left"/>
    </xf>
    <xf numFmtId="14" fontId="23" fillId="18" borderId="0" xfId="0" applyNumberFormat="1" applyFont="1" applyFill="1" applyAlignment="1">
      <alignment horizontal="left" readingOrder="1"/>
    </xf>
    <xf numFmtId="0" fontId="3" fillId="18" borderId="0" xfId="0" applyFont="1" applyFill="1" applyAlignment="1">
      <alignment horizontal="left" readingOrder="1"/>
    </xf>
    <xf numFmtId="2" fontId="1" fillId="9" borderId="0" xfId="0" applyNumberFormat="1" applyFont="1" applyFill="1" applyAlignment="1">
      <alignment horizontal="left" wrapText="1" readingOrder="1"/>
    </xf>
    <xf numFmtId="2" fontId="1" fillId="5" borderId="0" xfId="0" applyNumberFormat="1" applyFont="1" applyFill="1" applyAlignment="1">
      <alignment horizontal="left" wrapText="1" readingOrder="1"/>
    </xf>
    <xf numFmtId="2" fontId="1" fillId="9" borderId="0" xfId="0" applyNumberFormat="1" applyFont="1" applyFill="1" applyAlignment="1">
      <alignment wrapText="1"/>
    </xf>
    <xf numFmtId="2" fontId="1" fillId="5" borderId="0" xfId="0" applyNumberFormat="1" applyFont="1" applyFill="1"/>
    <xf numFmtId="2" fontId="24" fillId="5" borderId="0" xfId="0" applyNumberFormat="1" applyFont="1" applyFill="1" applyAlignment="1">
      <alignment horizontal="left" readingOrder="1"/>
    </xf>
    <xf numFmtId="2" fontId="1" fillId="5" borderId="0" xfId="0" applyNumberFormat="1" applyFont="1" applyFill="1" applyAlignment="1">
      <alignment horizontal="left" readingOrder="1"/>
    </xf>
    <xf numFmtId="2" fontId="19" fillId="18" borderId="0" xfId="0" applyNumberFormat="1" applyFont="1" applyFill="1" applyAlignment="1">
      <alignment horizontal="left" readingOrder="1"/>
    </xf>
    <xf numFmtId="2" fontId="1" fillId="0" borderId="0" xfId="0" applyNumberFormat="1" applyFont="1" applyAlignment="1">
      <alignment horizontal="left" readingOrder="1"/>
    </xf>
    <xf numFmtId="0" fontId="1" fillId="0" borderId="0" xfId="0" applyFont="1" applyAlignment="1">
      <alignment horizontal="left" readingOrder="1"/>
    </xf>
    <xf numFmtId="2" fontId="1" fillId="5" borderId="0" xfId="0" applyNumberFormat="1" applyFont="1" applyFill="1" applyAlignment="1">
      <alignment wrapText="1"/>
    </xf>
  </cellXfs>
  <cellStyles count="1">
    <cellStyle name="Normal" xfId="0" builtinId="0"/>
  </cellStyles>
  <dxfs count="0"/>
  <tableStyles count="0" defaultTableStyle="TableStyleMedium2" defaultPivotStyle="PivotStyleLight16"/>
  <colors>
    <mruColors>
      <color rgb="FFF64E1A"/>
      <color rgb="FFFF8F75"/>
      <color rgb="FFEFCBBB"/>
      <color rgb="FFFC785E"/>
      <color rgb="FFFF6600"/>
      <color rgb="FFE5C7A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Memory</a:t>
            </a:r>
            <a:br>
              <a:rPr lang="en-US"/>
            </a:br>
            <a:r>
              <a:rPr lang="en-US"/>
              <a:t>Avail / Page faults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Lbl>
              <c:idx val="0"/>
              <c:layout>
                <c:manualLayout>
                  <c:x val="6.5173599375728444E-4"/>
                  <c:y val="-6.743868920428719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5658253866872801E-2"/>
                      <c:h val="3.4653928011588828E-2"/>
                    </c:manualLayout>
                  </c15:layout>
                </c:ext>
                <c:ext xmlns:c16="http://schemas.microsoft.com/office/drawing/2014/chart" uri="{C3380CC4-5D6E-409C-BE32-E72D297353CC}">
                  <c16:uniqueId val="{00000000-032D-46AE-BCAA-CE6A959A03BF}"/>
                </c:ext>
              </c:extLst>
            </c:dLbl>
            <c:dLbl>
              <c:idx val="1"/>
              <c:layout>
                <c:manualLayout>
                  <c:x val="-3.9104159625438532E-3"/>
                  <c:y val="-2.89022953732659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32D-46AE-BCAA-CE6A959A03B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'Pilot Offices - Perfmon 2026 6h'!$K$216:$L$216</c:f>
              <c:strCache>
                <c:ptCount val="2"/>
                <c:pt idx="0">
                  <c:v>\\Memory\Available MBytes</c:v>
                </c:pt>
                <c:pt idx="1">
                  <c:v>\\Memory\Page Faults/sec</c:v>
                </c:pt>
              </c:strCache>
            </c:strRef>
          </c:cat>
          <c:val>
            <c:numRef>
              <c:f>'Pilot Offices - Perfmon 2026 6h'!$K$217:$L$217</c:f>
              <c:numCache>
                <c:formatCode>0.00</c:formatCode>
                <c:ptCount val="2"/>
                <c:pt idx="0">
                  <c:v>8487.188779875125</c:v>
                </c:pt>
                <c:pt idx="1">
                  <c:v>8503.9717832591759</c:v>
                </c:pt>
              </c:numCache>
            </c:numRef>
          </c:val>
          <c:extLst>
            <c:ext xmlns:c16="http://schemas.microsoft.com/office/drawing/2014/chart" uri="{C3380CC4-5D6E-409C-BE32-E72D297353CC}">
              <c16:uniqueId val="{00000000-B4D4-4700-9D0D-2AA5493E9C62}"/>
            </c:ext>
          </c:extLst>
        </c:ser>
        <c:dLbls>
          <c:showLegendKey val="0"/>
          <c:showVal val="0"/>
          <c:showCatName val="0"/>
          <c:showSerName val="0"/>
          <c:showPercent val="0"/>
          <c:showBubbleSize val="0"/>
        </c:dLbls>
        <c:gapWidth val="65"/>
        <c:shape val="box"/>
        <c:axId val="1178812207"/>
        <c:axId val="1178812687"/>
        <c:axId val="0"/>
      </c:bar3DChart>
      <c:catAx>
        <c:axId val="11788122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8812687"/>
        <c:crosses val="autoZero"/>
        <c:auto val="1"/>
        <c:lblAlgn val="ctr"/>
        <c:lblOffset val="100"/>
        <c:noMultiLvlLbl val="0"/>
      </c:catAx>
      <c:valAx>
        <c:axId val="1178812687"/>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78812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Network</a:t>
            </a:r>
            <a:br>
              <a:rPr lang="en-US"/>
            </a:br>
            <a:r>
              <a:rPr lang="en-US"/>
              <a:t>Total bytes/sec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'Pilot Offices - Perfmon 2026 6h'!$Q$216:$AD$216</c:f>
              <c:strCache>
                <c:ptCount val="14"/>
                <c:pt idx="0">
                  <c:v>\\Network Adapter(Teredo Tunneling Pseudo-Interface)\Bytes Total/sec</c:v>
                </c:pt>
                <c:pt idx="1">
                  <c:v>\\Network Adapter(PANGP Virtual Ethernet Adapter Secure)\Bytes Total/sec</c:v>
                </c:pt>
                <c:pt idx="2">
                  <c:v>\\Network Adapter(Realtek USB GbE Family Controller)\Bytes Total/sec</c:v>
                </c:pt>
                <c:pt idx="3">
                  <c:v>\\Network Adapter(Microsoft IP-HTTPS Platform Interface)\Bytes Total/sec</c:v>
                </c:pt>
                <c:pt idx="4">
                  <c:v>\Network Adapter(Surface Ethernet Adapter _2)\Bytes Total/sec</c:v>
                </c:pt>
                <c:pt idx="5">
                  <c:v>\\Network Adapter(Microsoft Hyper-V Network Adapter)\Bytes Total/sec</c:v>
                </c:pt>
                <c:pt idx="6">
                  <c:v>\\Network Adapter(Local Area Connection* 6)\Bytes Total/sec</c:v>
                </c:pt>
                <c:pt idx="7">
                  <c:v>\\Network Adapter(Local Area Connection* 5)\Bytes Total/sec</c:v>
                </c:pt>
                <c:pt idx="8">
                  <c:v>\\Network Adapter(Local Area Connection* 4)\Bytes Total/sec</c:v>
                </c:pt>
                <c:pt idx="9">
                  <c:v>\\Network Adapter(Local Area Connection* 3)\Bytes Total/sec</c:v>
                </c:pt>
                <c:pt idx="10">
                  <c:v>\\Network Adapter(Intel[R] Wi-Fi 6 AX201 160MHz)\Bytes Total/sec</c:v>
                </c:pt>
                <c:pt idx="11">
                  <c:v>\\Network Adapter(Bluetooth Device [Personal Area Network])\Bytes Total/sec</c:v>
                </c:pt>
                <c:pt idx="12">
                  <c:v>\\Network Adapter(6to4 Adapter)\Bytes Total/sec</c:v>
                </c:pt>
                <c:pt idx="13">
                  <c:v>\\Network Adapter(Intel[R] Wi-Fi 7</c:v>
                </c:pt>
              </c:strCache>
            </c:strRef>
          </c:cat>
          <c:val>
            <c:numRef>
              <c:f>'Pilot Offices - Perfmon 2026 6h'!$Q$217:$AD$217</c:f>
              <c:numCache>
                <c:formatCode>0.00</c:formatCode>
                <c:ptCount val="14"/>
                <c:pt idx="0">
                  <c:v>2.4129386667045729</c:v>
                </c:pt>
                <c:pt idx="1">
                  <c:v>23773.799033747648</c:v>
                </c:pt>
                <c:pt idx="2">
                  <c:v>140653.58821862144</c:v>
                </c:pt>
                <c:pt idx="4">
                  <c:v>69424.215651193648</c:v>
                </c:pt>
                <c:pt idx="10">
                  <c:v>57496.93209324059</c:v>
                </c:pt>
                <c:pt idx="13">
                  <c:v>82551.092601334618</c:v>
                </c:pt>
              </c:numCache>
            </c:numRef>
          </c:val>
          <c:extLst>
            <c:ext xmlns:c16="http://schemas.microsoft.com/office/drawing/2014/chart" uri="{C3380CC4-5D6E-409C-BE32-E72D297353CC}">
              <c16:uniqueId val="{00000000-109A-4643-9AFF-34F09B6971F0}"/>
            </c:ext>
          </c:extLst>
        </c:ser>
        <c:dLbls>
          <c:showLegendKey val="0"/>
          <c:showVal val="0"/>
          <c:showCatName val="0"/>
          <c:showSerName val="0"/>
          <c:showPercent val="0"/>
          <c:showBubbleSize val="0"/>
        </c:dLbls>
        <c:gapWidth val="65"/>
        <c:shape val="box"/>
        <c:axId val="506260863"/>
        <c:axId val="506263263"/>
        <c:axId val="0"/>
      </c:bar3DChart>
      <c:catAx>
        <c:axId val="506260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06263263"/>
        <c:crosses val="autoZero"/>
        <c:auto val="1"/>
        <c:lblAlgn val="ctr"/>
        <c:lblOffset val="100"/>
        <c:noMultiLvlLbl val="0"/>
      </c:catAx>
      <c:valAx>
        <c:axId val="506263263"/>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0626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Chart DISK I/O</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Lbl>
              <c:idx val="0"/>
              <c:layout>
                <c:manualLayout>
                  <c:x val="-6.3551402492716194E-3"/>
                  <c:y val="-7.26496133934615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23-4BBC-8569-75C36A6CD8DD}"/>
                </c:ext>
              </c:extLst>
            </c:dLbl>
            <c:dLbl>
              <c:idx val="1"/>
              <c:layout>
                <c:manualLayout>
                  <c:x val="-1.2710280498543239E-2"/>
                  <c:y val="-6.78063058338974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23-4BBC-8569-75C36A6CD8DD}"/>
                </c:ext>
              </c:extLst>
            </c:dLbl>
            <c:dLbl>
              <c:idx val="2"/>
              <c:layout>
                <c:manualLayout>
                  <c:x val="2.5420560997086322E-2"/>
                  <c:y val="-7.26496133934615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23-4BBC-8569-75C36A6CD8D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'Pilot Offices - Perfmon 2026 6h'!$AE$216:$AG$216</c:f>
              <c:strCache>
                <c:ptCount val="3"/>
                <c:pt idx="0">
                  <c:v>Avg. Disk Bytes\% Idle Time</c:v>
                </c:pt>
                <c:pt idx="1">
                  <c:v>Avg. Disk Bytes/Read</c:v>
                </c:pt>
                <c:pt idx="2">
                  <c:v>Avg. Disk Bytes/Write</c:v>
                </c:pt>
              </c:strCache>
            </c:strRef>
          </c:cat>
          <c:val>
            <c:numRef>
              <c:f>'Pilot Offices - Perfmon 2026 6h'!$AE$217:$AG$217</c:f>
              <c:numCache>
                <c:formatCode>0.00</c:formatCode>
                <c:ptCount val="3"/>
                <c:pt idx="0">
                  <c:v>98.270310640745635</c:v>
                </c:pt>
                <c:pt idx="1">
                  <c:v>36254.108225509772</c:v>
                </c:pt>
                <c:pt idx="2">
                  <c:v>19598.39980726776</c:v>
                </c:pt>
              </c:numCache>
            </c:numRef>
          </c:val>
          <c:extLst>
            <c:ext xmlns:c16="http://schemas.microsoft.com/office/drawing/2014/chart" uri="{C3380CC4-5D6E-409C-BE32-E72D297353CC}">
              <c16:uniqueId val="{00000000-B823-4BBC-8569-75C36A6CD8DD}"/>
            </c:ext>
          </c:extLst>
        </c:ser>
        <c:dLbls>
          <c:showLegendKey val="0"/>
          <c:showVal val="0"/>
          <c:showCatName val="0"/>
          <c:showSerName val="0"/>
          <c:showPercent val="0"/>
          <c:showBubbleSize val="0"/>
        </c:dLbls>
        <c:gapWidth val="65"/>
        <c:shape val="box"/>
        <c:axId val="1034453919"/>
        <c:axId val="1034460639"/>
        <c:axId val="0"/>
      </c:bar3DChart>
      <c:catAx>
        <c:axId val="10344539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034460639"/>
        <c:crosses val="autoZero"/>
        <c:auto val="1"/>
        <c:lblAlgn val="ctr"/>
        <c:lblOffset val="100"/>
        <c:noMultiLvlLbl val="0"/>
      </c:catAx>
      <c:valAx>
        <c:axId val="1034460639"/>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03445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Processor %</a:t>
            </a:r>
            <a:br>
              <a:rPr lang="en-US"/>
            </a:br>
            <a:r>
              <a:rPr lang="en-US"/>
              <a:t>Per app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5215528905492E-2"/>
          <c:y val="5.0461894562239686E-2"/>
          <c:w val="0.9304421162230756"/>
          <c:h val="0.6654561354208276"/>
        </c:manualLayout>
      </c:layout>
      <c:area3DChart>
        <c:grouping val="standar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dLbl>
              <c:idx val="0"/>
              <c:layout>
                <c:manualLayout>
                  <c:x val="1.024482902908566E-17"/>
                  <c:y val="-6.26744609538108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1ED9-4232-811C-C6AD2A45DCDC}"/>
                </c:ext>
              </c:extLst>
            </c:dLbl>
            <c:dLbl>
              <c:idx val="1"/>
              <c:layout>
                <c:manualLayout>
                  <c:x val="4.4705224923162687E-3"/>
                  <c:y val="-3.581397768789196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1ED9-4232-811C-C6AD2A45DCDC}"/>
                </c:ext>
              </c:extLst>
            </c:dLbl>
            <c:dLbl>
              <c:idx val="2"/>
              <c:layout>
                <c:manualLayout>
                  <c:x val="1.1176306230790724E-3"/>
                  <c:y val="-1.611628995955135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ED9-4232-811C-C6AD2A45DCDC}"/>
                </c:ext>
              </c:extLst>
            </c:dLbl>
            <c:dLbl>
              <c:idx val="3"/>
              <c:layout>
                <c:manualLayout>
                  <c:x val="0"/>
                  <c:y val="-2.6860483265918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ED9-4232-811C-C6AD2A45DCDC}"/>
                </c:ext>
              </c:extLst>
            </c:dLbl>
            <c:dLbl>
              <c:idx val="4"/>
              <c:layout>
                <c:manualLayout>
                  <c:x val="0"/>
                  <c:y val="-5.01395687630486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ED9-4232-811C-C6AD2A45DCDC}"/>
                </c:ext>
              </c:extLst>
            </c:dLbl>
            <c:dLbl>
              <c:idx val="6"/>
              <c:layout>
                <c:manualLayout>
                  <c:x val="-1.1735121542330281E-2"/>
                  <c:y val="-4.65581709942595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ED9-4232-811C-C6AD2A45DCDC}"/>
                </c:ext>
              </c:extLst>
            </c:dLbl>
            <c:dLbl>
              <c:idx val="7"/>
              <c:layout>
                <c:manualLayout>
                  <c:x val="-4.4705224923163303E-3"/>
                  <c:y val="-0.161162899595513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ED9-4232-811C-C6AD2A45DCDC}"/>
                </c:ext>
              </c:extLst>
            </c:dLbl>
            <c:dLbl>
              <c:idx val="8"/>
              <c:layout>
                <c:manualLayout>
                  <c:x val="7.8234143615535066E-3"/>
                  <c:y val="-4.11860743410756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ED9-4232-811C-C6AD2A45DCDC}"/>
                </c:ext>
              </c:extLst>
            </c:dLbl>
            <c:dLbl>
              <c:idx val="9"/>
              <c:layout>
                <c:manualLayout>
                  <c:x val="1.1176306230790724E-3"/>
                  <c:y val="-2.50697843815243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ED9-4232-811C-C6AD2A45DCDC}"/>
                </c:ext>
              </c:extLst>
            </c:dLbl>
            <c:dLbl>
              <c:idx val="10"/>
              <c:layout>
                <c:manualLayout>
                  <c:x val="-5.0293378038558665E-3"/>
                  <c:y val="-4.29767732254702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ED9-4232-811C-C6AD2A45DCDC}"/>
                </c:ext>
              </c:extLst>
            </c:dLbl>
            <c:dLbl>
              <c:idx val="11"/>
              <c:layout>
                <c:manualLayout>
                  <c:x val="-2.2352612461581448E-3"/>
                  <c:y val="-0.116395427485648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ED9-4232-811C-C6AD2A45DCDC}"/>
                </c:ext>
              </c:extLst>
            </c:dLbl>
            <c:dLbl>
              <c:idx val="12"/>
              <c:layout>
                <c:manualLayout>
                  <c:x val="2.7940765576976397E-3"/>
                  <c:y val="-3.04418810347081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1ED9-4232-811C-C6AD2A45DCDC}"/>
                </c:ext>
              </c:extLst>
            </c:dLbl>
            <c:dLbl>
              <c:idx val="13"/>
              <c:layout>
                <c:manualLayout>
                  <c:x val="0"/>
                  <c:y val="-3.40232788034973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1ED9-4232-811C-C6AD2A45DCDC}"/>
                </c:ext>
              </c:extLst>
            </c:dLbl>
            <c:dLbl>
              <c:idx val="14"/>
              <c:layout>
                <c:manualLayout>
                  <c:x val="5.0293378038557849E-3"/>
                  <c:y val="-2.6860483265918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1ED9-4232-811C-C6AD2A45DCDC}"/>
                </c:ext>
              </c:extLst>
            </c:dLbl>
            <c:dLbl>
              <c:idx val="15"/>
              <c:layout>
                <c:manualLayout>
                  <c:x val="8.3822296730929613E-3"/>
                  <c:y val="-3.0441881034708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1ED9-4232-811C-C6AD2A45DCDC}"/>
                </c:ext>
              </c:extLst>
            </c:dLbl>
            <c:dLbl>
              <c:idx val="16"/>
              <c:layout>
                <c:manualLayout>
                  <c:x val="4.4705224923162071E-3"/>
                  <c:y val="-2.6860483265918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ED9-4232-811C-C6AD2A45DCDC}"/>
                </c:ext>
              </c:extLst>
            </c:dLbl>
            <c:dLbl>
              <c:idx val="18"/>
              <c:layout>
                <c:manualLayout>
                  <c:x val="1.6764459346186086E-3"/>
                  <c:y val="-5.90930631850216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ED9-4232-811C-C6AD2A45DCDC}"/>
                </c:ext>
              </c:extLst>
            </c:dLbl>
            <c:dLbl>
              <c:idx val="19"/>
              <c:layout>
                <c:manualLayout>
                  <c:x val="3.9117071807766709E-3"/>
                  <c:y val="-2.68604832659189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1ED9-4232-811C-C6AD2A45DCDC}"/>
                </c:ext>
              </c:extLst>
            </c:dLbl>
            <c:dLbl>
              <c:idx val="20"/>
              <c:layout>
                <c:manualLayout>
                  <c:x val="1.1176306230790724E-3"/>
                  <c:y val="-2.148838661273513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1ED9-4232-811C-C6AD2A45DCDC}"/>
                </c:ext>
              </c:extLst>
            </c:dLbl>
            <c:dLbl>
              <c:idx val="21"/>
              <c:layout>
                <c:manualLayout>
                  <c:x val="0"/>
                  <c:y val="-3.04418810347081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1ED9-4232-811C-C6AD2A45DCDC}"/>
                </c:ext>
              </c:extLst>
            </c:dLbl>
            <c:dLbl>
              <c:idx val="22"/>
              <c:layout>
                <c:manualLayout>
                  <c:x val="-4.470522492316371E-3"/>
                  <c:y val="-2.68604832659189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1ED9-4232-811C-C6AD2A45DCDC}"/>
                </c:ext>
              </c:extLst>
            </c:dLbl>
            <c:dLbl>
              <c:idx val="24"/>
              <c:layout>
                <c:manualLayout>
                  <c:x val="1.6764459346186086E-3"/>
                  <c:y val="-5.55116654162325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ED9-4232-811C-C6AD2A45DC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'Pilot Offices - Perfmon 2026 6h'!$AH$216:$BQ$216</c:f>
              <c:strCache>
                <c:ptCount val="36"/>
                <c:pt idx="0">
                  <c:v>\\(WINWORD)\% Processor Time</c:v>
                </c:pt>
                <c:pt idx="1">
                  <c:v>(spoolsv.exe)\% or Time</c:v>
                </c:pt>
                <c:pt idx="2">
                  <c:v>(ResearchMonitor Agent)\% or Time</c:v>
                </c:pt>
                <c:pt idx="3">
                  <c:v>(POWERPNT)\% Processor Time</c:v>
                </c:pt>
                <c:pt idx="4">
                  <c:v>(PowerPDF)\% Processor Time</c:v>
                </c:pt>
                <c:pt idx="5">
                  <c:v>(PANGPS)\% Processor Time</c:v>
                </c:pt>
                <c:pt idx="6">
                  <c:v>(PAD.Console.Host)\% Processor Time</c:v>
                </c:pt>
                <c:pt idx="7">
                  <c:v>(OUTLOOK)\% Processor Time</c:v>
                </c:pt>
                <c:pt idx="8">
                  <c:v>(OneDrive)\% Processor Time</c:v>
                </c:pt>
                <c:pt idx="9">
                  <c:v>(NetDocuments.ndMail.Application)\% Processor Time</c:v>
                </c:pt>
                <c:pt idx="10">
                  <c:v>(ndOffice)\% Processor Time</c:v>
                </c:pt>
                <c:pt idx="11">
                  <c:v>(MsMpEng)\% Processor Time</c:v>
                </c:pt>
                <c:pt idx="12">
                  <c:v>(msedgewebview2)\% Processor Time</c:v>
                </c:pt>
                <c:pt idx="13">
                  <c:v>(msedge)\% Processor Time</c:v>
                </c:pt>
                <c:pt idx="14">
                  <c:v>(ms-teams)\% Processor Time</c:v>
                </c:pt>
                <c:pt idx="15">
                  <c:v>(M365Copilot)\% Processor Time</c:v>
                </c:pt>
                <c:pt idx="16">
                  <c:v>(jabra-direct)\% Processor Time</c:v>
                </c:pt>
                <c:pt idx="17">
                  <c:v>(ir_agent)\% Processor Time</c:v>
                </c:pt>
                <c:pt idx="18">
                  <c:v>(EXCEL)\% Processor Time</c:v>
                </c:pt>
                <c:pt idx="19">
                  <c:v>(Creative Cloud UI Helper)\% Processor Time</c:v>
                </c:pt>
                <c:pt idx="20">
                  <c:v>(Creative Cloud Helper)\% Processor Time</c:v>
                </c:pt>
                <c:pt idx="21">
                  <c:v>(Creative Cloud)\% Processor Time</c:v>
                </c:pt>
                <c:pt idx="22">
                  <c:v>(CoreSync)\% Processor Time</c:v>
                </c:pt>
                <c:pt idx="23">
                  <c:v>(Copilot.exe)\% Processor Time</c:v>
                </c:pt>
                <c:pt idx="24">
                  <c:v>(Chrome)\% Processor Time</c:v>
                </c:pt>
                <c:pt idx="25">
                  <c:v>(CCXProcess)\% Processor Time</c:v>
                </c:pt>
                <c:pt idx="26">
                  <c:v>(CCLibrary)\% Processor Time</c:v>
                </c:pt>
                <c:pt idx="27">
                  <c:v>(AdobeUpdateService)\% Processor Time</c:v>
                </c:pt>
                <c:pt idx="28">
                  <c:v>(AdobeNotificationClient)\% Processor Time</c:v>
                </c:pt>
                <c:pt idx="29">
                  <c:v>(AdobeIPCBroker)\% Processor Time</c:v>
                </c:pt>
                <c:pt idx="30">
                  <c:v>(AdobeCollabSync)\% Processor Time</c:v>
                </c:pt>
                <c:pt idx="31">
                  <c:v>(Adobe Deskop Service)\% Processor Time</c:v>
                </c:pt>
                <c:pt idx="32">
                  <c:v>(AcroCEF)\% Processor Time</c:v>
                </c:pt>
                <c:pt idx="33">
                  <c:v>(Acrobat)\% Processor Time</c:v>
                </c:pt>
                <c:pt idx="34">
                  <c:v>(Access Experience)\% Processor Time</c:v>
                </c:pt>
                <c:pt idx="35">
                  <c:v>(ACC)\% Processor Time</c:v>
                </c:pt>
              </c:strCache>
            </c:strRef>
          </c:cat>
          <c:val>
            <c:numRef>
              <c:f>'Pilot Offices - Perfmon 2026 6h'!$AH$217:$BQ$217</c:f>
              <c:numCache>
                <c:formatCode>0.00</c:formatCode>
                <c:ptCount val="36"/>
                <c:pt idx="0">
                  <c:v>4.5538338852212421</c:v>
                </c:pt>
                <c:pt idx="1">
                  <c:v>0</c:v>
                </c:pt>
                <c:pt idx="2">
                  <c:v>0.12486570857045858</c:v>
                </c:pt>
                <c:pt idx="3">
                  <c:v>0.84905329938396701</c:v>
                </c:pt>
                <c:pt idx="4">
                  <c:v>3.0886004487171861</c:v>
                </c:pt>
                <c:pt idx="5">
                  <c:v>0.59541249519051165</c:v>
                </c:pt>
                <c:pt idx="6">
                  <c:v>2.5290113117233211</c:v>
                </c:pt>
                <c:pt idx="7">
                  <c:v>14.10205047864196</c:v>
                </c:pt>
                <c:pt idx="8">
                  <c:v>2.147949468884971</c:v>
                </c:pt>
                <c:pt idx="9">
                  <c:v>0.18128107856699729</c:v>
                </c:pt>
                <c:pt idx="10">
                  <c:v>0.74816897333900212</c:v>
                </c:pt>
                <c:pt idx="11">
                  <c:v>9.791413157190977</c:v>
                </c:pt>
                <c:pt idx="12">
                  <c:v>0.17282488274389199</c:v>
                </c:pt>
                <c:pt idx="13">
                  <c:v>1.3598945291744122</c:v>
                </c:pt>
                <c:pt idx="14">
                  <c:v>0.32619152162846105</c:v>
                </c:pt>
                <c:pt idx="15">
                  <c:v>5.0150600611696218E-2</c:v>
                </c:pt>
                <c:pt idx="16">
                  <c:v>0.58678096155770232</c:v>
                </c:pt>
                <c:pt idx="17">
                  <c:v>3.6597507803404657E-2</c:v>
                </c:pt>
                <c:pt idx="18">
                  <c:v>3.1507812846495606</c:v>
                </c:pt>
                <c:pt idx="24">
                  <c:v>1.8594744215267589</c:v>
                </c:pt>
                <c:pt idx="34">
                  <c:v>8.5803330265692021E-2</c:v>
                </c:pt>
                <c:pt idx="35">
                  <c:v>0.51960278173971119</c:v>
                </c:pt>
              </c:numCache>
            </c:numRef>
          </c:val>
          <c:extLst>
            <c:ext xmlns:c16="http://schemas.microsoft.com/office/drawing/2014/chart" uri="{C3380CC4-5D6E-409C-BE32-E72D297353CC}">
              <c16:uniqueId val="{00000000-1ED9-4232-811C-C6AD2A45DCDC}"/>
            </c:ext>
          </c:extLst>
        </c:ser>
        <c:dLbls>
          <c:showLegendKey val="0"/>
          <c:showVal val="0"/>
          <c:showCatName val="0"/>
          <c:showSerName val="0"/>
          <c:showPercent val="0"/>
          <c:showBubbleSize val="0"/>
        </c:dLbls>
        <c:axId val="513245055"/>
        <c:axId val="513239295"/>
        <c:axId val="968026256"/>
      </c:area3DChart>
      <c:catAx>
        <c:axId val="5132450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239295"/>
        <c:crosses val="autoZero"/>
        <c:auto val="1"/>
        <c:lblAlgn val="ctr"/>
        <c:lblOffset val="100"/>
        <c:noMultiLvlLbl val="0"/>
      </c:catAx>
      <c:valAx>
        <c:axId val="5132392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245055"/>
        <c:crosses val="autoZero"/>
        <c:crossBetween val="midCat"/>
      </c:valAx>
      <c:serAx>
        <c:axId val="968026256"/>
        <c:scaling>
          <c:orientation val="minMax"/>
        </c:scaling>
        <c:delete val="0"/>
        <c:axPos val="b"/>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239295"/>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0155400924698541E-2"/>
          <c:y val="7.9113883303014956E-2"/>
          <c:w val="0.94186878569032217"/>
          <c:h val="0.65626236286241646"/>
        </c:manualLayout>
      </c:layout>
      <c:area3DChart>
        <c:grouping val="standard"/>
        <c:varyColors val="0"/>
        <c:ser>
          <c:idx val="0"/>
          <c:order val="0"/>
          <c:spPr>
            <a:solidFill>
              <a:schemeClr val="accent1"/>
            </a:solidFill>
            <a:ln>
              <a:noFill/>
            </a:ln>
            <a:effectLst/>
            <a:sp3d/>
          </c:spPr>
          <c:dLbls>
            <c:dLbl>
              <c:idx val="0"/>
              <c:layout>
                <c:manualLayout>
                  <c:x val="1.2720045428733666E-2"/>
                  <c:y val="-4.51112663167583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7754-4189-B680-BBAAF5452153}"/>
                </c:ext>
              </c:extLst>
            </c:dLbl>
            <c:dLbl>
              <c:idx val="1"/>
              <c:layout>
                <c:manualLayout>
                  <c:x val="8.1771720613287736E-3"/>
                  <c:y val="-2.81945414479740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7754-4189-B680-BBAAF5452153}"/>
                </c:ext>
              </c:extLst>
            </c:dLbl>
            <c:dLbl>
              <c:idx val="2"/>
              <c:layout>
                <c:manualLayout>
                  <c:x val="4.5428733674048672E-3"/>
                  <c:y val="-3.1953813641037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754-4189-B680-BBAAF5452153}"/>
                </c:ext>
              </c:extLst>
            </c:dLbl>
            <c:dLbl>
              <c:idx val="3"/>
              <c:layout>
                <c:manualLayout>
                  <c:x val="-1.66570099239512E-17"/>
                  <c:y val="-5.26298107028848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754-4189-B680-BBAAF5452153}"/>
                </c:ext>
              </c:extLst>
            </c:dLbl>
            <c:dLbl>
              <c:idx val="4"/>
              <c:layout>
                <c:manualLayout>
                  <c:x val="9.0857467348099341E-4"/>
                  <c:y val="-4.8870538509821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754-4189-B680-BBAAF5452153}"/>
                </c:ext>
              </c:extLst>
            </c:dLbl>
            <c:dLbl>
              <c:idx val="5"/>
              <c:layout>
                <c:manualLayout>
                  <c:x val="4.9971607041453718E-3"/>
                  <c:y val="-6.20279911855427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754-4189-B680-BBAAF5452153}"/>
                </c:ext>
              </c:extLst>
            </c:dLbl>
            <c:dLbl>
              <c:idx val="7"/>
              <c:layout>
                <c:manualLayout>
                  <c:x val="-5.9057353776263491E-3"/>
                  <c:y val="-5.82687189924795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754-4189-B680-BBAAF5452153}"/>
                </c:ext>
              </c:extLst>
            </c:dLbl>
            <c:dLbl>
              <c:idx val="8"/>
              <c:layout>
                <c:manualLayout>
                  <c:x val="3.6342986939238734E-3"/>
                  <c:y val="-6.9546535571669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54-4189-B680-BBAAF5452153}"/>
                </c:ext>
              </c:extLst>
            </c:dLbl>
            <c:dLbl>
              <c:idx val="9"/>
              <c:layout>
                <c:manualLayout>
                  <c:x val="3.1800113571833852E-3"/>
                  <c:y val="-4.887053850982154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7754-4189-B680-BBAAF5452153}"/>
                </c:ext>
              </c:extLst>
            </c:dLbl>
            <c:dLbl>
              <c:idx val="10"/>
              <c:layout>
                <c:manualLayout>
                  <c:x val="-4.0885860306644284E-3"/>
                  <c:y val="-5.07501746063531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754-4189-B680-BBAAF5452153}"/>
                </c:ext>
              </c:extLst>
            </c:dLbl>
            <c:dLbl>
              <c:idx val="11"/>
              <c:layout>
                <c:manualLayout>
                  <c:x val="0"/>
                  <c:y val="-0.201121062328880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754-4189-B680-BBAAF5452153}"/>
                </c:ext>
              </c:extLst>
            </c:dLbl>
            <c:dLbl>
              <c:idx val="12"/>
              <c:layout>
                <c:manualLayout>
                  <c:x val="3.1800113571833519E-3"/>
                  <c:y val="-8.08243521508587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54-4189-B680-BBAAF5452153}"/>
                </c:ext>
              </c:extLst>
            </c:dLbl>
            <c:dLbl>
              <c:idx val="13"/>
              <c:layout>
                <c:manualLayout>
                  <c:x val="-4.5428733674048835E-4"/>
                  <c:y val="-8.4583624343921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54-4189-B680-BBAAF5452153}"/>
                </c:ext>
              </c:extLst>
            </c:dLbl>
            <c:dLbl>
              <c:idx val="14"/>
              <c:layout>
                <c:manualLayout>
                  <c:x val="3.6342986939239068E-3"/>
                  <c:y val="-5.63890828959480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7754-4189-B680-BBAAF5452153}"/>
                </c:ext>
              </c:extLst>
            </c:dLbl>
            <c:dLbl>
              <c:idx val="15"/>
              <c:layout>
                <c:manualLayout>
                  <c:x val="0"/>
                  <c:y val="-3.19538136410370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7754-4189-B680-BBAAF5452153}"/>
                </c:ext>
              </c:extLst>
            </c:dLbl>
            <c:dLbl>
              <c:idx val="16"/>
              <c:layout>
                <c:manualLayout>
                  <c:x val="0"/>
                  <c:y val="-3.75927219306319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7754-4189-B680-BBAAF5452153}"/>
                </c:ext>
              </c:extLst>
            </c:dLbl>
            <c:dLbl>
              <c:idx val="17"/>
              <c:layout>
                <c:manualLayout>
                  <c:x val="-1.8171493469619534E-3"/>
                  <c:y val="-2.81945414479739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7754-4189-B680-BBAAF5452153}"/>
                </c:ext>
              </c:extLst>
            </c:dLbl>
            <c:dLbl>
              <c:idx val="18"/>
              <c:layout>
                <c:manualLayout>
                  <c:x val="1.362862010221465E-3"/>
                  <c:y val="-6.95465355716691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7754-4189-B680-BBAAF5452153}"/>
                </c:ext>
              </c:extLst>
            </c:dLbl>
            <c:dLbl>
              <c:idx val="19"/>
              <c:layout>
                <c:manualLayout>
                  <c:x val="4.9971607041453718E-3"/>
                  <c:y val="-2.44352692549108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7754-4189-B680-BBAAF5452153}"/>
                </c:ext>
              </c:extLst>
            </c:dLbl>
            <c:dLbl>
              <c:idx val="20"/>
              <c:layout>
                <c:manualLayout>
                  <c:x val="-9.0857467348097671E-4"/>
                  <c:y val="-3.9472358027163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754-4189-B680-BBAAF5452153}"/>
                </c:ext>
              </c:extLst>
            </c:dLbl>
            <c:dLbl>
              <c:idx val="21"/>
              <c:layout>
                <c:manualLayout>
                  <c:x val="-2.72572402044293E-3"/>
                  <c:y val="-3.38334497375687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754-4189-B680-BBAAF5452153}"/>
                </c:ext>
              </c:extLst>
            </c:dLbl>
            <c:dLbl>
              <c:idx val="22"/>
              <c:layout>
                <c:manualLayout>
                  <c:x val="-4.9971607041453718E-3"/>
                  <c:y val="-4.1351994123695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7754-4189-B680-BBAAF5452153}"/>
                </c:ext>
              </c:extLst>
            </c:dLbl>
            <c:dLbl>
              <c:idx val="23"/>
              <c:layout>
                <c:manualLayout>
                  <c:x val="-7.7228847245883019E-3"/>
                  <c:y val="-3.9472358027163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7754-4189-B680-BBAAF5452153}"/>
                </c:ext>
              </c:extLst>
            </c:dLbl>
            <c:dLbl>
              <c:idx val="24"/>
              <c:layout>
                <c:manualLayout>
                  <c:x val="-9.0857467348097671E-4"/>
                  <c:y val="-0.120296710178022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7754-4189-B680-BBAAF5452153}"/>
                </c:ext>
              </c:extLst>
            </c:dLbl>
            <c:dLbl>
              <c:idx val="25"/>
              <c:layout>
                <c:manualLayout>
                  <c:x val="8.1771720613287909E-3"/>
                  <c:y val="-5.07501746063531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9-7754-4189-B680-BBAAF5452153}"/>
                </c:ext>
              </c:extLst>
            </c:dLbl>
            <c:dLbl>
              <c:idx val="26"/>
              <c:layout>
                <c:manualLayout>
                  <c:x val="9.0857467348097671E-4"/>
                  <c:y val="-3.75927219306320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7754-4189-B680-BBAAF5452153}"/>
                </c:ext>
              </c:extLst>
            </c:dLbl>
            <c:dLbl>
              <c:idx val="27"/>
              <c:layout>
                <c:manualLayout>
                  <c:x val="-3.1800113571835518E-3"/>
                  <c:y val="-3.19538136410372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B-7754-4189-B680-BBAAF5452153}"/>
                </c:ext>
              </c:extLst>
            </c:dLbl>
            <c:dLbl>
              <c:idx val="28"/>
              <c:layout>
                <c:manualLayout>
                  <c:x val="-4.5428733674048836E-3"/>
                  <c:y val="-3.57130858341004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7754-4189-B680-BBAAF5452153}"/>
                </c:ext>
              </c:extLst>
            </c:dLbl>
            <c:dLbl>
              <c:idx val="29"/>
              <c:layout>
                <c:manualLayout>
                  <c:x val="-4.5428733674048836E-3"/>
                  <c:y val="-3.94723580271636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D-7754-4189-B680-BBAAF54521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12700" cap="flat" cmpd="sng" algn="ctr">
                      <a:solidFill>
                        <a:schemeClr val="bg2"/>
                      </a:solidFill>
                      <a:round/>
                    </a:ln>
                    <a:effectLst/>
                  </c:spPr>
                </c15:leaderLines>
              </c:ext>
            </c:extLst>
          </c:dLbls>
          <c:cat>
            <c:strRef>
              <c:f>'Pilot Offices - Perfmon 2026 6h'!$BR$216:$DA$216</c:f>
              <c:strCache>
                <c:ptCount val="36"/>
                <c:pt idx="0">
                  <c:v>(WINWORD)\IO Data Bytes/sec</c:v>
                </c:pt>
                <c:pt idx="1">
                  <c:v>(spoolsv.exe)\IO Data Bytes/sec</c:v>
                </c:pt>
                <c:pt idx="2">
                  <c:v>(ResearchMonitor Agent)\IO Data Bytes/sec</c:v>
                </c:pt>
                <c:pt idx="3">
                  <c:v>(POWERPNT)\IO Data Bytes/sec</c:v>
                </c:pt>
                <c:pt idx="4">
                  <c:v>(PowerPDF)\IO Data Bytes/sec</c:v>
                </c:pt>
                <c:pt idx="5">
                  <c:v>(PANGPS)\IO Data Bytes/sec</c:v>
                </c:pt>
                <c:pt idx="6">
                  <c:v>(PAD.Console.Host)\IO Data Bytes/sec</c:v>
                </c:pt>
                <c:pt idx="7">
                  <c:v>(OUTLOOK)\IO Data Bytes/sec</c:v>
                </c:pt>
                <c:pt idx="8">
                  <c:v>(OneDrive)\IO Data Bytes/sec</c:v>
                </c:pt>
                <c:pt idx="9">
                  <c:v>(NetDocuments.ndMail.Application)\IO Data Bytes/sec</c:v>
                </c:pt>
                <c:pt idx="10">
                  <c:v>(ndOffice)\IO Data Bytes/sec</c:v>
                </c:pt>
                <c:pt idx="11">
                  <c:v>(MsMpEng)\IO Data Bytes/sec</c:v>
                </c:pt>
                <c:pt idx="12">
                  <c:v>(msedgewebview2)\IO Data Bytes/sec</c:v>
                </c:pt>
                <c:pt idx="13">
                  <c:v>(msedge)\IO Data Bytes/sec</c:v>
                </c:pt>
                <c:pt idx="14">
                  <c:v>(ms-teams)\IO Data Bytes/sec</c:v>
                </c:pt>
                <c:pt idx="15">
                  <c:v>(M365Copilot)\IO Data Bytes/sec</c:v>
                </c:pt>
                <c:pt idx="16">
                  <c:v>(jabra-direct)\IO Data Bytes/sec</c:v>
                </c:pt>
                <c:pt idx="17">
                  <c:v>(ir_agent)\IO Data Bytes/sec</c:v>
                </c:pt>
                <c:pt idx="18">
                  <c:v>(EXCEL)\IO Data Bytes/sec</c:v>
                </c:pt>
                <c:pt idx="19">
                  <c:v>(Creative Cloud UI Helper)\IO Data Bytes/sec</c:v>
                </c:pt>
                <c:pt idx="20">
                  <c:v>(Creative Cloud Helper)\IO Data Bytes/sec</c:v>
                </c:pt>
                <c:pt idx="21">
                  <c:v>(Creative Cloud)\IO Data Bytes/sec</c:v>
                </c:pt>
                <c:pt idx="22">
                  <c:v>(CoreSync)\IO Data Bytes/sec</c:v>
                </c:pt>
                <c:pt idx="23">
                  <c:v>(Copilot.exe)\IO Data Bytes/sec</c:v>
                </c:pt>
                <c:pt idx="24">
                  <c:v>(Chrome)\IO Data Bytes/sec</c:v>
                </c:pt>
                <c:pt idx="25">
                  <c:v>(CCXProcess)\IO Data Bytes/sec</c:v>
                </c:pt>
                <c:pt idx="26">
                  <c:v>(CCLibrary)\IO Data Bytes/sec</c:v>
                </c:pt>
                <c:pt idx="27">
                  <c:v>(AdobeUpdateService)\IO Data Bytes/sec</c:v>
                </c:pt>
                <c:pt idx="28">
                  <c:v>(AdobeNotificationClient)\IO Data Bytes/sec</c:v>
                </c:pt>
                <c:pt idx="29">
                  <c:v>(AdobeIPCBroker)\IO Data Bytes/sec</c:v>
                </c:pt>
                <c:pt idx="30">
                  <c:v>(AdobeCollabSync)\IO Data Bytes/sec</c:v>
                </c:pt>
                <c:pt idx="31">
                  <c:v>(Adobe Deskop Service)\IO Data Bytes/sec</c:v>
                </c:pt>
                <c:pt idx="32">
                  <c:v>(AcroCEF)\IO Data Bytes/sec</c:v>
                </c:pt>
                <c:pt idx="33">
                  <c:v>(Acrobat)\IO Data Bytes/sec</c:v>
                </c:pt>
                <c:pt idx="34">
                  <c:v>(Access Experience)\IO Data Bytes/sec</c:v>
                </c:pt>
                <c:pt idx="35">
                  <c:v>(ACC)\IO Data Bytes/sec</c:v>
                </c:pt>
              </c:strCache>
            </c:strRef>
          </c:cat>
          <c:val>
            <c:numRef>
              <c:f>'Pilot Offices - Perfmon 2026 6h'!$BR$217:$DA$217</c:f>
              <c:numCache>
                <c:formatCode>0.00</c:formatCode>
                <c:ptCount val="36"/>
                <c:pt idx="0">
                  <c:v>51675.85224977661</c:v>
                </c:pt>
                <c:pt idx="2">
                  <c:v>94.600141782164229</c:v>
                </c:pt>
                <c:pt idx="3">
                  <c:v>94.600141782164229</c:v>
                </c:pt>
                <c:pt idx="4">
                  <c:v>22884.230355263655</c:v>
                </c:pt>
                <c:pt idx="5">
                  <c:v>164.03952271088153</c:v>
                </c:pt>
                <c:pt idx="6">
                  <c:v>1794.9870259784673</c:v>
                </c:pt>
                <c:pt idx="7">
                  <c:v>59983.330134412579</c:v>
                </c:pt>
                <c:pt idx="8">
                  <c:v>146548.25461118852</c:v>
                </c:pt>
                <c:pt idx="9">
                  <c:v>291.68467873165679</c:v>
                </c:pt>
                <c:pt idx="10">
                  <c:v>4606.6361465782611</c:v>
                </c:pt>
                <c:pt idx="11">
                  <c:v>329191.21399540134</c:v>
                </c:pt>
                <c:pt idx="12">
                  <c:v>47732.022161566623</c:v>
                </c:pt>
                <c:pt idx="13">
                  <c:v>92861.003587054554</c:v>
                </c:pt>
                <c:pt idx="14">
                  <c:v>6735.4498432924584</c:v>
                </c:pt>
                <c:pt idx="15">
                  <c:v>1444.475858252132</c:v>
                </c:pt>
                <c:pt idx="16">
                  <c:v>83.241990639454713</c:v>
                </c:pt>
                <c:pt idx="17">
                  <c:v>164.56545287749876</c:v>
                </c:pt>
                <c:pt idx="18">
                  <c:v>64052.772093214204</c:v>
                </c:pt>
                <c:pt idx="24">
                  <c:v>158828.34169872876</c:v>
                </c:pt>
                <c:pt idx="34">
                  <c:v>13.738786257430844</c:v>
                </c:pt>
                <c:pt idx="35">
                  <c:v>13.167863082451207</c:v>
                </c:pt>
              </c:numCache>
            </c:numRef>
          </c:val>
          <c:extLst>
            <c:ext xmlns:c16="http://schemas.microsoft.com/office/drawing/2014/chart" uri="{C3380CC4-5D6E-409C-BE32-E72D297353CC}">
              <c16:uniqueId val="{00000000-7754-4189-B680-BBAAF5452153}"/>
            </c:ext>
          </c:extLst>
        </c:ser>
        <c:dLbls>
          <c:showLegendKey val="0"/>
          <c:showVal val="0"/>
          <c:showCatName val="0"/>
          <c:showSerName val="0"/>
          <c:showPercent val="0"/>
          <c:showBubbleSize val="0"/>
        </c:dLbls>
        <c:gapDepth val="106"/>
        <c:axId val="1025431551"/>
        <c:axId val="1025424831"/>
        <c:axId val="239065535"/>
      </c:area3DChart>
      <c:catAx>
        <c:axId val="1025431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24831"/>
        <c:crosses val="autoZero"/>
        <c:auto val="1"/>
        <c:lblAlgn val="ctr"/>
        <c:lblOffset val="100"/>
        <c:noMultiLvlLbl val="0"/>
      </c:catAx>
      <c:valAx>
        <c:axId val="10254248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31551"/>
        <c:crosses val="autoZero"/>
        <c:crossBetween val="midCat"/>
      </c:valAx>
      <c:serAx>
        <c:axId val="23906553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424831"/>
        <c:crosses val="autoZero"/>
      </c:serAx>
      <c:spPr>
        <a:noFill/>
        <a:ln>
          <a:gradFill flip="none" rotWithShape="1">
            <a:gsLst>
              <a:gs pos="10000">
                <a:schemeClr val="accent1">
                  <a:lumMod val="40000"/>
                  <a:lumOff val="60000"/>
                </a:schemeClr>
              </a:gs>
              <a:gs pos="46000">
                <a:schemeClr val="accent1">
                  <a:lumMod val="95000"/>
                  <a:lumOff val="5000"/>
                </a:schemeClr>
              </a:gs>
              <a:gs pos="100000">
                <a:schemeClr val="accent1">
                  <a:lumMod val="60000"/>
                </a:schemeClr>
              </a:gs>
            </a:gsLst>
            <a:lin ang="2700000" scaled="1"/>
            <a:tileRect/>
          </a:gradFill>
        </a:ln>
        <a:effectLst>
          <a:glow rad="63500">
            <a:schemeClr val="accent2">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Memory</a:t>
            </a:r>
            <a:br>
              <a:rPr lang="en-US"/>
            </a:b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6006215624468806E-2"/>
          <c:y val="0.10324213300996177"/>
          <c:w val="0.95421334816928138"/>
          <c:h val="0.61809776438198472"/>
        </c:manualLayout>
      </c:layout>
      <c:area3DChart>
        <c:grouping val="standard"/>
        <c:varyColors val="0"/>
        <c:ser>
          <c:idx val="0"/>
          <c:order val="0"/>
          <c:spPr>
            <a:solidFill>
              <a:schemeClr val="accent6"/>
            </a:solidFill>
            <a:ln>
              <a:noFill/>
            </a:ln>
            <a:effectLst/>
            <a:sp3d/>
          </c:spPr>
          <c:dLbls>
            <c:dLbl>
              <c:idx val="0"/>
              <c:layout>
                <c:manualLayout>
                  <c:x val="1.346922794464964E-2"/>
                  <c:y val="-7.81271216945078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4E39-4198-88E5-0894709E7A51}"/>
                </c:ext>
              </c:extLst>
            </c:dLbl>
            <c:dLbl>
              <c:idx val="1"/>
              <c:layout>
                <c:manualLayout>
                  <c:x val="3.7040376847786508E-3"/>
                  <c:y val="-4.5732949284589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E39-4198-88E5-0894709E7A51}"/>
                </c:ext>
              </c:extLst>
            </c:dLbl>
            <c:dLbl>
              <c:idx val="2"/>
              <c:layout>
                <c:manualLayout>
                  <c:x val="-1.3469227944649764E-3"/>
                  <c:y val="-5.9071726159261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4E39-4198-88E5-0894709E7A51}"/>
                </c:ext>
              </c:extLst>
            </c:dLbl>
            <c:dLbl>
              <c:idx val="3"/>
              <c:layout>
                <c:manualLayout>
                  <c:x val="6.7346139723246966E-4"/>
                  <c:y val="-9.52769776762290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E39-4198-88E5-0894709E7A51}"/>
                </c:ext>
              </c:extLst>
            </c:dLbl>
            <c:dLbl>
              <c:idx val="4"/>
              <c:layout>
                <c:manualLayout>
                  <c:x val="4.3774990820111079E-3"/>
                  <c:y val="-5.7166186605737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E39-4198-88E5-0894709E7A51}"/>
                </c:ext>
              </c:extLst>
            </c:dLbl>
            <c:dLbl>
              <c:idx val="5"/>
              <c:layout>
                <c:manualLayout>
                  <c:x val="6.7346139723248202E-4"/>
                  <c:y val="-5.90717261592619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39-4198-88E5-0894709E7A51}"/>
                </c:ext>
              </c:extLst>
            </c:dLbl>
            <c:dLbl>
              <c:idx val="6"/>
              <c:layout>
                <c:manualLayout>
                  <c:x val="0"/>
                  <c:y val="-0.114332373211474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E39-4198-88E5-0894709E7A51}"/>
                </c:ext>
              </c:extLst>
            </c:dLbl>
            <c:dLbl>
              <c:idx val="7"/>
              <c:layout>
                <c:manualLayout>
                  <c:x val="2.3494860188799835E-3"/>
                  <c:y val="-0.181026257584835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E39-4198-88E5-0894709E7A51}"/>
                </c:ext>
              </c:extLst>
            </c:dLbl>
            <c:dLbl>
              <c:idx val="8"/>
              <c:layout>
                <c:manualLayout>
                  <c:x val="1.1112113054335952E-2"/>
                  <c:y val="-5.33551074986882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E39-4198-88E5-0894709E7A51}"/>
                </c:ext>
              </c:extLst>
            </c:dLbl>
            <c:dLbl>
              <c:idx val="9"/>
              <c:layout>
                <c:manualLayout>
                  <c:x val="0"/>
                  <c:y val="-4.76384888381145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E39-4198-88E5-0894709E7A51}"/>
                </c:ext>
              </c:extLst>
            </c:dLbl>
            <c:dLbl>
              <c:idx val="10"/>
              <c:layout>
                <c:manualLayout>
                  <c:x val="-3.0305762875462183E-3"/>
                  <c:y val="-5.14495679451636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E39-4198-88E5-0894709E7A51}"/>
                </c:ext>
              </c:extLst>
            </c:dLbl>
            <c:dLbl>
              <c:idx val="11"/>
              <c:layout>
                <c:manualLayout>
                  <c:x val="-1.0101920958487723E-3"/>
                  <c:y val="-0.1162379127649994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E39-4198-88E5-0894709E7A51}"/>
                </c:ext>
              </c:extLst>
            </c:dLbl>
            <c:dLbl>
              <c:idx val="12"/>
              <c:layout>
                <c:manualLayout>
                  <c:x val="3.0305762875461688E-3"/>
                  <c:y val="-4.1921870177540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E39-4198-88E5-0894709E7A51}"/>
                </c:ext>
              </c:extLst>
            </c:dLbl>
            <c:dLbl>
              <c:idx val="13"/>
              <c:layout>
                <c:manualLayout>
                  <c:x val="2.6938455889298787E-3"/>
                  <c:y val="-5.33551074986882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4E39-4198-88E5-0894709E7A51}"/>
                </c:ext>
              </c:extLst>
            </c:dLbl>
            <c:dLbl>
              <c:idx val="14"/>
              <c:layout>
                <c:manualLayout>
                  <c:x val="4.0407683833948915E-3"/>
                  <c:y val="-4.00163306240161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E39-4198-88E5-0894709E7A51}"/>
                </c:ext>
              </c:extLst>
            </c:dLbl>
            <c:dLbl>
              <c:idx val="15"/>
              <c:layout>
                <c:manualLayout>
                  <c:x val="1.3469227944650133E-3"/>
                  <c:y val="-3.4299711963442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E39-4198-88E5-0894709E7A51}"/>
                </c:ext>
              </c:extLst>
            </c:dLbl>
            <c:dLbl>
              <c:idx val="16"/>
              <c:layout>
                <c:manualLayout>
                  <c:x val="-3.3673069861633978E-4"/>
                  <c:y val="-4.38274097310654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E39-4198-88E5-0894709E7A51}"/>
                </c:ext>
              </c:extLst>
            </c:dLbl>
            <c:dLbl>
              <c:idx val="17"/>
              <c:layout>
                <c:manualLayout>
                  <c:x val="-1.0101920958487229E-3"/>
                  <c:y val="-4.57329492845899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E39-4198-88E5-0894709E7A51}"/>
                </c:ext>
              </c:extLst>
            </c:dLbl>
            <c:dLbl>
              <c:idx val="18"/>
              <c:layout>
                <c:manualLayout>
                  <c:x val="-3.3673069861624101E-4"/>
                  <c:y val="-9.3371438122704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E39-4198-88E5-0894709E7A51}"/>
                </c:ext>
              </c:extLst>
            </c:dLbl>
            <c:dLbl>
              <c:idx val="24"/>
              <c:layout>
                <c:manualLayout>
                  <c:x val="1.0101920958487229E-3"/>
                  <c:y val="-5.716618660573741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E39-4198-88E5-0894709E7A51}"/>
                </c:ext>
              </c:extLst>
            </c:dLbl>
            <c:dLbl>
              <c:idx val="34"/>
              <c:layout>
                <c:manualLayout>
                  <c:x val="-1.9754639444872209E-16"/>
                  <c:y val="-7.62215821409832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E39-4198-88E5-0894709E7A5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'Pilot Offices - Perfmon 2026 6h'!$DB$216:$EK$216</c:f>
              <c:strCache>
                <c:ptCount val="36"/>
                <c:pt idx="0">
                  <c:v>(WINWORD)\Private Bytes</c:v>
                </c:pt>
                <c:pt idx="1">
                  <c:v>(spoolsv.exe)\Private Bytes</c:v>
                </c:pt>
                <c:pt idx="2">
                  <c:v>(ResearchMonitor Agent)\Private Bytes</c:v>
                </c:pt>
                <c:pt idx="3">
                  <c:v>(POWERPNT)\Private Bytes</c:v>
                </c:pt>
                <c:pt idx="4">
                  <c:v>(PowerPDF)\Private Bytes</c:v>
                </c:pt>
                <c:pt idx="5">
                  <c:v>(PANGPS)\Private Bytes</c:v>
                </c:pt>
                <c:pt idx="6">
                  <c:v>(PAD.Console.Host)\Private Bytes</c:v>
                </c:pt>
                <c:pt idx="7">
                  <c:v>(OUTLOOK)\Private Bytes</c:v>
                </c:pt>
                <c:pt idx="8">
                  <c:v>(OneDrive)\Private Bytes</c:v>
                </c:pt>
                <c:pt idx="9">
                  <c:v>(NetDocuments.ndMail.Application)\Private Bytes</c:v>
                </c:pt>
                <c:pt idx="10">
                  <c:v>(ndOffice)\Private Bytes</c:v>
                </c:pt>
                <c:pt idx="11">
                  <c:v>(MsMpEng)\Private Bytes</c:v>
                </c:pt>
                <c:pt idx="12">
                  <c:v>(msedgewebview2)\Private Bytes</c:v>
                </c:pt>
                <c:pt idx="13">
                  <c:v>(msedge)\Private Bytes</c:v>
                </c:pt>
                <c:pt idx="14">
                  <c:v>(ms-teams)\Private Bytes</c:v>
                </c:pt>
                <c:pt idx="15">
                  <c:v>(M365Copilot)\Private Bytes</c:v>
                </c:pt>
                <c:pt idx="16">
                  <c:v>(jabra-direct)\Private Bytes</c:v>
                </c:pt>
                <c:pt idx="17">
                  <c:v>(ir_agent)\Private Bytes</c:v>
                </c:pt>
                <c:pt idx="18">
                  <c:v>(EXCEL)\Private Bytes</c:v>
                </c:pt>
                <c:pt idx="19">
                  <c:v>(Creative Cloud UI Helper)\Private Bytes</c:v>
                </c:pt>
                <c:pt idx="20">
                  <c:v>(Creative Cloud Helper)\Private Bytes</c:v>
                </c:pt>
                <c:pt idx="21">
                  <c:v>(Creative Cloud)\Private Bytes</c:v>
                </c:pt>
                <c:pt idx="22">
                  <c:v>(CoreSync)\Private Bytes</c:v>
                </c:pt>
                <c:pt idx="23">
                  <c:v>(Copilot.exe)\Private Bytes</c:v>
                </c:pt>
                <c:pt idx="24">
                  <c:v>(Chrome)\Private Bytes</c:v>
                </c:pt>
                <c:pt idx="25">
                  <c:v>(CCXProcess)\Private Bytes</c:v>
                </c:pt>
                <c:pt idx="26">
                  <c:v>(CCLibrary)\Private Bytes</c:v>
                </c:pt>
                <c:pt idx="27">
                  <c:v>(AdobeUpdateService)\Private Bytes</c:v>
                </c:pt>
                <c:pt idx="28">
                  <c:v>(AdobeNotificationClient)\Private Bytes</c:v>
                </c:pt>
                <c:pt idx="29">
                  <c:v>(AdobeIPCBroker)\Private Bytes</c:v>
                </c:pt>
                <c:pt idx="30">
                  <c:v>(AdobeCollabSync)\Private Bytes</c:v>
                </c:pt>
                <c:pt idx="31">
                  <c:v>(Adobe Deskop Service)\Private Bytes</c:v>
                </c:pt>
                <c:pt idx="32">
                  <c:v>(AcroCEF)\Private Bytes</c:v>
                </c:pt>
                <c:pt idx="33">
                  <c:v>(Acrobat)\Private Bytes</c:v>
                </c:pt>
                <c:pt idx="34">
                  <c:v>(Access Experience)\Private Bytes</c:v>
                </c:pt>
                <c:pt idx="35">
                  <c:v>(ACC)\Private Bytes</c:v>
                </c:pt>
              </c:strCache>
            </c:strRef>
          </c:cat>
          <c:val>
            <c:numRef>
              <c:f>'Pilot Offices - Perfmon 2026 6h'!$DB$217:$EK$217</c:f>
              <c:numCache>
                <c:formatCode>0.00</c:formatCode>
                <c:ptCount val="36"/>
                <c:pt idx="0">
                  <c:v>665535290.03868127</c:v>
                </c:pt>
                <c:pt idx="2">
                  <c:v>24091373.372051254</c:v>
                </c:pt>
                <c:pt idx="3">
                  <c:v>648947803.44839406</c:v>
                </c:pt>
                <c:pt idx="4">
                  <c:v>307142933.04251164</c:v>
                </c:pt>
                <c:pt idx="5">
                  <c:v>50050251.079714388</c:v>
                </c:pt>
                <c:pt idx="6">
                  <c:v>575855172.65900385</c:v>
                </c:pt>
                <c:pt idx="7">
                  <c:v>1497921247.9919252</c:v>
                </c:pt>
                <c:pt idx="8">
                  <c:v>166966247.86515552</c:v>
                </c:pt>
                <c:pt idx="9">
                  <c:v>80817910.49150449</c:v>
                </c:pt>
                <c:pt idx="10">
                  <c:v>223589833.17513636</c:v>
                </c:pt>
                <c:pt idx="11">
                  <c:v>397325316.92119366</c:v>
                </c:pt>
                <c:pt idx="12">
                  <c:v>53569027.059563406</c:v>
                </c:pt>
                <c:pt idx="13">
                  <c:v>184764602.00894859</c:v>
                </c:pt>
                <c:pt idx="14">
                  <c:v>98519876.210482121</c:v>
                </c:pt>
                <c:pt idx="15">
                  <c:v>98363686.086104229</c:v>
                </c:pt>
                <c:pt idx="16">
                  <c:v>163973246.43812245</c:v>
                </c:pt>
                <c:pt idx="17">
                  <c:v>22443129.24372324</c:v>
                </c:pt>
                <c:pt idx="18">
                  <c:v>533853115.34536314</c:v>
                </c:pt>
                <c:pt idx="24">
                  <c:v>151814841.78044572</c:v>
                </c:pt>
                <c:pt idx="34">
                  <c:v>66140941.299829841</c:v>
                </c:pt>
                <c:pt idx="35">
                  <c:v>27201503.141127799</c:v>
                </c:pt>
              </c:numCache>
            </c:numRef>
          </c:val>
          <c:extLst>
            <c:ext xmlns:c16="http://schemas.microsoft.com/office/drawing/2014/chart" uri="{C3380CC4-5D6E-409C-BE32-E72D297353CC}">
              <c16:uniqueId val="{00000000-4E39-4198-88E5-0894709E7A51}"/>
            </c:ext>
          </c:extLst>
        </c:ser>
        <c:dLbls>
          <c:showLegendKey val="0"/>
          <c:showVal val="0"/>
          <c:showCatName val="0"/>
          <c:showSerName val="0"/>
          <c:showPercent val="0"/>
          <c:showBubbleSize val="0"/>
        </c:dLbls>
        <c:axId val="858863247"/>
        <c:axId val="858857007"/>
        <c:axId val="940067872"/>
      </c:area3DChart>
      <c:catAx>
        <c:axId val="8588632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57007"/>
        <c:crosses val="autoZero"/>
        <c:auto val="1"/>
        <c:lblAlgn val="ctr"/>
        <c:lblOffset val="100"/>
        <c:noMultiLvlLbl val="0"/>
      </c:catAx>
      <c:valAx>
        <c:axId val="8588570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63247"/>
        <c:crosses val="autoZero"/>
        <c:crossBetween val="midCat"/>
      </c:valAx>
      <c:serAx>
        <c:axId val="94006787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857007"/>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Processor</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dLbl>
              <c:idx val="0"/>
              <c:layout>
                <c:manualLayout>
                  <c:x val="1.5029888175265065E-2"/>
                  <c:y val="-0.137469636451534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C8-4621-81CC-3F549F5C986D}"/>
                </c:ext>
              </c:extLst>
            </c:dLbl>
            <c:dLbl>
              <c:idx val="1"/>
              <c:layout>
                <c:manualLayout>
                  <c:x val="2.4663675823751604E-3"/>
                  <c:y val="-0.100682043089292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5C8-4621-81CC-3F549F5C986D}"/>
                </c:ext>
              </c:extLst>
            </c:dLbl>
            <c:dLbl>
              <c:idx val="2"/>
              <c:layout>
                <c:manualLayout>
                  <c:x val="2.3019430768835395E-2"/>
                  <c:y val="-0.121980167588950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5C8-4621-81CC-3F549F5C986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'Pilot Offices - Perfmon 2026 6h'!$EL$216:$EN$216</c:f>
              <c:strCache>
                <c:ptCount val="3"/>
                <c:pt idx="0">
                  <c:v>Processor(_Total)\% Privileged Time</c:v>
                </c:pt>
                <c:pt idx="1">
                  <c:v>Processor(_Total)\% Processor Time</c:v>
                </c:pt>
                <c:pt idx="2">
                  <c:v>Processor(_Total)\% User Time</c:v>
                </c:pt>
              </c:strCache>
            </c:strRef>
          </c:cat>
          <c:val>
            <c:numRef>
              <c:f>'Pilot Offices - Perfmon 2026 6h'!$EL$217:$EN$217</c:f>
              <c:numCache>
                <c:formatCode>0.00</c:formatCode>
                <c:ptCount val="3"/>
                <c:pt idx="0">
                  <c:v>6.4971681077053445</c:v>
                </c:pt>
                <c:pt idx="1">
                  <c:v>12.755143290720238</c:v>
                </c:pt>
                <c:pt idx="2">
                  <c:v>6.2414093956180006</c:v>
                </c:pt>
              </c:numCache>
            </c:numRef>
          </c:val>
          <c:extLst>
            <c:ext xmlns:c16="http://schemas.microsoft.com/office/drawing/2014/chart" uri="{C3380CC4-5D6E-409C-BE32-E72D297353CC}">
              <c16:uniqueId val="{00000000-044B-4C44-9BA6-16A0DD52C44D}"/>
            </c:ext>
          </c:extLst>
        </c:ser>
        <c:dLbls>
          <c:showLegendKey val="0"/>
          <c:showVal val="0"/>
          <c:showCatName val="0"/>
          <c:showSerName val="0"/>
          <c:showPercent val="0"/>
          <c:showBubbleSize val="0"/>
        </c:dLbls>
        <c:gapWidth val="65"/>
        <c:shape val="box"/>
        <c:axId val="164882719"/>
        <c:axId val="164883199"/>
        <c:axId val="0"/>
      </c:bar3DChart>
      <c:catAx>
        <c:axId val="16488271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4883199"/>
        <c:crosses val="autoZero"/>
        <c:auto val="1"/>
        <c:lblAlgn val="ctr"/>
        <c:lblOffset val="100"/>
        <c:noMultiLvlLbl val="0"/>
      </c:catAx>
      <c:valAx>
        <c:axId val="164883199"/>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488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Memory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Charts!$C$1:$E$1</c:f>
              <c:strCache>
                <c:ptCount val="3"/>
                <c:pt idx="0">
                  <c:v>\\Memory\Available MBytes</c:v>
                </c:pt>
                <c:pt idx="1">
                  <c:v>\\Memory\Page Faults/sec</c:v>
                </c:pt>
                <c:pt idx="2">
                  <c:v>\\Memory\Pages/sec</c:v>
                </c:pt>
              </c:strCache>
            </c:strRef>
          </c:cat>
          <c:val>
            <c:numRef>
              <c:f>Charts!$C$2:$E$2</c:f>
              <c:numCache>
                <c:formatCode>#,##0.00</c:formatCode>
                <c:ptCount val="3"/>
                <c:pt idx="0">
                  <c:v>9451.4138634014198</c:v>
                </c:pt>
                <c:pt idx="1">
                  <c:v>10770.75826352814</c:v>
                </c:pt>
                <c:pt idx="2">
                  <c:v>260.75936926107278</c:v>
                </c:pt>
              </c:numCache>
            </c:numRef>
          </c:val>
          <c:extLst>
            <c:ext xmlns:c16="http://schemas.microsoft.com/office/drawing/2014/chart" uri="{C3380CC4-5D6E-409C-BE32-E72D297353CC}">
              <c16:uniqueId val="{00000000-CE48-44DA-82A7-559776231FE7}"/>
            </c:ext>
          </c:extLst>
        </c:ser>
        <c:dLbls>
          <c:showLegendKey val="0"/>
          <c:showVal val="0"/>
          <c:showCatName val="0"/>
          <c:showSerName val="0"/>
          <c:showPercent val="0"/>
          <c:showBubbleSize val="0"/>
        </c:dLbls>
        <c:gapWidth val="150"/>
        <c:shape val="box"/>
        <c:axId val="941673007"/>
        <c:axId val="941689807"/>
        <c:axId val="0"/>
      </c:bar3DChart>
      <c:catAx>
        <c:axId val="9416730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689807"/>
        <c:crosses val="autoZero"/>
        <c:auto val="1"/>
        <c:lblAlgn val="ctr"/>
        <c:lblOffset val="100"/>
        <c:noMultiLvlLbl val="0"/>
      </c:catAx>
      <c:valAx>
        <c:axId val="94168980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67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Network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Charts!$G$1:$L$1</c:f>
              <c:strCache>
                <c:ptCount val="6"/>
                <c:pt idx="0">
                  <c:v>\\Network AdapterTeredo Tunneling Pseudo-Interface\Bytes Total/sec</c:v>
                </c:pt>
                <c:pt idx="1">
                  <c:v>\\Network AdapterPANGP Virtual Ethernet Adapter Secure\Bytes Total/sec</c:v>
                </c:pt>
                <c:pt idx="2">
                  <c:v>\Network AdapterSurface Ethernet Adapter _2\Bytes Total/sec</c:v>
                </c:pt>
                <c:pt idx="3">
                  <c:v>\\Network AdapterMicrosoft Hyper-V Network Adapter\Bytes Total/sec</c:v>
                </c:pt>
                <c:pt idx="4">
                  <c:v>\\Network AdapterIntel[R] Wi-Fi 6 AX201 160MHz\Bytes Total/sec</c:v>
                </c:pt>
                <c:pt idx="5">
                  <c:v>\\Network AdapterIntel[R] Wi-Fi 7</c:v>
                </c:pt>
              </c:strCache>
            </c:strRef>
          </c:cat>
          <c:val>
            <c:numRef>
              <c:f>Charts!$G$2:$L$2</c:f>
              <c:numCache>
                <c:formatCode>#,##0.00</c:formatCode>
                <c:ptCount val="6"/>
                <c:pt idx="0">
                  <c:v>100.42403506695425</c:v>
                </c:pt>
                <c:pt idx="1">
                  <c:v>110810.41080465046</c:v>
                </c:pt>
                <c:pt idx="2">
                  <c:v>222777.85465783562</c:v>
                </c:pt>
                <c:pt idx="3">
                  <c:v>5.8892295999171598</c:v>
                </c:pt>
                <c:pt idx="4">
                  <c:v>37417.953581038921</c:v>
                </c:pt>
                <c:pt idx="5">
                  <c:v>66565.885274548695</c:v>
                </c:pt>
              </c:numCache>
            </c:numRef>
          </c:val>
          <c:extLst>
            <c:ext xmlns:c16="http://schemas.microsoft.com/office/drawing/2014/chart" uri="{C3380CC4-5D6E-409C-BE32-E72D297353CC}">
              <c16:uniqueId val="{00000000-AC40-41A1-8FB2-255CFC03F2DF}"/>
            </c:ext>
          </c:extLst>
        </c:ser>
        <c:dLbls>
          <c:showLegendKey val="0"/>
          <c:showVal val="0"/>
          <c:showCatName val="0"/>
          <c:showSerName val="0"/>
          <c:showPercent val="0"/>
          <c:showBubbleSize val="0"/>
        </c:dLbls>
        <c:gapWidth val="150"/>
        <c:shape val="box"/>
        <c:axId val="897049343"/>
        <c:axId val="897066143"/>
        <c:axId val="0"/>
      </c:bar3DChart>
      <c:catAx>
        <c:axId val="897049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66143"/>
        <c:crosses val="autoZero"/>
        <c:auto val="1"/>
        <c:lblAlgn val="ctr"/>
        <c:lblOffset val="100"/>
        <c:noMultiLvlLbl val="0"/>
      </c:catAx>
      <c:valAx>
        <c:axId val="897066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49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Disk 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Charts!$N$1:$P$1</c:f>
              <c:strCache>
                <c:ptCount val="3"/>
                <c:pt idx="0">
                  <c:v>Avg. Disk Bytes\% Idle Time</c:v>
                </c:pt>
                <c:pt idx="1">
                  <c:v>Avg. Disk Bytes/Read</c:v>
                </c:pt>
                <c:pt idx="2">
                  <c:v>Avg. Disk Bytes/Write</c:v>
                </c:pt>
              </c:strCache>
            </c:strRef>
          </c:cat>
          <c:val>
            <c:numRef>
              <c:f>Charts!$N$2:$P$2</c:f>
              <c:numCache>
                <c:formatCode>#,##0.00</c:formatCode>
                <c:ptCount val="3"/>
                <c:pt idx="0">
                  <c:v>98.106413787022191</c:v>
                </c:pt>
                <c:pt idx="1">
                  <c:v>39364.745623127252</c:v>
                </c:pt>
                <c:pt idx="2">
                  <c:v>19741.89858482722</c:v>
                </c:pt>
              </c:numCache>
            </c:numRef>
          </c:val>
          <c:extLst>
            <c:ext xmlns:c16="http://schemas.microsoft.com/office/drawing/2014/chart" uri="{C3380CC4-5D6E-409C-BE32-E72D297353CC}">
              <c16:uniqueId val="{00000000-B5EB-4C04-AECB-3B7BD1EAE5D7}"/>
            </c:ext>
          </c:extLst>
        </c:ser>
        <c:dLbls>
          <c:showLegendKey val="0"/>
          <c:showVal val="0"/>
          <c:showCatName val="0"/>
          <c:showSerName val="0"/>
          <c:showPercent val="0"/>
          <c:showBubbleSize val="0"/>
        </c:dLbls>
        <c:gapWidth val="150"/>
        <c:shape val="box"/>
        <c:axId val="606253903"/>
        <c:axId val="606253423"/>
        <c:axId val="0"/>
      </c:bar3DChart>
      <c:catAx>
        <c:axId val="606253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53423"/>
        <c:crosses val="autoZero"/>
        <c:auto val="1"/>
        <c:lblAlgn val="ctr"/>
        <c:lblOffset val="100"/>
        <c:noMultiLvlLbl val="0"/>
      </c:catAx>
      <c:valAx>
        <c:axId val="6062534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253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outerShdw blurRad="50800" dist="38100" dir="5400000" algn="t" rotWithShape="0">
            <a:prstClr val="black">
              <a:alpha val="40000"/>
            </a:prstClr>
          </a:outerShdw>
        </a:effectLst>
        <a:sp3d/>
      </c:spPr>
    </c:sideWall>
    <c:backWall>
      <c:thickness val="0"/>
      <c:spPr>
        <a:noFill/>
        <a:ln>
          <a:noFill/>
        </a:ln>
        <a:effectLst>
          <a:outerShdw blurRad="50800" dist="38100" dir="5400000" algn="t" rotWithShape="0">
            <a:prstClr val="black">
              <a:alpha val="40000"/>
            </a:prstClr>
          </a:outerShdw>
        </a:effectLst>
        <a:sp3d/>
      </c:spPr>
    </c:backWall>
    <c:plotArea>
      <c:layout/>
      <c:area3DChart>
        <c:grouping val="standard"/>
        <c:varyColors val="0"/>
        <c:ser>
          <c:idx val="0"/>
          <c:order val="0"/>
          <c:spPr>
            <a:solidFill>
              <a:schemeClr val="accent2">
                <a:lumMod val="40000"/>
                <a:lumOff val="60000"/>
              </a:schemeClr>
            </a:solidFill>
            <a:ln>
              <a:noFill/>
            </a:ln>
            <a:effectLst/>
            <a:sp3d/>
          </c:spPr>
          <c:cat>
            <c:strRef>
              <c:f>Charts!$R$1:$BA$1</c:f>
              <c:strCache>
                <c:ptCount val="36"/>
                <c:pt idx="0">
                  <c:v>WINWORD</c:v>
                </c:pt>
                <c:pt idx="1">
                  <c:v>spoolsv.exe\% or Time</c:v>
                </c:pt>
                <c:pt idx="2">
                  <c:v>ResearchMonitor Agent\% or Time</c:v>
                </c:pt>
                <c:pt idx="3">
                  <c:v>POWERPNT</c:v>
                </c:pt>
                <c:pt idx="4">
                  <c:v>PowerPDF</c:v>
                </c:pt>
                <c:pt idx="5">
                  <c:v>PANGPS</c:v>
                </c:pt>
                <c:pt idx="6">
                  <c:v>PAD.Console.Host</c:v>
                </c:pt>
                <c:pt idx="7">
                  <c:v>OUTLOOK</c:v>
                </c:pt>
                <c:pt idx="8">
                  <c:v>OneDrive</c:v>
                </c:pt>
                <c:pt idx="9">
                  <c:v>NetDocuments.ndMail.Application</c:v>
                </c:pt>
                <c:pt idx="10">
                  <c:v>ndOffice</c:v>
                </c:pt>
                <c:pt idx="11">
                  <c:v>MsMpEng</c:v>
                </c:pt>
                <c:pt idx="12">
                  <c:v>msedgewebview2</c:v>
                </c:pt>
                <c:pt idx="13">
                  <c:v>msedge</c:v>
                </c:pt>
                <c:pt idx="14">
                  <c:v>ms-teams</c:v>
                </c:pt>
                <c:pt idx="15">
                  <c:v>M365Copilot</c:v>
                </c:pt>
                <c:pt idx="16">
                  <c:v>jabra-direct</c:v>
                </c:pt>
                <c:pt idx="17">
                  <c:v>ir_agent</c:v>
                </c:pt>
                <c:pt idx="18">
                  <c:v>EXCEL</c:v>
                </c:pt>
                <c:pt idx="19">
                  <c:v>Creative Cloud UI Helper</c:v>
                </c:pt>
                <c:pt idx="20">
                  <c:v>Creative Cloud Helper</c:v>
                </c:pt>
                <c:pt idx="21">
                  <c:v>Creative Cloud</c:v>
                </c:pt>
                <c:pt idx="22">
                  <c:v>CoreSync</c:v>
                </c:pt>
                <c:pt idx="23">
                  <c:v>Copilot.exe</c:v>
                </c:pt>
                <c:pt idx="24">
                  <c:v>Chrome</c:v>
                </c:pt>
                <c:pt idx="25">
                  <c:v>CCXProcess</c:v>
                </c:pt>
                <c:pt idx="26">
                  <c:v>CCLibrary</c:v>
                </c:pt>
                <c:pt idx="27">
                  <c:v>AdobeUpdateService</c:v>
                </c:pt>
                <c:pt idx="28">
                  <c:v>AdobeNotificationClient</c:v>
                </c:pt>
                <c:pt idx="29">
                  <c:v>AdobeIPCBroker</c:v>
                </c:pt>
                <c:pt idx="30">
                  <c:v>AdobeCollabSync</c:v>
                </c:pt>
                <c:pt idx="31">
                  <c:v>Adobe Deskop Service</c:v>
                </c:pt>
                <c:pt idx="32">
                  <c:v>AcroCEF</c:v>
                </c:pt>
                <c:pt idx="33">
                  <c:v>Acrobat</c:v>
                </c:pt>
                <c:pt idx="34">
                  <c:v>Access Experience</c:v>
                </c:pt>
                <c:pt idx="35">
                  <c:v>ACC</c:v>
                </c:pt>
              </c:strCache>
            </c:strRef>
          </c:cat>
          <c:val>
            <c:numRef>
              <c:f>Charts!$R$2:$BA$2</c:f>
              <c:numCache>
                <c:formatCode>#,##0.00</c:formatCode>
                <c:ptCount val="36"/>
                <c:pt idx="0">
                  <c:v>2.4289357046718858</c:v>
                </c:pt>
                <c:pt idx="2">
                  <c:v>0.10001938503194061</c:v>
                </c:pt>
                <c:pt idx="3">
                  <c:v>0.30411553201184266</c:v>
                </c:pt>
                <c:pt idx="4">
                  <c:v>1.7513396263480798</c:v>
                </c:pt>
                <c:pt idx="5">
                  <c:v>0.80064696819179471</c:v>
                </c:pt>
                <c:pt idx="6">
                  <c:v>2.208010771515764</c:v>
                </c:pt>
                <c:pt idx="7">
                  <c:v>8.023819240008196</c:v>
                </c:pt>
                <c:pt idx="8">
                  <c:v>0.68333042133495547</c:v>
                </c:pt>
                <c:pt idx="9">
                  <c:v>0.14084173669902109</c:v>
                </c:pt>
                <c:pt idx="10">
                  <c:v>0.5252383901677895</c:v>
                </c:pt>
                <c:pt idx="11">
                  <c:v>9.1090991084730852</c:v>
                </c:pt>
                <c:pt idx="12">
                  <c:v>0.36646158755245323</c:v>
                </c:pt>
                <c:pt idx="13">
                  <c:v>2.0826851536426076</c:v>
                </c:pt>
                <c:pt idx="14">
                  <c:v>0.43556121959609145</c:v>
                </c:pt>
                <c:pt idx="15">
                  <c:v>2.5581658303236939E-2</c:v>
                </c:pt>
                <c:pt idx="16">
                  <c:v>0.48078019861999266</c:v>
                </c:pt>
                <c:pt idx="17">
                  <c:v>3.5521955064519516E-2</c:v>
                </c:pt>
                <c:pt idx="18">
                  <c:v>1.7351631558285385</c:v>
                </c:pt>
                <c:pt idx="19">
                  <c:v>1.1085522912288898E-2</c:v>
                </c:pt>
                <c:pt idx="20">
                  <c:v>9.3860525048878096E-2</c:v>
                </c:pt>
                <c:pt idx="21">
                  <c:v>0.82230910996980355</c:v>
                </c:pt>
                <c:pt idx="22">
                  <c:v>0.20390432918176762</c:v>
                </c:pt>
                <c:pt idx="24">
                  <c:v>3.0674818524779632</c:v>
                </c:pt>
                <c:pt idx="25">
                  <c:v>0</c:v>
                </c:pt>
                <c:pt idx="26">
                  <c:v>0</c:v>
                </c:pt>
                <c:pt idx="27">
                  <c:v>9.9593437429178703E-3</c:v>
                </c:pt>
                <c:pt idx="28">
                  <c:v>7.230132595306712E-5</c:v>
                </c:pt>
                <c:pt idx="29">
                  <c:v>0.13841893531263819</c:v>
                </c:pt>
                <c:pt idx="30">
                  <c:v>8.6213306619754816E-4</c:v>
                </c:pt>
                <c:pt idx="33">
                  <c:v>21.062478450775298</c:v>
                </c:pt>
                <c:pt idx="34">
                  <c:v>6.7564310792456325E-2</c:v>
                </c:pt>
                <c:pt idx="35">
                  <c:v>0.49518123081782184</c:v>
                </c:pt>
              </c:numCache>
            </c:numRef>
          </c:val>
          <c:extLst>
            <c:ext xmlns:c16="http://schemas.microsoft.com/office/drawing/2014/chart" uri="{C3380CC4-5D6E-409C-BE32-E72D297353CC}">
              <c16:uniqueId val="{00000000-8CFB-474D-8DD8-39CF7400776D}"/>
            </c:ext>
          </c:extLst>
        </c:ser>
        <c:dLbls>
          <c:showLegendKey val="0"/>
          <c:showVal val="0"/>
          <c:showCatName val="0"/>
          <c:showSerName val="0"/>
          <c:showPercent val="0"/>
          <c:showBubbleSize val="0"/>
        </c:dLbls>
        <c:gapDepth val="62"/>
        <c:axId val="1029617679"/>
        <c:axId val="1029618159"/>
        <c:axId val="538210815"/>
      </c:area3DChart>
      <c:catAx>
        <c:axId val="1029617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18159"/>
        <c:crosses val="autoZero"/>
        <c:auto val="1"/>
        <c:lblAlgn val="ctr"/>
        <c:lblOffset val="100"/>
        <c:noMultiLvlLbl val="0"/>
      </c:catAx>
      <c:valAx>
        <c:axId val="10296181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17679"/>
        <c:crosses val="autoZero"/>
        <c:crossBetween val="midCat"/>
      </c:valAx>
      <c:serAx>
        <c:axId val="538210815"/>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618159"/>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Disc I/O</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spPr>
            <a:solidFill>
              <a:schemeClr val="accent1"/>
            </a:solidFill>
            <a:ln>
              <a:noFill/>
            </a:ln>
            <a:effectLst/>
            <a:sp3d/>
          </c:spPr>
          <c:cat>
            <c:strRef>
              <c:f>Charts!$BC$1:$CL$1</c:f>
              <c:strCache>
                <c:ptCount val="36"/>
                <c:pt idx="0">
                  <c:v>WINWORD\IO Data Bytes/sec</c:v>
                </c:pt>
                <c:pt idx="1">
                  <c:v>spoolsv.exe\IO Data Bytes/sec</c:v>
                </c:pt>
                <c:pt idx="2">
                  <c:v>ResearchMonitor Agent\IO Data Bytes/sec</c:v>
                </c:pt>
                <c:pt idx="3">
                  <c:v>POWERPNT\IO Data Bytes/sec</c:v>
                </c:pt>
                <c:pt idx="4">
                  <c:v>PowerPDF\IO Data Bytes/sec</c:v>
                </c:pt>
                <c:pt idx="5">
                  <c:v>PANGPS\IO Data Bytes/sec</c:v>
                </c:pt>
                <c:pt idx="6">
                  <c:v>PAD.Console.Host\IO Data Bytes/sec</c:v>
                </c:pt>
                <c:pt idx="7">
                  <c:v>OUTLOOK\IO Data Bytes/sec</c:v>
                </c:pt>
                <c:pt idx="8">
                  <c:v>OneDrive\IO Data Bytes/sec</c:v>
                </c:pt>
                <c:pt idx="9">
                  <c:v>NetDocuments.ndMail.Application\IO Data Bytes/sec</c:v>
                </c:pt>
                <c:pt idx="10">
                  <c:v>ndOffice\IO Data Bytes/sec</c:v>
                </c:pt>
                <c:pt idx="11">
                  <c:v>MsMpEng\IO Data Bytes/sec</c:v>
                </c:pt>
                <c:pt idx="12">
                  <c:v>msedgewebview2\IO Data Bytes/sec</c:v>
                </c:pt>
                <c:pt idx="13">
                  <c:v>msedge\IO Data Bytes/sec</c:v>
                </c:pt>
                <c:pt idx="14">
                  <c:v>ms-teams\IO Data Bytes/sec</c:v>
                </c:pt>
                <c:pt idx="15">
                  <c:v>M365Copilot\IO Data Bytes/sec</c:v>
                </c:pt>
                <c:pt idx="16">
                  <c:v>jabra-direct\IO Data Bytes/sec</c:v>
                </c:pt>
                <c:pt idx="17">
                  <c:v>ir_agent\IO Data Bytes/sec</c:v>
                </c:pt>
                <c:pt idx="18">
                  <c:v>EXCEL\IO Data Bytes/sec</c:v>
                </c:pt>
                <c:pt idx="19">
                  <c:v>Creative Cloud UI Helper\IO Data Bytes/sec</c:v>
                </c:pt>
                <c:pt idx="20">
                  <c:v>Creative Cloud Helper\IO Data Bytes/sec</c:v>
                </c:pt>
                <c:pt idx="21">
                  <c:v>Creative Cloud\IO Data Bytes/sec</c:v>
                </c:pt>
                <c:pt idx="22">
                  <c:v>CoreSync\IO Data Bytes/sec</c:v>
                </c:pt>
                <c:pt idx="23">
                  <c:v>Copilot.exe\IO Data Bytes/sec</c:v>
                </c:pt>
                <c:pt idx="24">
                  <c:v>Chrome\IO Data Bytes/sec</c:v>
                </c:pt>
                <c:pt idx="25">
                  <c:v>CCXProcess\IO Data Bytes/sec</c:v>
                </c:pt>
                <c:pt idx="26">
                  <c:v>CCLibrary\IO Data Bytes/sec</c:v>
                </c:pt>
                <c:pt idx="27">
                  <c:v>AdobeUpdateService\IO Data Bytes/sec</c:v>
                </c:pt>
                <c:pt idx="28">
                  <c:v>AdobeNotificationClient\IO Data Bytes/sec</c:v>
                </c:pt>
                <c:pt idx="29">
                  <c:v>AdobeIPCBroker\IO Data Bytes/sec</c:v>
                </c:pt>
                <c:pt idx="30">
                  <c:v>AdobeCollabSync\IO Data Bytes/sec</c:v>
                </c:pt>
                <c:pt idx="31">
                  <c:v>Adobe Deskop Service\IO Data Bytes/sec</c:v>
                </c:pt>
                <c:pt idx="32">
                  <c:v>AcroCEF\IO Data Bytes/sec</c:v>
                </c:pt>
                <c:pt idx="33">
                  <c:v>Acrobat\IO Data Bytes/sec</c:v>
                </c:pt>
                <c:pt idx="34">
                  <c:v>Access Experience\IO Data Bytes/sec</c:v>
                </c:pt>
                <c:pt idx="35">
                  <c:v>ACC\IO Data Bytes/sec</c:v>
                </c:pt>
              </c:strCache>
            </c:strRef>
          </c:cat>
          <c:val>
            <c:numRef>
              <c:f>Charts!$BC$2:$CL$2</c:f>
              <c:numCache>
                <c:formatCode>General</c:formatCode>
                <c:ptCount val="36"/>
                <c:pt idx="0">
                  <c:v>26542.228234751045</c:v>
                </c:pt>
                <c:pt idx="2">
                  <c:v>94.938780255947009</c:v>
                </c:pt>
                <c:pt idx="3">
                  <c:v>145334.23396565055</c:v>
                </c:pt>
                <c:pt idx="4">
                  <c:v>31097.515328665759</c:v>
                </c:pt>
                <c:pt idx="5">
                  <c:v>456.04232057147658</c:v>
                </c:pt>
                <c:pt idx="6">
                  <c:v>248.186354812339</c:v>
                </c:pt>
                <c:pt idx="7">
                  <c:v>22111.959205766143</c:v>
                </c:pt>
                <c:pt idx="8">
                  <c:v>31119.549692698467</c:v>
                </c:pt>
                <c:pt idx="9">
                  <c:v>145.87090236161563</c:v>
                </c:pt>
                <c:pt idx="10">
                  <c:v>220.76719484734963</c:v>
                </c:pt>
                <c:pt idx="11">
                  <c:v>395409.45574120333</c:v>
                </c:pt>
                <c:pt idx="12">
                  <c:v>34245.907848712995</c:v>
                </c:pt>
                <c:pt idx="13">
                  <c:v>143808.99486227368</c:v>
                </c:pt>
                <c:pt idx="14">
                  <c:v>8597.4992954647769</c:v>
                </c:pt>
                <c:pt idx="15">
                  <c:v>522.77133844649927</c:v>
                </c:pt>
                <c:pt idx="16">
                  <c:v>346.69723229250968</c:v>
                </c:pt>
                <c:pt idx="17">
                  <c:v>286.89543590496896</c:v>
                </c:pt>
                <c:pt idx="18">
                  <c:v>44578.240629778404</c:v>
                </c:pt>
                <c:pt idx="19">
                  <c:v>99.243579115586499</c:v>
                </c:pt>
                <c:pt idx="20">
                  <c:v>1095.0661053242611</c:v>
                </c:pt>
                <c:pt idx="21">
                  <c:v>524794.90066972328</c:v>
                </c:pt>
                <c:pt idx="22">
                  <c:v>1504.0031265043731</c:v>
                </c:pt>
                <c:pt idx="24">
                  <c:v>263563.65182293166</c:v>
                </c:pt>
                <c:pt idx="25">
                  <c:v>0</c:v>
                </c:pt>
                <c:pt idx="26">
                  <c:v>0</c:v>
                </c:pt>
                <c:pt idx="27">
                  <c:v>161.82016022335694</c:v>
                </c:pt>
                <c:pt idx="28">
                  <c:v>0.5065541301908083</c:v>
                </c:pt>
                <c:pt idx="29">
                  <c:v>7883.6027937999461</c:v>
                </c:pt>
                <c:pt idx="30">
                  <c:v>1.515250707874958</c:v>
                </c:pt>
                <c:pt idx="33">
                  <c:v>5225040.0797845796</c:v>
                </c:pt>
                <c:pt idx="34">
                  <c:v>13.580709721252951</c:v>
                </c:pt>
                <c:pt idx="35">
                  <c:v>207.38320004852608</c:v>
                </c:pt>
              </c:numCache>
            </c:numRef>
          </c:val>
          <c:extLst>
            <c:ext xmlns:c16="http://schemas.microsoft.com/office/drawing/2014/chart" uri="{C3380CC4-5D6E-409C-BE32-E72D297353CC}">
              <c16:uniqueId val="{00000000-A260-45EE-9DA3-AF50B3D5E4D7}"/>
            </c:ext>
          </c:extLst>
        </c:ser>
        <c:dLbls>
          <c:showLegendKey val="0"/>
          <c:showVal val="0"/>
          <c:showCatName val="0"/>
          <c:showSerName val="0"/>
          <c:showPercent val="0"/>
          <c:showBubbleSize val="0"/>
        </c:dLbls>
        <c:axId val="891375071"/>
        <c:axId val="891385151"/>
        <c:axId val="654216351"/>
      </c:area3DChart>
      <c:catAx>
        <c:axId val="8913750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891385151"/>
        <c:crosses val="autoZero"/>
        <c:auto val="1"/>
        <c:lblAlgn val="ctr"/>
        <c:lblOffset val="100"/>
        <c:noMultiLvlLbl val="0"/>
      </c:catAx>
      <c:valAx>
        <c:axId val="89138515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75071"/>
        <c:crosses val="autoZero"/>
        <c:crossBetween val="midCat"/>
      </c:valAx>
      <c:serAx>
        <c:axId val="654216351"/>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38515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spPr>
            <a:solidFill>
              <a:schemeClr val="accent1"/>
            </a:solidFill>
            <a:ln>
              <a:noFill/>
            </a:ln>
            <a:effectLst/>
            <a:sp3d/>
          </c:spPr>
          <c:cat>
            <c:strRef>
              <c:f>Charts!$CN$1:$DW$1</c:f>
              <c:strCache>
                <c:ptCount val="36"/>
                <c:pt idx="0">
                  <c:v>WINWORD</c:v>
                </c:pt>
                <c:pt idx="1">
                  <c:v>spoolsv.exe</c:v>
                </c:pt>
                <c:pt idx="2">
                  <c:v>ResearchMonitor Agent</c:v>
                </c:pt>
                <c:pt idx="3">
                  <c:v>POWERPNT</c:v>
                </c:pt>
                <c:pt idx="4">
                  <c:v>PowerPDF</c:v>
                </c:pt>
                <c:pt idx="5">
                  <c:v>PANGPS</c:v>
                </c:pt>
                <c:pt idx="6">
                  <c:v>PAD.Console.Host</c:v>
                </c:pt>
                <c:pt idx="7">
                  <c:v>OUTLOOK</c:v>
                </c:pt>
                <c:pt idx="8">
                  <c:v>OneDrive</c:v>
                </c:pt>
                <c:pt idx="9">
                  <c:v>NetDocuments.ndMail.Application</c:v>
                </c:pt>
                <c:pt idx="10">
                  <c:v>ndOffice</c:v>
                </c:pt>
                <c:pt idx="11">
                  <c:v>MsMpEng</c:v>
                </c:pt>
                <c:pt idx="12">
                  <c:v>msedgewebview2</c:v>
                </c:pt>
                <c:pt idx="13">
                  <c:v>msedge</c:v>
                </c:pt>
                <c:pt idx="14">
                  <c:v>ms-teams</c:v>
                </c:pt>
                <c:pt idx="15">
                  <c:v>M365Copilot</c:v>
                </c:pt>
                <c:pt idx="16">
                  <c:v>jabra-direct</c:v>
                </c:pt>
                <c:pt idx="17">
                  <c:v>ir_agent</c:v>
                </c:pt>
                <c:pt idx="18">
                  <c:v>EXCEL</c:v>
                </c:pt>
                <c:pt idx="19">
                  <c:v>Creative Cloud UI Helper</c:v>
                </c:pt>
                <c:pt idx="20">
                  <c:v>Creative Cloud Helper</c:v>
                </c:pt>
                <c:pt idx="21">
                  <c:v>Creative Cloud</c:v>
                </c:pt>
                <c:pt idx="22">
                  <c:v>CoreSync</c:v>
                </c:pt>
                <c:pt idx="23">
                  <c:v>Copilot.exe</c:v>
                </c:pt>
                <c:pt idx="24">
                  <c:v>Chrome</c:v>
                </c:pt>
                <c:pt idx="25">
                  <c:v>CCXProcess</c:v>
                </c:pt>
                <c:pt idx="26">
                  <c:v>CCLibrary</c:v>
                </c:pt>
                <c:pt idx="27">
                  <c:v>AdobeUpdateService</c:v>
                </c:pt>
                <c:pt idx="28">
                  <c:v>AdobeNotificationClient</c:v>
                </c:pt>
                <c:pt idx="29">
                  <c:v>AdobeIPCBroker</c:v>
                </c:pt>
                <c:pt idx="30">
                  <c:v>AdobeCollabSync</c:v>
                </c:pt>
                <c:pt idx="31">
                  <c:v>Adobe Deskop Service</c:v>
                </c:pt>
                <c:pt idx="32">
                  <c:v>AcroCEF</c:v>
                </c:pt>
                <c:pt idx="33">
                  <c:v>Acrobat</c:v>
                </c:pt>
                <c:pt idx="34">
                  <c:v>Access Experience</c:v>
                </c:pt>
                <c:pt idx="35">
                  <c:v>ACC</c:v>
                </c:pt>
              </c:strCache>
            </c:strRef>
          </c:cat>
          <c:val>
            <c:numRef>
              <c:f>Charts!$CN$2:$DW$2</c:f>
              <c:numCache>
                <c:formatCode>General</c:formatCode>
                <c:ptCount val="36"/>
                <c:pt idx="0">
                  <c:v>576904665.91300476</c:v>
                </c:pt>
                <c:pt idx="2">
                  <c:v>23973771.895417303</c:v>
                </c:pt>
                <c:pt idx="3">
                  <c:v>807978922.23394585</c:v>
                </c:pt>
                <c:pt idx="4">
                  <c:v>351572178.53612286</c:v>
                </c:pt>
                <c:pt idx="5">
                  <c:v>66540828.300041601</c:v>
                </c:pt>
                <c:pt idx="6">
                  <c:v>262200682.69675407</c:v>
                </c:pt>
                <c:pt idx="7">
                  <c:v>1100453891.7540951</c:v>
                </c:pt>
                <c:pt idx="8">
                  <c:v>176584232.47314441</c:v>
                </c:pt>
                <c:pt idx="9">
                  <c:v>73673590.10069415</c:v>
                </c:pt>
                <c:pt idx="10">
                  <c:v>178945287.18101943</c:v>
                </c:pt>
                <c:pt idx="11">
                  <c:v>400649207.22734696</c:v>
                </c:pt>
                <c:pt idx="12">
                  <c:v>53726017.970449254</c:v>
                </c:pt>
                <c:pt idx="13">
                  <c:v>206796913.58016863</c:v>
                </c:pt>
                <c:pt idx="14">
                  <c:v>96996216.711538061</c:v>
                </c:pt>
                <c:pt idx="15">
                  <c:v>93826913.377193302</c:v>
                </c:pt>
                <c:pt idx="16">
                  <c:v>267388165.18406895</c:v>
                </c:pt>
                <c:pt idx="17">
                  <c:v>22333939.761660181</c:v>
                </c:pt>
                <c:pt idx="18">
                  <c:v>534506780.50235271</c:v>
                </c:pt>
                <c:pt idx="19">
                  <c:v>205372565.99754491</c:v>
                </c:pt>
                <c:pt idx="20">
                  <c:v>14166351.929854767</c:v>
                </c:pt>
                <c:pt idx="21">
                  <c:v>138056658.4948746</c:v>
                </c:pt>
                <c:pt idx="22">
                  <c:v>36794100.208565742</c:v>
                </c:pt>
                <c:pt idx="24">
                  <c:v>142695995.3702192</c:v>
                </c:pt>
                <c:pt idx="25">
                  <c:v>605167.54293206555</c:v>
                </c:pt>
                <c:pt idx="26">
                  <c:v>635084.33560090698</c:v>
                </c:pt>
                <c:pt idx="27">
                  <c:v>3642979.9027276929</c:v>
                </c:pt>
                <c:pt idx="28">
                  <c:v>36756995.852631241</c:v>
                </c:pt>
                <c:pt idx="29">
                  <c:v>6843737.5697003249</c:v>
                </c:pt>
                <c:pt idx="30">
                  <c:v>9421932.8324733879</c:v>
                </c:pt>
                <c:pt idx="32">
                  <c:v>22405120</c:v>
                </c:pt>
                <c:pt idx="33">
                  <c:v>54099968</c:v>
                </c:pt>
                <c:pt idx="34">
                  <c:v>67426586.984997094</c:v>
                </c:pt>
                <c:pt idx="35">
                  <c:v>27548109.226248614</c:v>
                </c:pt>
              </c:numCache>
            </c:numRef>
          </c:val>
          <c:extLst>
            <c:ext xmlns:c16="http://schemas.microsoft.com/office/drawing/2014/chart" uri="{C3380CC4-5D6E-409C-BE32-E72D297353CC}">
              <c16:uniqueId val="{00000000-4875-447B-94E4-D39AF45E5CB2}"/>
            </c:ext>
          </c:extLst>
        </c:ser>
        <c:dLbls>
          <c:showLegendKey val="0"/>
          <c:showVal val="0"/>
          <c:showCatName val="0"/>
          <c:showSerName val="0"/>
          <c:showPercent val="0"/>
          <c:showBubbleSize val="0"/>
        </c:dLbls>
        <c:axId val="914841920"/>
        <c:axId val="914831360"/>
        <c:axId val="0"/>
      </c:area3DChart>
      <c:catAx>
        <c:axId val="9148419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31360"/>
        <c:crosses val="autoZero"/>
        <c:auto val="1"/>
        <c:lblAlgn val="ctr"/>
        <c:lblOffset val="100"/>
        <c:noMultiLvlLbl val="0"/>
      </c:catAx>
      <c:valAx>
        <c:axId val="914831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841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Pi</a:t>
            </a:r>
          </a:p>
          <a:p>
            <a:pPr>
              <a:defRPr/>
            </a:pPr>
            <a:r>
              <a:rPr lang="en-US"/>
              <a:t>lot Processor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4D-49A5-B935-1FD032A830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Office'!$X$25:$BG$25</c:f>
              <c:strCache>
                <c:ptCount val="36"/>
                <c:pt idx="0">
                  <c:v>\\(WINWORD)\% Processor Time</c:v>
                </c:pt>
                <c:pt idx="1">
                  <c:v>(spoolsv.exe)\% or Time</c:v>
                </c:pt>
                <c:pt idx="2">
                  <c:v>(ResearchMonitor Agent)\% or Time</c:v>
                </c:pt>
                <c:pt idx="3">
                  <c:v>(POWERPNT)\% Processor Time</c:v>
                </c:pt>
                <c:pt idx="4">
                  <c:v>(PowerPDF)\% Processor Time</c:v>
                </c:pt>
                <c:pt idx="5">
                  <c:v>(PANGPS)\% Processor Time</c:v>
                </c:pt>
                <c:pt idx="6">
                  <c:v>(PAD.Console.Host)\% Processor Time</c:v>
                </c:pt>
                <c:pt idx="7">
                  <c:v>(OUTLOOK)\% Processor Time</c:v>
                </c:pt>
                <c:pt idx="8">
                  <c:v>(OneDrive)\% Processor Time</c:v>
                </c:pt>
                <c:pt idx="9">
                  <c:v>(NetDocuments.ndMail.Application)\% Processor Time</c:v>
                </c:pt>
                <c:pt idx="10">
                  <c:v>(ndOffice)\% Processor Time</c:v>
                </c:pt>
                <c:pt idx="11">
                  <c:v>(MsMpEng)\% Processor Time</c:v>
                </c:pt>
                <c:pt idx="12">
                  <c:v>(msedgewebview2)\% Processor Time</c:v>
                </c:pt>
                <c:pt idx="13">
                  <c:v>(msedge)\% Processor Time</c:v>
                </c:pt>
                <c:pt idx="14">
                  <c:v>(ms-teams)\% Processor Time</c:v>
                </c:pt>
                <c:pt idx="15">
                  <c:v>(M365Copilot)\% Processor Time</c:v>
                </c:pt>
                <c:pt idx="16">
                  <c:v>(jabra-direct)\% Processor Time</c:v>
                </c:pt>
                <c:pt idx="17">
                  <c:v>(ir_agent)\% Processor Time</c:v>
                </c:pt>
                <c:pt idx="18">
                  <c:v>(EXCEL)\% Processor Time</c:v>
                </c:pt>
                <c:pt idx="19">
                  <c:v>(Creative Cloud UI Helper)\% Processor Time</c:v>
                </c:pt>
                <c:pt idx="20">
                  <c:v>(Creative Cloud Helper)\% Processor Time</c:v>
                </c:pt>
                <c:pt idx="21">
                  <c:v>(Creative Cloud)\% Processor Time</c:v>
                </c:pt>
                <c:pt idx="22">
                  <c:v>(CoreSync)\% Processor Time</c:v>
                </c:pt>
                <c:pt idx="23">
                  <c:v>(Copilot.exe)\% Processor Time</c:v>
                </c:pt>
                <c:pt idx="24">
                  <c:v>(Chrome)\% Processor Time</c:v>
                </c:pt>
                <c:pt idx="25">
                  <c:v>(CCXProcess)\% Processor Time</c:v>
                </c:pt>
                <c:pt idx="26">
                  <c:v>(CCLibrary)\% Processor Time</c:v>
                </c:pt>
                <c:pt idx="27">
                  <c:v>(AdobeUpdateService)\% Processor Time</c:v>
                </c:pt>
                <c:pt idx="28">
                  <c:v>(AdobeNotificationClient)\% Processor Time</c:v>
                </c:pt>
                <c:pt idx="29">
                  <c:v>(AdobeIPCBroker)\% Processor Time</c:v>
                </c:pt>
                <c:pt idx="30">
                  <c:v>(AdobeCollabSync)\% Processor Time</c:v>
                </c:pt>
                <c:pt idx="31">
                  <c:v>(Adobe Deskop Service)\% Processor Time</c:v>
                </c:pt>
                <c:pt idx="32">
                  <c:v>(AcroCEF)\% Processor Time</c:v>
                </c:pt>
                <c:pt idx="33">
                  <c:v>(Acrobat)\% Processor Time</c:v>
                </c:pt>
                <c:pt idx="34">
                  <c:v>(Access Experience)\% Processor Time</c:v>
                </c:pt>
                <c:pt idx="35">
                  <c:v>(ACC)\% Processor Time</c:v>
                </c:pt>
              </c:strCache>
            </c:strRef>
          </c:cat>
          <c:val>
            <c:numRef>
              <c:f>'By Office'!$X$26:$BG$26</c:f>
              <c:numCache>
                <c:formatCode>General</c:formatCode>
                <c:ptCount val="36"/>
                <c:pt idx="0">
                  <c:v>4.8152245291761275</c:v>
                </c:pt>
                <c:pt idx="1">
                  <c:v>0</c:v>
                </c:pt>
                <c:pt idx="2">
                  <c:v>0.12309146756269446</c:v>
                </c:pt>
                <c:pt idx="3">
                  <c:v>0.85957647435676332</c:v>
                </c:pt>
                <c:pt idx="4">
                  <c:v>3.192604382558152</c:v>
                </c:pt>
                <c:pt idx="5">
                  <c:v>0.5339994327151083</c:v>
                </c:pt>
                <c:pt idx="6">
                  <c:v>2.5290113117233211</c:v>
                </c:pt>
                <c:pt idx="7">
                  <c:v>15.119453734327861</c:v>
                </c:pt>
                <c:pt idx="8">
                  <c:v>2.5185779898648959</c:v>
                </c:pt>
                <c:pt idx="9">
                  <c:v>0.18445162337462875</c:v>
                </c:pt>
                <c:pt idx="10">
                  <c:v>0.79317098462746582</c:v>
                </c:pt>
                <c:pt idx="11">
                  <c:v>9.5105234808351664</c:v>
                </c:pt>
                <c:pt idx="12">
                  <c:v>0.16808325812155389</c:v>
                </c:pt>
                <c:pt idx="13">
                  <c:v>1.3926300582790514</c:v>
                </c:pt>
                <c:pt idx="14">
                  <c:v>0.33464713519937811</c:v>
                </c:pt>
                <c:pt idx="15">
                  <c:v>3.7499442516210138E-2</c:v>
                </c:pt>
                <c:pt idx="16">
                  <c:v>0.55628056208595011</c:v>
                </c:pt>
                <c:pt idx="17">
                  <c:v>3.709771236734577E-2</c:v>
                </c:pt>
                <c:pt idx="18">
                  <c:v>2.8640603413657888</c:v>
                </c:pt>
                <c:pt idx="24">
                  <c:v>1.8425721462447842</c:v>
                </c:pt>
                <c:pt idx="34">
                  <c:v>9.0752498775605359E-2</c:v>
                </c:pt>
                <c:pt idx="35">
                  <c:v>0.50819525682099864</c:v>
                </c:pt>
              </c:numCache>
            </c:numRef>
          </c:val>
          <c:extLst>
            <c:ext xmlns:c16="http://schemas.microsoft.com/office/drawing/2014/chart" uri="{C3380CC4-5D6E-409C-BE32-E72D297353CC}">
              <c16:uniqueId val="{00000000-764D-49A5-B935-1FD032A8309D}"/>
            </c:ext>
          </c:extLst>
        </c:ser>
        <c:dLbls>
          <c:showLegendKey val="0"/>
          <c:showVal val="0"/>
          <c:showCatName val="0"/>
          <c:showSerName val="0"/>
          <c:showPercent val="0"/>
          <c:showBubbleSize val="0"/>
        </c:dLbls>
        <c:gapWidth val="150"/>
        <c:shape val="box"/>
        <c:axId val="262490831"/>
        <c:axId val="262498511"/>
        <c:axId val="0"/>
      </c:bar3DChart>
      <c:catAx>
        <c:axId val="262490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8511"/>
        <c:crosses val="autoZero"/>
        <c:auto val="1"/>
        <c:lblAlgn val="ctr"/>
        <c:lblOffset val="100"/>
        <c:noMultiLvlLbl val="0"/>
      </c:catAx>
      <c:valAx>
        <c:axId val="262498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490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2.238416963323012E-2"/>
                  <c:y val="-7.14675179527972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97-4F71-B94F-3869C76F2237}"/>
                </c:ext>
              </c:extLst>
            </c:dLbl>
            <c:dLbl>
              <c:idx val="1"/>
              <c:layout>
                <c:manualLayout>
                  <c:x val="-3.9172296858152662E-2"/>
                  <c:y val="-8.1677163374625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97-4F71-B94F-3869C76F2237}"/>
                </c:ext>
              </c:extLst>
            </c:dLbl>
            <c:dLbl>
              <c:idx val="2"/>
              <c:layout>
                <c:manualLayout>
                  <c:x val="2.9379222643614498E-2"/>
                  <c:y val="-9.69916315073677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97-4F71-B94F-3869C76F223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Office'!$AC$36:$AE$36</c:f>
              <c:strCache>
                <c:ptCount val="3"/>
                <c:pt idx="0">
                  <c:v>Processor(_Total)\% Privileged Time</c:v>
                </c:pt>
                <c:pt idx="1">
                  <c:v>Processor(_Total)\% Processor Time</c:v>
                </c:pt>
                <c:pt idx="2">
                  <c:v>Processor(_Total)\% User Time</c:v>
                </c:pt>
              </c:strCache>
            </c:strRef>
          </c:cat>
          <c:val>
            <c:numRef>
              <c:f>'By Office'!$AC$37:$AE$37</c:f>
              <c:numCache>
                <c:formatCode>General</c:formatCode>
                <c:ptCount val="3"/>
                <c:pt idx="0">
                  <c:v>6.5364175151600863</c:v>
                </c:pt>
                <c:pt idx="1">
                  <c:v>12.996193508587123</c:v>
                </c:pt>
                <c:pt idx="2">
                  <c:v>6.4425716714901569</c:v>
                </c:pt>
              </c:numCache>
            </c:numRef>
          </c:val>
          <c:extLst>
            <c:ext xmlns:c16="http://schemas.microsoft.com/office/drawing/2014/chart" uri="{C3380CC4-5D6E-409C-BE32-E72D297353CC}">
              <c16:uniqueId val="{00000000-1397-4F71-B94F-3869C76F2237}"/>
            </c:ext>
          </c:extLst>
        </c:ser>
        <c:dLbls>
          <c:showLegendKey val="0"/>
          <c:showVal val="0"/>
          <c:showCatName val="0"/>
          <c:showSerName val="0"/>
          <c:showPercent val="0"/>
          <c:showBubbleSize val="0"/>
        </c:dLbls>
        <c:gapWidth val="150"/>
        <c:shape val="box"/>
        <c:axId val="839649887"/>
        <c:axId val="839649407"/>
        <c:axId val="0"/>
      </c:bar3DChart>
      <c:catAx>
        <c:axId val="8396498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649407"/>
        <c:crosses val="autoZero"/>
        <c:auto val="1"/>
        <c:lblAlgn val="ctr"/>
        <c:lblOffset val="100"/>
        <c:noMultiLvlLbl val="0"/>
      </c:catAx>
      <c:valAx>
        <c:axId val="839649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9649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5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2</xdr:col>
      <xdr:colOff>1066800</xdr:colOff>
      <xdr:row>219</xdr:row>
      <xdr:rowOff>23532</xdr:rowOff>
    </xdr:from>
    <xdr:to>
      <xdr:col>13</xdr:col>
      <xdr:colOff>1036543</xdr:colOff>
      <xdr:row>252</xdr:row>
      <xdr:rowOff>152400</xdr:rowOff>
    </xdr:to>
    <xdr:graphicFrame macro="">
      <xdr:nvGraphicFramePr>
        <xdr:cNvPr id="2" name="Chart 1">
          <a:extLst>
            <a:ext uri="{FF2B5EF4-FFF2-40B4-BE49-F238E27FC236}">
              <a16:creationId xmlns:a16="http://schemas.microsoft.com/office/drawing/2014/main" id="{9E8AFF62-C50A-4DAB-CE1F-5A699CA63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266700</xdr:colOff>
      <xdr:row>218</xdr:row>
      <xdr:rowOff>45943</xdr:rowOff>
    </xdr:from>
    <xdr:to>
      <xdr:col>29</xdr:col>
      <xdr:colOff>342900</xdr:colOff>
      <xdr:row>251</xdr:row>
      <xdr:rowOff>114300</xdr:rowOff>
    </xdr:to>
    <xdr:graphicFrame macro="">
      <xdr:nvGraphicFramePr>
        <xdr:cNvPr id="3" name="Chart 2">
          <a:extLst>
            <a:ext uri="{FF2B5EF4-FFF2-40B4-BE49-F238E27FC236}">
              <a16:creationId xmlns:a16="http://schemas.microsoft.com/office/drawing/2014/main" id="{D3B80017-8F67-6121-0437-EDFF2FC3A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885262</xdr:colOff>
      <xdr:row>217</xdr:row>
      <xdr:rowOff>179294</xdr:rowOff>
    </xdr:from>
    <xdr:to>
      <xdr:col>33</xdr:col>
      <xdr:colOff>156881</xdr:colOff>
      <xdr:row>252</xdr:row>
      <xdr:rowOff>38100</xdr:rowOff>
    </xdr:to>
    <xdr:graphicFrame macro="">
      <xdr:nvGraphicFramePr>
        <xdr:cNvPr id="4" name="Chart 3">
          <a:extLst>
            <a:ext uri="{FF2B5EF4-FFF2-40B4-BE49-F238E27FC236}">
              <a16:creationId xmlns:a16="http://schemas.microsoft.com/office/drawing/2014/main" id="{4EF5C97A-F4D5-C5E0-6BE7-1A7D71A9CF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291353</xdr:colOff>
      <xdr:row>217</xdr:row>
      <xdr:rowOff>146796</xdr:rowOff>
    </xdr:from>
    <xdr:to>
      <xdr:col>68</xdr:col>
      <xdr:colOff>1434353</xdr:colOff>
      <xdr:row>254</xdr:row>
      <xdr:rowOff>190499</xdr:rowOff>
    </xdr:to>
    <xdr:graphicFrame macro="">
      <xdr:nvGraphicFramePr>
        <xdr:cNvPr id="5" name="Chart 4">
          <a:extLst>
            <a:ext uri="{FF2B5EF4-FFF2-40B4-BE49-F238E27FC236}">
              <a16:creationId xmlns:a16="http://schemas.microsoft.com/office/drawing/2014/main" id="{74BA1684-624B-0580-136D-5329E2A863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69</xdr:col>
      <xdr:colOff>214313</xdr:colOff>
      <xdr:row>217</xdr:row>
      <xdr:rowOff>148998</xdr:rowOff>
    </xdr:from>
    <xdr:to>
      <xdr:col>104</xdr:col>
      <xdr:colOff>547688</xdr:colOff>
      <xdr:row>253</xdr:row>
      <xdr:rowOff>47625</xdr:rowOff>
    </xdr:to>
    <xdr:graphicFrame macro="">
      <xdr:nvGraphicFramePr>
        <xdr:cNvPr id="6" name="Chart 5">
          <a:extLst>
            <a:ext uri="{FF2B5EF4-FFF2-40B4-BE49-F238E27FC236}">
              <a16:creationId xmlns:a16="http://schemas.microsoft.com/office/drawing/2014/main" id="{C4EC4108-2CEE-9F7F-5E3B-D94578C659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105</xdr:col>
      <xdr:colOff>142874</xdr:colOff>
      <xdr:row>217</xdr:row>
      <xdr:rowOff>145595</xdr:rowOff>
    </xdr:from>
    <xdr:to>
      <xdr:col>140</xdr:col>
      <xdr:colOff>1214437</xdr:colOff>
      <xdr:row>252</xdr:row>
      <xdr:rowOff>142874</xdr:rowOff>
    </xdr:to>
    <xdr:graphicFrame macro="">
      <xdr:nvGraphicFramePr>
        <xdr:cNvPr id="7" name="Chart 6">
          <a:extLst>
            <a:ext uri="{FF2B5EF4-FFF2-40B4-BE49-F238E27FC236}">
              <a16:creationId xmlns:a16="http://schemas.microsoft.com/office/drawing/2014/main" id="{91C6ED9D-E5E9-B288-9666-CAF67F611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140</xdr:col>
      <xdr:colOff>1220930</xdr:colOff>
      <xdr:row>217</xdr:row>
      <xdr:rowOff>142875</xdr:rowOff>
    </xdr:from>
    <xdr:to>
      <xdr:col>165</xdr:col>
      <xdr:colOff>571499</xdr:colOff>
      <xdr:row>252</xdr:row>
      <xdr:rowOff>34638</xdr:rowOff>
    </xdr:to>
    <xdr:graphicFrame macro="">
      <xdr:nvGraphicFramePr>
        <xdr:cNvPr id="8" name="Chart 7">
          <a:extLst>
            <a:ext uri="{FF2B5EF4-FFF2-40B4-BE49-F238E27FC236}">
              <a16:creationId xmlns:a16="http://schemas.microsoft.com/office/drawing/2014/main" id="{6C86970F-93A2-D459-2091-3E44208132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0</xdr:col>
      <xdr:colOff>304800</xdr:colOff>
      <xdr:row>9</xdr:row>
      <xdr:rowOff>114300</xdr:rowOff>
    </xdr:to>
    <xdr:sp macro="" textlink="">
      <xdr:nvSpPr>
        <xdr:cNvPr id="3073" name="AutoShape 1">
          <a:extLst>
            <a:ext uri="{FF2B5EF4-FFF2-40B4-BE49-F238E27FC236}">
              <a16:creationId xmlns:a16="http://schemas.microsoft.com/office/drawing/2014/main" id="{7396F469-AFD1-16A3-58C0-3EBB514858C6}"/>
            </a:ext>
          </a:extLst>
        </xdr:cNvPr>
        <xdr:cNvSpPr>
          <a:spLocks noChangeAspect="1" noChangeArrowheads="1"/>
        </xdr:cNvSpPr>
      </xdr:nvSpPr>
      <xdr:spPr bwMode="auto">
        <a:xfrm>
          <a:off x="0" y="121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xdr:row>
      <xdr:rowOff>0</xdr:rowOff>
    </xdr:from>
    <xdr:to>
      <xdr:col>0</xdr:col>
      <xdr:colOff>304800</xdr:colOff>
      <xdr:row>16</xdr:row>
      <xdr:rowOff>114300</xdr:rowOff>
    </xdr:to>
    <xdr:sp macro="" textlink="">
      <xdr:nvSpPr>
        <xdr:cNvPr id="3074" name="AutoShape 2">
          <a:extLst>
            <a:ext uri="{FF2B5EF4-FFF2-40B4-BE49-F238E27FC236}">
              <a16:creationId xmlns:a16="http://schemas.microsoft.com/office/drawing/2014/main" id="{FF4AD1AD-7C45-6745-78F4-ED8383C4EB60}"/>
            </a:ext>
          </a:extLst>
        </xdr:cNvPr>
        <xdr:cNvSpPr>
          <a:spLocks noChangeAspect="1" noChangeArrowheads="1"/>
        </xdr:cNvSpPr>
      </xdr:nvSpPr>
      <xdr:spPr bwMode="auto">
        <a:xfrm>
          <a:off x="0" y="264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xdr:row>
      <xdr:rowOff>0</xdr:rowOff>
    </xdr:from>
    <xdr:to>
      <xdr:col>0</xdr:col>
      <xdr:colOff>304800</xdr:colOff>
      <xdr:row>23</xdr:row>
      <xdr:rowOff>114300</xdr:rowOff>
    </xdr:to>
    <xdr:sp macro="" textlink="">
      <xdr:nvSpPr>
        <xdr:cNvPr id="3075" name="AutoShape 3">
          <a:extLst>
            <a:ext uri="{FF2B5EF4-FFF2-40B4-BE49-F238E27FC236}">
              <a16:creationId xmlns:a16="http://schemas.microsoft.com/office/drawing/2014/main" id="{EDD5BB96-DB2A-365F-3624-13FBB6051749}"/>
            </a:ext>
          </a:extLst>
        </xdr:cNvPr>
        <xdr:cNvSpPr>
          <a:spLocks noChangeAspect="1" noChangeArrowheads="1"/>
        </xdr:cNvSpPr>
      </xdr:nvSpPr>
      <xdr:spPr bwMode="auto">
        <a:xfrm>
          <a:off x="0" y="407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xdr:row>
      <xdr:rowOff>0</xdr:rowOff>
    </xdr:from>
    <xdr:to>
      <xdr:col>0</xdr:col>
      <xdr:colOff>304800</xdr:colOff>
      <xdr:row>30</xdr:row>
      <xdr:rowOff>114300</xdr:rowOff>
    </xdr:to>
    <xdr:sp macro="" textlink="">
      <xdr:nvSpPr>
        <xdr:cNvPr id="3076" name="AutoShape 4">
          <a:extLst>
            <a:ext uri="{FF2B5EF4-FFF2-40B4-BE49-F238E27FC236}">
              <a16:creationId xmlns:a16="http://schemas.microsoft.com/office/drawing/2014/main" id="{816C75A7-0FA5-F72B-CA00-72845355D94A}"/>
            </a:ext>
          </a:extLst>
        </xdr:cNvPr>
        <xdr:cNvSpPr>
          <a:spLocks noChangeAspect="1" noChangeArrowheads="1"/>
        </xdr:cNvSpPr>
      </xdr:nvSpPr>
      <xdr:spPr bwMode="auto">
        <a:xfrm>
          <a:off x="0" y="550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xdr:row>
      <xdr:rowOff>0</xdr:rowOff>
    </xdr:from>
    <xdr:to>
      <xdr:col>0</xdr:col>
      <xdr:colOff>304800</xdr:colOff>
      <xdr:row>37</xdr:row>
      <xdr:rowOff>114300</xdr:rowOff>
    </xdr:to>
    <xdr:sp macro="" textlink="">
      <xdr:nvSpPr>
        <xdr:cNvPr id="3077" name="AutoShape 5">
          <a:extLst>
            <a:ext uri="{FF2B5EF4-FFF2-40B4-BE49-F238E27FC236}">
              <a16:creationId xmlns:a16="http://schemas.microsoft.com/office/drawing/2014/main" id="{D57FF8BB-08CF-AE6B-7754-552069C1C721}"/>
            </a:ext>
          </a:extLst>
        </xdr:cNvPr>
        <xdr:cNvSpPr>
          <a:spLocks noChangeAspect="1" noChangeArrowheads="1"/>
        </xdr:cNvSpPr>
      </xdr:nvSpPr>
      <xdr:spPr bwMode="auto">
        <a:xfrm>
          <a:off x="0" y="693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xdr:row>
      <xdr:rowOff>0</xdr:rowOff>
    </xdr:from>
    <xdr:to>
      <xdr:col>0</xdr:col>
      <xdr:colOff>304800</xdr:colOff>
      <xdr:row>44</xdr:row>
      <xdr:rowOff>114300</xdr:rowOff>
    </xdr:to>
    <xdr:sp macro="" textlink="">
      <xdr:nvSpPr>
        <xdr:cNvPr id="3078" name="AutoShape 6">
          <a:extLst>
            <a:ext uri="{FF2B5EF4-FFF2-40B4-BE49-F238E27FC236}">
              <a16:creationId xmlns:a16="http://schemas.microsoft.com/office/drawing/2014/main" id="{E9D50849-E7F7-3BA1-E74F-B881E283E26D}"/>
            </a:ext>
          </a:extLst>
        </xdr:cNvPr>
        <xdr:cNvSpPr>
          <a:spLocks noChangeAspect="1" noChangeArrowheads="1"/>
        </xdr:cNvSpPr>
      </xdr:nvSpPr>
      <xdr:spPr bwMode="auto">
        <a:xfrm>
          <a:off x="0" y="836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xdr:row>
      <xdr:rowOff>0</xdr:rowOff>
    </xdr:from>
    <xdr:to>
      <xdr:col>0</xdr:col>
      <xdr:colOff>304800</xdr:colOff>
      <xdr:row>51</xdr:row>
      <xdr:rowOff>114300</xdr:rowOff>
    </xdr:to>
    <xdr:sp macro="" textlink="">
      <xdr:nvSpPr>
        <xdr:cNvPr id="3079" name="AutoShape 7">
          <a:extLst>
            <a:ext uri="{FF2B5EF4-FFF2-40B4-BE49-F238E27FC236}">
              <a16:creationId xmlns:a16="http://schemas.microsoft.com/office/drawing/2014/main" id="{36AF9E72-87D0-00D6-E519-5FE08AD090FA}"/>
            </a:ext>
          </a:extLst>
        </xdr:cNvPr>
        <xdr:cNvSpPr>
          <a:spLocks noChangeAspect="1" noChangeArrowheads="1"/>
        </xdr:cNvSpPr>
      </xdr:nvSpPr>
      <xdr:spPr bwMode="auto">
        <a:xfrm>
          <a:off x="0" y="979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xdr:row>
      <xdr:rowOff>0</xdr:rowOff>
    </xdr:from>
    <xdr:to>
      <xdr:col>0</xdr:col>
      <xdr:colOff>304800</xdr:colOff>
      <xdr:row>58</xdr:row>
      <xdr:rowOff>114300</xdr:rowOff>
    </xdr:to>
    <xdr:sp macro="" textlink="">
      <xdr:nvSpPr>
        <xdr:cNvPr id="3080" name="AutoShape 8">
          <a:extLst>
            <a:ext uri="{FF2B5EF4-FFF2-40B4-BE49-F238E27FC236}">
              <a16:creationId xmlns:a16="http://schemas.microsoft.com/office/drawing/2014/main" id="{058D2CE9-FE50-AFBB-1C15-A89C638B9854}"/>
            </a:ext>
          </a:extLst>
        </xdr:cNvPr>
        <xdr:cNvSpPr>
          <a:spLocks noChangeAspect="1" noChangeArrowheads="1"/>
        </xdr:cNvSpPr>
      </xdr:nvSpPr>
      <xdr:spPr bwMode="auto">
        <a:xfrm>
          <a:off x="0" y="1122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xdr:row>
      <xdr:rowOff>0</xdr:rowOff>
    </xdr:from>
    <xdr:to>
      <xdr:col>0</xdr:col>
      <xdr:colOff>304800</xdr:colOff>
      <xdr:row>65</xdr:row>
      <xdr:rowOff>114300</xdr:rowOff>
    </xdr:to>
    <xdr:sp macro="" textlink="">
      <xdr:nvSpPr>
        <xdr:cNvPr id="3081" name="AutoShape 9">
          <a:extLst>
            <a:ext uri="{FF2B5EF4-FFF2-40B4-BE49-F238E27FC236}">
              <a16:creationId xmlns:a16="http://schemas.microsoft.com/office/drawing/2014/main" id="{26C407F9-4081-1F4E-7249-A645B7180C3D}"/>
            </a:ext>
          </a:extLst>
        </xdr:cNvPr>
        <xdr:cNvSpPr>
          <a:spLocks noChangeAspect="1" noChangeArrowheads="1"/>
        </xdr:cNvSpPr>
      </xdr:nvSpPr>
      <xdr:spPr bwMode="auto">
        <a:xfrm>
          <a:off x="0" y="1264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xdr:row>
      <xdr:rowOff>0</xdr:rowOff>
    </xdr:from>
    <xdr:to>
      <xdr:col>0</xdr:col>
      <xdr:colOff>304800</xdr:colOff>
      <xdr:row>72</xdr:row>
      <xdr:rowOff>114300</xdr:rowOff>
    </xdr:to>
    <xdr:sp macro="" textlink="">
      <xdr:nvSpPr>
        <xdr:cNvPr id="3082" name="AutoShape 10">
          <a:extLst>
            <a:ext uri="{FF2B5EF4-FFF2-40B4-BE49-F238E27FC236}">
              <a16:creationId xmlns:a16="http://schemas.microsoft.com/office/drawing/2014/main" id="{E05B1800-5FA5-0AC2-6BD4-BB125A0C5088}"/>
            </a:ext>
          </a:extLst>
        </xdr:cNvPr>
        <xdr:cNvSpPr>
          <a:spLocks noChangeAspect="1" noChangeArrowheads="1"/>
        </xdr:cNvSpPr>
      </xdr:nvSpPr>
      <xdr:spPr bwMode="auto">
        <a:xfrm>
          <a:off x="0" y="1407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xdr:row>
      <xdr:rowOff>0</xdr:rowOff>
    </xdr:from>
    <xdr:to>
      <xdr:col>0</xdr:col>
      <xdr:colOff>304800</xdr:colOff>
      <xdr:row>79</xdr:row>
      <xdr:rowOff>114300</xdr:rowOff>
    </xdr:to>
    <xdr:sp macro="" textlink="">
      <xdr:nvSpPr>
        <xdr:cNvPr id="3083" name="AutoShape 11">
          <a:extLst>
            <a:ext uri="{FF2B5EF4-FFF2-40B4-BE49-F238E27FC236}">
              <a16:creationId xmlns:a16="http://schemas.microsoft.com/office/drawing/2014/main" id="{34F50918-6C97-C676-6F15-8EA83086B300}"/>
            </a:ext>
          </a:extLst>
        </xdr:cNvPr>
        <xdr:cNvSpPr>
          <a:spLocks noChangeAspect="1" noChangeArrowheads="1"/>
        </xdr:cNvSpPr>
      </xdr:nvSpPr>
      <xdr:spPr bwMode="auto">
        <a:xfrm>
          <a:off x="0" y="1550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xdr:row>
      <xdr:rowOff>0</xdr:rowOff>
    </xdr:from>
    <xdr:to>
      <xdr:col>0</xdr:col>
      <xdr:colOff>304800</xdr:colOff>
      <xdr:row>86</xdr:row>
      <xdr:rowOff>114300</xdr:rowOff>
    </xdr:to>
    <xdr:sp macro="" textlink="">
      <xdr:nvSpPr>
        <xdr:cNvPr id="3084" name="AutoShape 12">
          <a:extLst>
            <a:ext uri="{FF2B5EF4-FFF2-40B4-BE49-F238E27FC236}">
              <a16:creationId xmlns:a16="http://schemas.microsoft.com/office/drawing/2014/main" id="{E78F1258-5EFF-0B36-1DFB-C33130123341}"/>
            </a:ext>
          </a:extLst>
        </xdr:cNvPr>
        <xdr:cNvSpPr>
          <a:spLocks noChangeAspect="1" noChangeArrowheads="1"/>
        </xdr:cNvSpPr>
      </xdr:nvSpPr>
      <xdr:spPr bwMode="auto">
        <a:xfrm>
          <a:off x="0" y="1693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xdr:row>
      <xdr:rowOff>0</xdr:rowOff>
    </xdr:from>
    <xdr:to>
      <xdr:col>0</xdr:col>
      <xdr:colOff>304800</xdr:colOff>
      <xdr:row>93</xdr:row>
      <xdr:rowOff>114300</xdr:rowOff>
    </xdr:to>
    <xdr:sp macro="" textlink="">
      <xdr:nvSpPr>
        <xdr:cNvPr id="3085" name="AutoShape 13">
          <a:extLst>
            <a:ext uri="{FF2B5EF4-FFF2-40B4-BE49-F238E27FC236}">
              <a16:creationId xmlns:a16="http://schemas.microsoft.com/office/drawing/2014/main" id="{7C13A1F9-5497-204D-DA62-7CE8FAF31025}"/>
            </a:ext>
          </a:extLst>
        </xdr:cNvPr>
        <xdr:cNvSpPr>
          <a:spLocks noChangeAspect="1" noChangeArrowheads="1"/>
        </xdr:cNvSpPr>
      </xdr:nvSpPr>
      <xdr:spPr bwMode="auto">
        <a:xfrm>
          <a:off x="0" y="1836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xdr:row>
      <xdr:rowOff>0</xdr:rowOff>
    </xdr:from>
    <xdr:to>
      <xdr:col>0</xdr:col>
      <xdr:colOff>304800</xdr:colOff>
      <xdr:row>100</xdr:row>
      <xdr:rowOff>114300</xdr:rowOff>
    </xdr:to>
    <xdr:sp macro="" textlink="">
      <xdr:nvSpPr>
        <xdr:cNvPr id="3086" name="AutoShape 14">
          <a:extLst>
            <a:ext uri="{FF2B5EF4-FFF2-40B4-BE49-F238E27FC236}">
              <a16:creationId xmlns:a16="http://schemas.microsoft.com/office/drawing/2014/main" id="{F339BD85-0103-519F-8886-232791C64649}"/>
            </a:ext>
          </a:extLst>
        </xdr:cNvPr>
        <xdr:cNvSpPr>
          <a:spLocks noChangeAspect="1" noChangeArrowheads="1"/>
        </xdr:cNvSpPr>
      </xdr:nvSpPr>
      <xdr:spPr bwMode="auto">
        <a:xfrm>
          <a:off x="0" y="1979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xdr:row>
      <xdr:rowOff>0</xdr:rowOff>
    </xdr:from>
    <xdr:to>
      <xdr:col>0</xdr:col>
      <xdr:colOff>304800</xdr:colOff>
      <xdr:row>107</xdr:row>
      <xdr:rowOff>114300</xdr:rowOff>
    </xdr:to>
    <xdr:sp macro="" textlink="">
      <xdr:nvSpPr>
        <xdr:cNvPr id="3087" name="AutoShape 15">
          <a:extLst>
            <a:ext uri="{FF2B5EF4-FFF2-40B4-BE49-F238E27FC236}">
              <a16:creationId xmlns:a16="http://schemas.microsoft.com/office/drawing/2014/main" id="{C976F0FC-4A76-A7B0-34B9-B37A79639A53}"/>
            </a:ext>
          </a:extLst>
        </xdr:cNvPr>
        <xdr:cNvSpPr>
          <a:spLocks noChangeAspect="1" noChangeArrowheads="1"/>
        </xdr:cNvSpPr>
      </xdr:nvSpPr>
      <xdr:spPr bwMode="auto">
        <a:xfrm>
          <a:off x="0" y="2122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xdr:row>
      <xdr:rowOff>0</xdr:rowOff>
    </xdr:from>
    <xdr:to>
      <xdr:col>0</xdr:col>
      <xdr:colOff>304800</xdr:colOff>
      <xdr:row>114</xdr:row>
      <xdr:rowOff>114300</xdr:rowOff>
    </xdr:to>
    <xdr:sp macro="" textlink="">
      <xdr:nvSpPr>
        <xdr:cNvPr id="3088" name="AutoShape 16">
          <a:extLst>
            <a:ext uri="{FF2B5EF4-FFF2-40B4-BE49-F238E27FC236}">
              <a16:creationId xmlns:a16="http://schemas.microsoft.com/office/drawing/2014/main" id="{65625F23-42C4-614A-8CB2-AB4A27CE5BB6}"/>
            </a:ext>
          </a:extLst>
        </xdr:cNvPr>
        <xdr:cNvSpPr>
          <a:spLocks noChangeAspect="1" noChangeArrowheads="1"/>
        </xdr:cNvSpPr>
      </xdr:nvSpPr>
      <xdr:spPr bwMode="auto">
        <a:xfrm>
          <a:off x="0" y="2265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xdr:row>
      <xdr:rowOff>0</xdr:rowOff>
    </xdr:from>
    <xdr:to>
      <xdr:col>0</xdr:col>
      <xdr:colOff>304800</xdr:colOff>
      <xdr:row>121</xdr:row>
      <xdr:rowOff>114300</xdr:rowOff>
    </xdr:to>
    <xdr:sp macro="" textlink="">
      <xdr:nvSpPr>
        <xdr:cNvPr id="3089" name="AutoShape 17">
          <a:extLst>
            <a:ext uri="{FF2B5EF4-FFF2-40B4-BE49-F238E27FC236}">
              <a16:creationId xmlns:a16="http://schemas.microsoft.com/office/drawing/2014/main" id="{53E9D6E8-C79D-A5F0-7235-E4040BD5D05B}"/>
            </a:ext>
          </a:extLst>
        </xdr:cNvPr>
        <xdr:cNvSpPr>
          <a:spLocks noChangeAspect="1" noChangeArrowheads="1"/>
        </xdr:cNvSpPr>
      </xdr:nvSpPr>
      <xdr:spPr bwMode="auto">
        <a:xfrm>
          <a:off x="0" y="2407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xdr:row>
      <xdr:rowOff>0</xdr:rowOff>
    </xdr:from>
    <xdr:to>
      <xdr:col>0</xdr:col>
      <xdr:colOff>304800</xdr:colOff>
      <xdr:row>128</xdr:row>
      <xdr:rowOff>114300</xdr:rowOff>
    </xdr:to>
    <xdr:sp macro="" textlink="">
      <xdr:nvSpPr>
        <xdr:cNvPr id="3090" name="AutoShape 18">
          <a:extLst>
            <a:ext uri="{FF2B5EF4-FFF2-40B4-BE49-F238E27FC236}">
              <a16:creationId xmlns:a16="http://schemas.microsoft.com/office/drawing/2014/main" id="{1F78E5F7-D679-B222-C826-E78B2AA0EAD4}"/>
            </a:ext>
          </a:extLst>
        </xdr:cNvPr>
        <xdr:cNvSpPr>
          <a:spLocks noChangeAspect="1" noChangeArrowheads="1"/>
        </xdr:cNvSpPr>
      </xdr:nvSpPr>
      <xdr:spPr bwMode="auto">
        <a:xfrm>
          <a:off x="0" y="255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134</xdr:row>
      <xdr:rowOff>0</xdr:rowOff>
    </xdr:from>
    <xdr:to>
      <xdr:col>0</xdr:col>
      <xdr:colOff>304800</xdr:colOff>
      <xdr:row>135</xdr:row>
      <xdr:rowOff>114300</xdr:rowOff>
    </xdr:to>
    <xdr:sp macro="" textlink="">
      <xdr:nvSpPr>
        <xdr:cNvPr id="3091" name="AutoShape 19">
          <a:extLst>
            <a:ext uri="{FF2B5EF4-FFF2-40B4-BE49-F238E27FC236}">
              <a16:creationId xmlns:a16="http://schemas.microsoft.com/office/drawing/2014/main" id="{1991469C-449A-6996-ED8E-8E70E01F40D4}"/>
            </a:ext>
          </a:extLst>
        </xdr:cNvPr>
        <xdr:cNvSpPr>
          <a:spLocks noChangeAspect="1" noChangeArrowheads="1"/>
        </xdr:cNvSpPr>
      </xdr:nvSpPr>
      <xdr:spPr bwMode="auto">
        <a:xfrm>
          <a:off x="0" y="2693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141</xdr:row>
      <xdr:rowOff>0</xdr:rowOff>
    </xdr:from>
    <xdr:to>
      <xdr:col>0</xdr:col>
      <xdr:colOff>304800</xdr:colOff>
      <xdr:row>142</xdr:row>
      <xdr:rowOff>114300</xdr:rowOff>
    </xdr:to>
    <xdr:sp macro="" textlink="">
      <xdr:nvSpPr>
        <xdr:cNvPr id="3092" name="AutoShape 20">
          <a:extLst>
            <a:ext uri="{FF2B5EF4-FFF2-40B4-BE49-F238E27FC236}">
              <a16:creationId xmlns:a16="http://schemas.microsoft.com/office/drawing/2014/main" id="{19B568BA-FCBE-C8CD-CBAD-3384D512C149}"/>
            </a:ext>
          </a:extLst>
        </xdr:cNvPr>
        <xdr:cNvSpPr>
          <a:spLocks noChangeAspect="1" noChangeArrowheads="1"/>
        </xdr:cNvSpPr>
      </xdr:nvSpPr>
      <xdr:spPr bwMode="auto">
        <a:xfrm>
          <a:off x="0" y="2836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148</xdr:row>
      <xdr:rowOff>0</xdr:rowOff>
    </xdr:from>
    <xdr:to>
      <xdr:col>0</xdr:col>
      <xdr:colOff>304800</xdr:colOff>
      <xdr:row>149</xdr:row>
      <xdr:rowOff>114300</xdr:rowOff>
    </xdr:to>
    <xdr:sp macro="" textlink="">
      <xdr:nvSpPr>
        <xdr:cNvPr id="3093" name="AutoShape 21">
          <a:extLst>
            <a:ext uri="{FF2B5EF4-FFF2-40B4-BE49-F238E27FC236}">
              <a16:creationId xmlns:a16="http://schemas.microsoft.com/office/drawing/2014/main" id="{B1E550CB-174A-D11D-E3CD-348ADF581AE3}"/>
            </a:ext>
          </a:extLst>
        </xdr:cNvPr>
        <xdr:cNvSpPr>
          <a:spLocks noChangeAspect="1" noChangeArrowheads="1"/>
        </xdr:cNvSpPr>
      </xdr:nvSpPr>
      <xdr:spPr bwMode="auto">
        <a:xfrm>
          <a:off x="0" y="2979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155</xdr:row>
      <xdr:rowOff>0</xdr:rowOff>
    </xdr:from>
    <xdr:to>
      <xdr:col>0</xdr:col>
      <xdr:colOff>304800</xdr:colOff>
      <xdr:row>156</xdr:row>
      <xdr:rowOff>114300</xdr:rowOff>
    </xdr:to>
    <xdr:sp macro="" textlink="">
      <xdr:nvSpPr>
        <xdr:cNvPr id="3094" name="AutoShape 22">
          <a:extLst>
            <a:ext uri="{FF2B5EF4-FFF2-40B4-BE49-F238E27FC236}">
              <a16:creationId xmlns:a16="http://schemas.microsoft.com/office/drawing/2014/main" id="{5DA094D5-C33E-5FC7-2F90-C5057A89A10A}"/>
            </a:ext>
          </a:extLst>
        </xdr:cNvPr>
        <xdr:cNvSpPr>
          <a:spLocks noChangeAspect="1" noChangeArrowheads="1"/>
        </xdr:cNvSpPr>
      </xdr:nvSpPr>
      <xdr:spPr bwMode="auto">
        <a:xfrm>
          <a:off x="0" y="3122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162</xdr:row>
      <xdr:rowOff>0</xdr:rowOff>
    </xdr:from>
    <xdr:to>
      <xdr:col>0</xdr:col>
      <xdr:colOff>304800</xdr:colOff>
      <xdr:row>163</xdr:row>
      <xdr:rowOff>114300</xdr:rowOff>
    </xdr:to>
    <xdr:sp macro="" textlink="">
      <xdr:nvSpPr>
        <xdr:cNvPr id="3095" name="AutoShape 23">
          <a:extLst>
            <a:ext uri="{FF2B5EF4-FFF2-40B4-BE49-F238E27FC236}">
              <a16:creationId xmlns:a16="http://schemas.microsoft.com/office/drawing/2014/main" id="{96714353-1410-E09F-F419-3E3B35C1F619}"/>
            </a:ext>
          </a:extLst>
        </xdr:cNvPr>
        <xdr:cNvSpPr>
          <a:spLocks noChangeAspect="1" noChangeArrowheads="1"/>
        </xdr:cNvSpPr>
      </xdr:nvSpPr>
      <xdr:spPr bwMode="auto">
        <a:xfrm>
          <a:off x="0" y="3265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169</xdr:row>
      <xdr:rowOff>0</xdr:rowOff>
    </xdr:from>
    <xdr:to>
      <xdr:col>0</xdr:col>
      <xdr:colOff>304800</xdr:colOff>
      <xdr:row>170</xdr:row>
      <xdr:rowOff>114300</xdr:rowOff>
    </xdr:to>
    <xdr:sp macro="" textlink="">
      <xdr:nvSpPr>
        <xdr:cNvPr id="3096" name="AutoShape 24">
          <a:extLst>
            <a:ext uri="{FF2B5EF4-FFF2-40B4-BE49-F238E27FC236}">
              <a16:creationId xmlns:a16="http://schemas.microsoft.com/office/drawing/2014/main" id="{693D5995-2DF0-EE20-C0FD-BC26532AD7F8}"/>
            </a:ext>
          </a:extLst>
        </xdr:cNvPr>
        <xdr:cNvSpPr>
          <a:spLocks noChangeAspect="1" noChangeArrowheads="1"/>
        </xdr:cNvSpPr>
      </xdr:nvSpPr>
      <xdr:spPr bwMode="auto">
        <a:xfrm>
          <a:off x="0" y="3408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176</xdr:row>
      <xdr:rowOff>0</xdr:rowOff>
    </xdr:from>
    <xdr:to>
      <xdr:col>0</xdr:col>
      <xdr:colOff>304800</xdr:colOff>
      <xdr:row>177</xdr:row>
      <xdr:rowOff>114300</xdr:rowOff>
    </xdr:to>
    <xdr:sp macro="" textlink="">
      <xdr:nvSpPr>
        <xdr:cNvPr id="3097" name="AutoShape 25">
          <a:extLst>
            <a:ext uri="{FF2B5EF4-FFF2-40B4-BE49-F238E27FC236}">
              <a16:creationId xmlns:a16="http://schemas.microsoft.com/office/drawing/2014/main" id="{AEAE3D64-8B1F-A7DF-38A6-EE4BF1EDF263}"/>
            </a:ext>
          </a:extLst>
        </xdr:cNvPr>
        <xdr:cNvSpPr>
          <a:spLocks noChangeAspect="1" noChangeArrowheads="1"/>
        </xdr:cNvSpPr>
      </xdr:nvSpPr>
      <xdr:spPr bwMode="auto">
        <a:xfrm>
          <a:off x="0" y="3550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183</xdr:row>
      <xdr:rowOff>0</xdr:rowOff>
    </xdr:from>
    <xdr:to>
      <xdr:col>0</xdr:col>
      <xdr:colOff>304800</xdr:colOff>
      <xdr:row>184</xdr:row>
      <xdr:rowOff>114300</xdr:rowOff>
    </xdr:to>
    <xdr:sp macro="" textlink="">
      <xdr:nvSpPr>
        <xdr:cNvPr id="3098" name="AutoShape 26">
          <a:extLst>
            <a:ext uri="{FF2B5EF4-FFF2-40B4-BE49-F238E27FC236}">
              <a16:creationId xmlns:a16="http://schemas.microsoft.com/office/drawing/2014/main" id="{CA11891A-AA4B-E478-0008-0183FF367B95}"/>
            </a:ext>
          </a:extLst>
        </xdr:cNvPr>
        <xdr:cNvSpPr>
          <a:spLocks noChangeAspect="1" noChangeArrowheads="1"/>
        </xdr:cNvSpPr>
      </xdr:nvSpPr>
      <xdr:spPr bwMode="auto">
        <a:xfrm>
          <a:off x="0" y="3693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190</xdr:row>
      <xdr:rowOff>0</xdr:rowOff>
    </xdr:from>
    <xdr:to>
      <xdr:col>0</xdr:col>
      <xdr:colOff>304800</xdr:colOff>
      <xdr:row>191</xdr:row>
      <xdr:rowOff>114300</xdr:rowOff>
    </xdr:to>
    <xdr:sp macro="" textlink="">
      <xdr:nvSpPr>
        <xdr:cNvPr id="3099" name="AutoShape 27">
          <a:extLst>
            <a:ext uri="{FF2B5EF4-FFF2-40B4-BE49-F238E27FC236}">
              <a16:creationId xmlns:a16="http://schemas.microsoft.com/office/drawing/2014/main" id="{D97CD279-74C5-9F11-0D4A-8C307B9B0D3F}"/>
            </a:ext>
          </a:extLst>
        </xdr:cNvPr>
        <xdr:cNvSpPr>
          <a:spLocks noChangeAspect="1" noChangeArrowheads="1"/>
        </xdr:cNvSpPr>
      </xdr:nvSpPr>
      <xdr:spPr bwMode="auto">
        <a:xfrm>
          <a:off x="0" y="3836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197</xdr:row>
      <xdr:rowOff>0</xdr:rowOff>
    </xdr:from>
    <xdr:to>
      <xdr:col>0</xdr:col>
      <xdr:colOff>304800</xdr:colOff>
      <xdr:row>198</xdr:row>
      <xdr:rowOff>114300</xdr:rowOff>
    </xdr:to>
    <xdr:sp macro="" textlink="">
      <xdr:nvSpPr>
        <xdr:cNvPr id="3100" name="AutoShape 28">
          <a:extLst>
            <a:ext uri="{FF2B5EF4-FFF2-40B4-BE49-F238E27FC236}">
              <a16:creationId xmlns:a16="http://schemas.microsoft.com/office/drawing/2014/main" id="{0746B114-FC69-B845-067A-A8EECBB69F99}"/>
            </a:ext>
          </a:extLst>
        </xdr:cNvPr>
        <xdr:cNvSpPr>
          <a:spLocks noChangeAspect="1" noChangeArrowheads="1"/>
        </xdr:cNvSpPr>
      </xdr:nvSpPr>
      <xdr:spPr bwMode="auto">
        <a:xfrm>
          <a:off x="0" y="3979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204</xdr:row>
      <xdr:rowOff>0</xdr:rowOff>
    </xdr:from>
    <xdr:to>
      <xdr:col>0</xdr:col>
      <xdr:colOff>304800</xdr:colOff>
      <xdr:row>205</xdr:row>
      <xdr:rowOff>114300</xdr:rowOff>
    </xdr:to>
    <xdr:sp macro="" textlink="">
      <xdr:nvSpPr>
        <xdr:cNvPr id="3101" name="AutoShape 29">
          <a:extLst>
            <a:ext uri="{FF2B5EF4-FFF2-40B4-BE49-F238E27FC236}">
              <a16:creationId xmlns:a16="http://schemas.microsoft.com/office/drawing/2014/main" id="{59AD4724-6E2D-E374-A87D-724B52FAA56D}"/>
            </a:ext>
          </a:extLst>
        </xdr:cNvPr>
        <xdr:cNvSpPr>
          <a:spLocks noChangeAspect="1" noChangeArrowheads="1"/>
        </xdr:cNvSpPr>
      </xdr:nvSpPr>
      <xdr:spPr bwMode="auto">
        <a:xfrm>
          <a:off x="0" y="4122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211</xdr:row>
      <xdr:rowOff>0</xdr:rowOff>
    </xdr:from>
    <xdr:to>
      <xdr:col>0</xdr:col>
      <xdr:colOff>304800</xdr:colOff>
      <xdr:row>212</xdr:row>
      <xdr:rowOff>114300</xdr:rowOff>
    </xdr:to>
    <xdr:sp macro="" textlink="">
      <xdr:nvSpPr>
        <xdr:cNvPr id="3102" name="AutoShape 30">
          <a:extLst>
            <a:ext uri="{FF2B5EF4-FFF2-40B4-BE49-F238E27FC236}">
              <a16:creationId xmlns:a16="http://schemas.microsoft.com/office/drawing/2014/main" id="{3EDCF0EE-EC93-6AC7-3DDA-7CAB1D40AABC}"/>
            </a:ext>
          </a:extLst>
        </xdr:cNvPr>
        <xdr:cNvSpPr>
          <a:spLocks noChangeAspect="1" noChangeArrowheads="1"/>
        </xdr:cNvSpPr>
      </xdr:nvSpPr>
      <xdr:spPr bwMode="auto">
        <a:xfrm>
          <a:off x="0" y="4265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218</xdr:row>
      <xdr:rowOff>0</xdr:rowOff>
    </xdr:from>
    <xdr:to>
      <xdr:col>0</xdr:col>
      <xdr:colOff>304800</xdr:colOff>
      <xdr:row>219</xdr:row>
      <xdr:rowOff>114300</xdr:rowOff>
    </xdr:to>
    <xdr:sp macro="" textlink="">
      <xdr:nvSpPr>
        <xdr:cNvPr id="3103" name="AutoShape 31">
          <a:extLst>
            <a:ext uri="{FF2B5EF4-FFF2-40B4-BE49-F238E27FC236}">
              <a16:creationId xmlns:a16="http://schemas.microsoft.com/office/drawing/2014/main" id="{35493BF4-8430-00BB-6B6C-07A4B0169400}"/>
            </a:ext>
          </a:extLst>
        </xdr:cNvPr>
        <xdr:cNvSpPr>
          <a:spLocks noChangeAspect="1" noChangeArrowheads="1"/>
        </xdr:cNvSpPr>
      </xdr:nvSpPr>
      <xdr:spPr bwMode="auto">
        <a:xfrm>
          <a:off x="0" y="4408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225</xdr:row>
      <xdr:rowOff>0</xdr:rowOff>
    </xdr:from>
    <xdr:to>
      <xdr:col>0</xdr:col>
      <xdr:colOff>304800</xdr:colOff>
      <xdr:row>226</xdr:row>
      <xdr:rowOff>114300</xdr:rowOff>
    </xdr:to>
    <xdr:sp macro="" textlink="">
      <xdr:nvSpPr>
        <xdr:cNvPr id="3104" name="AutoShape 32">
          <a:extLst>
            <a:ext uri="{FF2B5EF4-FFF2-40B4-BE49-F238E27FC236}">
              <a16:creationId xmlns:a16="http://schemas.microsoft.com/office/drawing/2014/main" id="{4AB750D4-2E05-16BE-7460-34386015B09C}"/>
            </a:ext>
          </a:extLst>
        </xdr:cNvPr>
        <xdr:cNvSpPr>
          <a:spLocks noChangeAspect="1" noChangeArrowheads="1"/>
        </xdr:cNvSpPr>
      </xdr:nvSpPr>
      <xdr:spPr bwMode="auto">
        <a:xfrm>
          <a:off x="0" y="4551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232</xdr:row>
      <xdr:rowOff>0</xdr:rowOff>
    </xdr:from>
    <xdr:to>
      <xdr:col>0</xdr:col>
      <xdr:colOff>304800</xdr:colOff>
      <xdr:row>233</xdr:row>
      <xdr:rowOff>114300</xdr:rowOff>
    </xdr:to>
    <xdr:sp macro="" textlink="">
      <xdr:nvSpPr>
        <xdr:cNvPr id="3105" name="AutoShape 33">
          <a:extLst>
            <a:ext uri="{FF2B5EF4-FFF2-40B4-BE49-F238E27FC236}">
              <a16:creationId xmlns:a16="http://schemas.microsoft.com/office/drawing/2014/main" id="{2B223694-038A-F691-95DB-6F64A65F020D}"/>
            </a:ext>
          </a:extLst>
        </xdr:cNvPr>
        <xdr:cNvSpPr>
          <a:spLocks noChangeAspect="1" noChangeArrowheads="1"/>
        </xdr:cNvSpPr>
      </xdr:nvSpPr>
      <xdr:spPr bwMode="auto">
        <a:xfrm>
          <a:off x="0" y="4693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239</xdr:row>
      <xdr:rowOff>0</xdr:rowOff>
    </xdr:from>
    <xdr:to>
      <xdr:col>0</xdr:col>
      <xdr:colOff>304800</xdr:colOff>
      <xdr:row>240</xdr:row>
      <xdr:rowOff>114300</xdr:rowOff>
    </xdr:to>
    <xdr:sp macro="" textlink="">
      <xdr:nvSpPr>
        <xdr:cNvPr id="3106" name="AutoShape 34">
          <a:extLst>
            <a:ext uri="{FF2B5EF4-FFF2-40B4-BE49-F238E27FC236}">
              <a16:creationId xmlns:a16="http://schemas.microsoft.com/office/drawing/2014/main" id="{8D8184C7-7DB6-70AD-12AA-CCDB355B0CB8}"/>
            </a:ext>
          </a:extLst>
        </xdr:cNvPr>
        <xdr:cNvSpPr>
          <a:spLocks noChangeAspect="1" noChangeArrowheads="1"/>
        </xdr:cNvSpPr>
      </xdr:nvSpPr>
      <xdr:spPr bwMode="auto">
        <a:xfrm>
          <a:off x="0" y="4836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246</xdr:row>
      <xdr:rowOff>0</xdr:rowOff>
    </xdr:from>
    <xdr:to>
      <xdr:col>0</xdr:col>
      <xdr:colOff>304800</xdr:colOff>
      <xdr:row>247</xdr:row>
      <xdr:rowOff>114300</xdr:rowOff>
    </xdr:to>
    <xdr:sp macro="" textlink="">
      <xdr:nvSpPr>
        <xdr:cNvPr id="3107" name="AutoShape 35">
          <a:extLst>
            <a:ext uri="{FF2B5EF4-FFF2-40B4-BE49-F238E27FC236}">
              <a16:creationId xmlns:a16="http://schemas.microsoft.com/office/drawing/2014/main" id="{A7187063-E094-92EC-F374-83917B63FCA8}"/>
            </a:ext>
          </a:extLst>
        </xdr:cNvPr>
        <xdr:cNvSpPr>
          <a:spLocks noChangeAspect="1" noChangeArrowheads="1"/>
        </xdr:cNvSpPr>
      </xdr:nvSpPr>
      <xdr:spPr bwMode="auto">
        <a:xfrm>
          <a:off x="0" y="4979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253</xdr:row>
      <xdr:rowOff>0</xdr:rowOff>
    </xdr:from>
    <xdr:to>
      <xdr:col>0</xdr:col>
      <xdr:colOff>304800</xdr:colOff>
      <xdr:row>254</xdr:row>
      <xdr:rowOff>114300</xdr:rowOff>
    </xdr:to>
    <xdr:sp macro="" textlink="">
      <xdr:nvSpPr>
        <xdr:cNvPr id="3108" name="AutoShape 36">
          <a:extLst>
            <a:ext uri="{FF2B5EF4-FFF2-40B4-BE49-F238E27FC236}">
              <a16:creationId xmlns:a16="http://schemas.microsoft.com/office/drawing/2014/main" id="{399F8169-DFF9-8B91-E147-79C2C5CAADA3}"/>
            </a:ext>
          </a:extLst>
        </xdr:cNvPr>
        <xdr:cNvSpPr>
          <a:spLocks noChangeAspect="1" noChangeArrowheads="1"/>
        </xdr:cNvSpPr>
      </xdr:nvSpPr>
      <xdr:spPr bwMode="auto">
        <a:xfrm>
          <a:off x="0" y="5122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260</xdr:row>
      <xdr:rowOff>0</xdr:rowOff>
    </xdr:from>
    <xdr:to>
      <xdr:col>0</xdr:col>
      <xdr:colOff>304800</xdr:colOff>
      <xdr:row>261</xdr:row>
      <xdr:rowOff>114300</xdr:rowOff>
    </xdr:to>
    <xdr:sp macro="" textlink="">
      <xdr:nvSpPr>
        <xdr:cNvPr id="3109" name="AutoShape 37">
          <a:extLst>
            <a:ext uri="{FF2B5EF4-FFF2-40B4-BE49-F238E27FC236}">
              <a16:creationId xmlns:a16="http://schemas.microsoft.com/office/drawing/2014/main" id="{BE023970-20AE-A09B-C11A-F86283802AD6}"/>
            </a:ext>
          </a:extLst>
        </xdr:cNvPr>
        <xdr:cNvSpPr>
          <a:spLocks noChangeAspect="1" noChangeArrowheads="1"/>
        </xdr:cNvSpPr>
      </xdr:nvSpPr>
      <xdr:spPr bwMode="auto">
        <a:xfrm>
          <a:off x="0" y="5265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267</xdr:row>
      <xdr:rowOff>0</xdr:rowOff>
    </xdr:from>
    <xdr:to>
      <xdr:col>0</xdr:col>
      <xdr:colOff>304800</xdr:colOff>
      <xdr:row>268</xdr:row>
      <xdr:rowOff>114300</xdr:rowOff>
    </xdr:to>
    <xdr:sp macro="" textlink="">
      <xdr:nvSpPr>
        <xdr:cNvPr id="3110" name="AutoShape 38">
          <a:extLst>
            <a:ext uri="{FF2B5EF4-FFF2-40B4-BE49-F238E27FC236}">
              <a16:creationId xmlns:a16="http://schemas.microsoft.com/office/drawing/2014/main" id="{967361DB-2E17-2463-B374-09B08BE567D4}"/>
            </a:ext>
          </a:extLst>
        </xdr:cNvPr>
        <xdr:cNvSpPr>
          <a:spLocks noChangeAspect="1" noChangeArrowheads="1"/>
        </xdr:cNvSpPr>
      </xdr:nvSpPr>
      <xdr:spPr bwMode="auto">
        <a:xfrm>
          <a:off x="0" y="5408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274</xdr:row>
      <xdr:rowOff>0</xdr:rowOff>
    </xdr:from>
    <xdr:to>
      <xdr:col>0</xdr:col>
      <xdr:colOff>304800</xdr:colOff>
      <xdr:row>275</xdr:row>
      <xdr:rowOff>114300</xdr:rowOff>
    </xdr:to>
    <xdr:sp macro="" textlink="">
      <xdr:nvSpPr>
        <xdr:cNvPr id="3111" name="AutoShape 39">
          <a:extLst>
            <a:ext uri="{FF2B5EF4-FFF2-40B4-BE49-F238E27FC236}">
              <a16:creationId xmlns:a16="http://schemas.microsoft.com/office/drawing/2014/main" id="{1D81D6C5-6F31-1DE2-C859-B4DFACC2D180}"/>
            </a:ext>
          </a:extLst>
        </xdr:cNvPr>
        <xdr:cNvSpPr>
          <a:spLocks noChangeAspect="1" noChangeArrowheads="1"/>
        </xdr:cNvSpPr>
      </xdr:nvSpPr>
      <xdr:spPr bwMode="auto">
        <a:xfrm>
          <a:off x="0" y="5551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281</xdr:row>
      <xdr:rowOff>0</xdr:rowOff>
    </xdr:from>
    <xdr:to>
      <xdr:col>0</xdr:col>
      <xdr:colOff>304800</xdr:colOff>
      <xdr:row>282</xdr:row>
      <xdr:rowOff>114300</xdr:rowOff>
    </xdr:to>
    <xdr:sp macro="" textlink="">
      <xdr:nvSpPr>
        <xdr:cNvPr id="3112" name="AutoShape 40">
          <a:extLst>
            <a:ext uri="{FF2B5EF4-FFF2-40B4-BE49-F238E27FC236}">
              <a16:creationId xmlns:a16="http://schemas.microsoft.com/office/drawing/2014/main" id="{5B4A2108-BDC1-E23F-C217-3EECBCDF34C3}"/>
            </a:ext>
          </a:extLst>
        </xdr:cNvPr>
        <xdr:cNvSpPr>
          <a:spLocks noChangeAspect="1" noChangeArrowheads="1"/>
        </xdr:cNvSpPr>
      </xdr:nvSpPr>
      <xdr:spPr bwMode="auto">
        <a:xfrm>
          <a:off x="0" y="5694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288</xdr:row>
      <xdr:rowOff>0</xdr:rowOff>
    </xdr:from>
    <xdr:to>
      <xdr:col>0</xdr:col>
      <xdr:colOff>304800</xdr:colOff>
      <xdr:row>289</xdr:row>
      <xdr:rowOff>114300</xdr:rowOff>
    </xdr:to>
    <xdr:sp macro="" textlink="">
      <xdr:nvSpPr>
        <xdr:cNvPr id="3113" name="AutoShape 41">
          <a:extLst>
            <a:ext uri="{FF2B5EF4-FFF2-40B4-BE49-F238E27FC236}">
              <a16:creationId xmlns:a16="http://schemas.microsoft.com/office/drawing/2014/main" id="{6F1C66E2-A89D-1109-1A8A-C66109580120}"/>
            </a:ext>
          </a:extLst>
        </xdr:cNvPr>
        <xdr:cNvSpPr>
          <a:spLocks noChangeAspect="1" noChangeArrowheads="1"/>
        </xdr:cNvSpPr>
      </xdr:nvSpPr>
      <xdr:spPr bwMode="auto">
        <a:xfrm>
          <a:off x="0" y="5836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295</xdr:row>
      <xdr:rowOff>0</xdr:rowOff>
    </xdr:from>
    <xdr:to>
      <xdr:col>0</xdr:col>
      <xdr:colOff>304800</xdr:colOff>
      <xdr:row>296</xdr:row>
      <xdr:rowOff>114300</xdr:rowOff>
    </xdr:to>
    <xdr:sp macro="" textlink="">
      <xdr:nvSpPr>
        <xdr:cNvPr id="3114" name="AutoShape 42">
          <a:extLst>
            <a:ext uri="{FF2B5EF4-FFF2-40B4-BE49-F238E27FC236}">
              <a16:creationId xmlns:a16="http://schemas.microsoft.com/office/drawing/2014/main" id="{C343D39E-C85D-C609-6BC4-B59CC45F8A6A}"/>
            </a:ext>
          </a:extLst>
        </xdr:cNvPr>
        <xdr:cNvSpPr>
          <a:spLocks noChangeAspect="1" noChangeArrowheads="1"/>
        </xdr:cNvSpPr>
      </xdr:nvSpPr>
      <xdr:spPr bwMode="auto">
        <a:xfrm>
          <a:off x="0" y="5979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302</xdr:row>
      <xdr:rowOff>0</xdr:rowOff>
    </xdr:from>
    <xdr:to>
      <xdr:col>0</xdr:col>
      <xdr:colOff>304800</xdr:colOff>
      <xdr:row>303</xdr:row>
      <xdr:rowOff>114300</xdr:rowOff>
    </xdr:to>
    <xdr:sp macro="" textlink="">
      <xdr:nvSpPr>
        <xdr:cNvPr id="3115" name="AutoShape 43">
          <a:extLst>
            <a:ext uri="{FF2B5EF4-FFF2-40B4-BE49-F238E27FC236}">
              <a16:creationId xmlns:a16="http://schemas.microsoft.com/office/drawing/2014/main" id="{13AE4584-1578-0FF8-FECE-3965B28339A6}"/>
            </a:ext>
          </a:extLst>
        </xdr:cNvPr>
        <xdr:cNvSpPr>
          <a:spLocks noChangeAspect="1" noChangeArrowheads="1"/>
        </xdr:cNvSpPr>
      </xdr:nvSpPr>
      <xdr:spPr bwMode="auto">
        <a:xfrm>
          <a:off x="0" y="6122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310</xdr:row>
      <xdr:rowOff>0</xdr:rowOff>
    </xdr:from>
    <xdr:to>
      <xdr:col>0</xdr:col>
      <xdr:colOff>304800</xdr:colOff>
      <xdr:row>311</xdr:row>
      <xdr:rowOff>114300</xdr:rowOff>
    </xdr:to>
    <xdr:sp macro="" textlink="">
      <xdr:nvSpPr>
        <xdr:cNvPr id="3116" name="AutoShape 44">
          <a:extLst>
            <a:ext uri="{FF2B5EF4-FFF2-40B4-BE49-F238E27FC236}">
              <a16:creationId xmlns:a16="http://schemas.microsoft.com/office/drawing/2014/main" id="{567ED56B-860F-B9CA-6768-00EA9A0B654C}"/>
            </a:ext>
          </a:extLst>
        </xdr:cNvPr>
        <xdr:cNvSpPr>
          <a:spLocks noChangeAspect="1" noChangeArrowheads="1"/>
        </xdr:cNvSpPr>
      </xdr:nvSpPr>
      <xdr:spPr bwMode="auto">
        <a:xfrm>
          <a:off x="0" y="628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317</xdr:row>
      <xdr:rowOff>0</xdr:rowOff>
    </xdr:from>
    <xdr:to>
      <xdr:col>0</xdr:col>
      <xdr:colOff>304800</xdr:colOff>
      <xdr:row>318</xdr:row>
      <xdr:rowOff>114300</xdr:rowOff>
    </xdr:to>
    <xdr:sp macro="" textlink="">
      <xdr:nvSpPr>
        <xdr:cNvPr id="3117" name="AutoShape 45">
          <a:extLst>
            <a:ext uri="{FF2B5EF4-FFF2-40B4-BE49-F238E27FC236}">
              <a16:creationId xmlns:a16="http://schemas.microsoft.com/office/drawing/2014/main" id="{37C80659-7798-2414-FD94-7CF172368136}"/>
            </a:ext>
          </a:extLst>
        </xdr:cNvPr>
        <xdr:cNvSpPr>
          <a:spLocks noChangeAspect="1" noChangeArrowheads="1"/>
        </xdr:cNvSpPr>
      </xdr:nvSpPr>
      <xdr:spPr bwMode="auto">
        <a:xfrm>
          <a:off x="0" y="6429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324</xdr:row>
      <xdr:rowOff>0</xdr:rowOff>
    </xdr:from>
    <xdr:to>
      <xdr:col>0</xdr:col>
      <xdr:colOff>304800</xdr:colOff>
      <xdr:row>325</xdr:row>
      <xdr:rowOff>114300</xdr:rowOff>
    </xdr:to>
    <xdr:sp macro="" textlink="">
      <xdr:nvSpPr>
        <xdr:cNvPr id="3118" name="AutoShape 46">
          <a:extLst>
            <a:ext uri="{FF2B5EF4-FFF2-40B4-BE49-F238E27FC236}">
              <a16:creationId xmlns:a16="http://schemas.microsoft.com/office/drawing/2014/main" id="{17EC1820-053C-3BF7-1EDD-E63AC9639C1A}"/>
            </a:ext>
          </a:extLst>
        </xdr:cNvPr>
        <xdr:cNvSpPr>
          <a:spLocks noChangeAspect="1" noChangeArrowheads="1"/>
        </xdr:cNvSpPr>
      </xdr:nvSpPr>
      <xdr:spPr bwMode="auto">
        <a:xfrm>
          <a:off x="0" y="657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331</xdr:row>
      <xdr:rowOff>0</xdr:rowOff>
    </xdr:from>
    <xdr:to>
      <xdr:col>0</xdr:col>
      <xdr:colOff>304800</xdr:colOff>
      <xdr:row>332</xdr:row>
      <xdr:rowOff>114300</xdr:rowOff>
    </xdr:to>
    <xdr:sp macro="" textlink="">
      <xdr:nvSpPr>
        <xdr:cNvPr id="3119" name="AutoShape 47">
          <a:extLst>
            <a:ext uri="{FF2B5EF4-FFF2-40B4-BE49-F238E27FC236}">
              <a16:creationId xmlns:a16="http://schemas.microsoft.com/office/drawing/2014/main" id="{E02FC281-386C-8481-4429-97CDD58C9477}"/>
            </a:ext>
          </a:extLst>
        </xdr:cNvPr>
        <xdr:cNvSpPr>
          <a:spLocks noChangeAspect="1" noChangeArrowheads="1"/>
        </xdr:cNvSpPr>
      </xdr:nvSpPr>
      <xdr:spPr bwMode="auto">
        <a:xfrm>
          <a:off x="0" y="671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338</xdr:row>
      <xdr:rowOff>0</xdr:rowOff>
    </xdr:from>
    <xdr:to>
      <xdr:col>0</xdr:col>
      <xdr:colOff>304800</xdr:colOff>
      <xdr:row>339</xdr:row>
      <xdr:rowOff>114300</xdr:rowOff>
    </xdr:to>
    <xdr:sp macro="" textlink="">
      <xdr:nvSpPr>
        <xdr:cNvPr id="3120" name="AutoShape 48">
          <a:extLst>
            <a:ext uri="{FF2B5EF4-FFF2-40B4-BE49-F238E27FC236}">
              <a16:creationId xmlns:a16="http://schemas.microsoft.com/office/drawing/2014/main" id="{96B408A8-1239-E6B7-D358-1E24E6C03242}"/>
            </a:ext>
          </a:extLst>
        </xdr:cNvPr>
        <xdr:cNvSpPr>
          <a:spLocks noChangeAspect="1" noChangeArrowheads="1"/>
        </xdr:cNvSpPr>
      </xdr:nvSpPr>
      <xdr:spPr bwMode="auto">
        <a:xfrm>
          <a:off x="0" y="685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345</xdr:row>
      <xdr:rowOff>0</xdr:rowOff>
    </xdr:from>
    <xdr:to>
      <xdr:col>0</xdr:col>
      <xdr:colOff>304800</xdr:colOff>
      <xdr:row>346</xdr:row>
      <xdr:rowOff>114300</xdr:rowOff>
    </xdr:to>
    <xdr:sp macro="" textlink="">
      <xdr:nvSpPr>
        <xdr:cNvPr id="3121" name="AutoShape 49">
          <a:extLst>
            <a:ext uri="{FF2B5EF4-FFF2-40B4-BE49-F238E27FC236}">
              <a16:creationId xmlns:a16="http://schemas.microsoft.com/office/drawing/2014/main" id="{3D9DC99A-DF11-1EAC-ECCB-D15F5F3AEF64}"/>
            </a:ext>
          </a:extLst>
        </xdr:cNvPr>
        <xdr:cNvSpPr>
          <a:spLocks noChangeAspect="1" noChangeArrowheads="1"/>
        </xdr:cNvSpPr>
      </xdr:nvSpPr>
      <xdr:spPr bwMode="auto">
        <a:xfrm>
          <a:off x="0" y="7000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352</xdr:row>
      <xdr:rowOff>0</xdr:rowOff>
    </xdr:from>
    <xdr:to>
      <xdr:col>0</xdr:col>
      <xdr:colOff>304800</xdr:colOff>
      <xdr:row>353</xdr:row>
      <xdr:rowOff>114300</xdr:rowOff>
    </xdr:to>
    <xdr:sp macro="" textlink="">
      <xdr:nvSpPr>
        <xdr:cNvPr id="3122" name="AutoShape 50">
          <a:extLst>
            <a:ext uri="{FF2B5EF4-FFF2-40B4-BE49-F238E27FC236}">
              <a16:creationId xmlns:a16="http://schemas.microsoft.com/office/drawing/2014/main" id="{344DB714-9788-2347-7A7E-7A0E863D517B}"/>
            </a:ext>
          </a:extLst>
        </xdr:cNvPr>
        <xdr:cNvSpPr>
          <a:spLocks noChangeAspect="1" noChangeArrowheads="1"/>
        </xdr:cNvSpPr>
      </xdr:nvSpPr>
      <xdr:spPr bwMode="auto">
        <a:xfrm>
          <a:off x="0" y="714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359</xdr:row>
      <xdr:rowOff>0</xdr:rowOff>
    </xdr:from>
    <xdr:to>
      <xdr:col>0</xdr:col>
      <xdr:colOff>304800</xdr:colOff>
      <xdr:row>360</xdr:row>
      <xdr:rowOff>114300</xdr:rowOff>
    </xdr:to>
    <xdr:sp macro="" textlink="">
      <xdr:nvSpPr>
        <xdr:cNvPr id="3123" name="AutoShape 51">
          <a:extLst>
            <a:ext uri="{FF2B5EF4-FFF2-40B4-BE49-F238E27FC236}">
              <a16:creationId xmlns:a16="http://schemas.microsoft.com/office/drawing/2014/main" id="{AC33CD79-F7F0-F095-FDA8-2DF9DF4763AD}"/>
            </a:ext>
          </a:extLst>
        </xdr:cNvPr>
        <xdr:cNvSpPr>
          <a:spLocks noChangeAspect="1" noChangeArrowheads="1"/>
        </xdr:cNvSpPr>
      </xdr:nvSpPr>
      <xdr:spPr bwMode="auto">
        <a:xfrm>
          <a:off x="0" y="7286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366</xdr:row>
      <xdr:rowOff>0</xdr:rowOff>
    </xdr:from>
    <xdr:to>
      <xdr:col>0</xdr:col>
      <xdr:colOff>304800</xdr:colOff>
      <xdr:row>367</xdr:row>
      <xdr:rowOff>114300</xdr:rowOff>
    </xdr:to>
    <xdr:sp macro="" textlink="">
      <xdr:nvSpPr>
        <xdr:cNvPr id="3124" name="AutoShape 52">
          <a:extLst>
            <a:ext uri="{FF2B5EF4-FFF2-40B4-BE49-F238E27FC236}">
              <a16:creationId xmlns:a16="http://schemas.microsoft.com/office/drawing/2014/main" id="{15C437E0-0840-0824-8130-FC3259B77142}"/>
            </a:ext>
          </a:extLst>
        </xdr:cNvPr>
        <xdr:cNvSpPr>
          <a:spLocks noChangeAspect="1" noChangeArrowheads="1"/>
        </xdr:cNvSpPr>
      </xdr:nvSpPr>
      <xdr:spPr bwMode="auto">
        <a:xfrm>
          <a:off x="0" y="742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373</xdr:row>
      <xdr:rowOff>0</xdr:rowOff>
    </xdr:from>
    <xdr:to>
      <xdr:col>0</xdr:col>
      <xdr:colOff>304800</xdr:colOff>
      <xdr:row>374</xdr:row>
      <xdr:rowOff>114300</xdr:rowOff>
    </xdr:to>
    <xdr:sp macro="" textlink="">
      <xdr:nvSpPr>
        <xdr:cNvPr id="3125" name="AutoShape 53">
          <a:extLst>
            <a:ext uri="{FF2B5EF4-FFF2-40B4-BE49-F238E27FC236}">
              <a16:creationId xmlns:a16="http://schemas.microsoft.com/office/drawing/2014/main" id="{C3DAA6C8-B3D8-2DC8-E990-FBD0F1DC357C}"/>
            </a:ext>
          </a:extLst>
        </xdr:cNvPr>
        <xdr:cNvSpPr>
          <a:spLocks noChangeAspect="1" noChangeArrowheads="1"/>
        </xdr:cNvSpPr>
      </xdr:nvSpPr>
      <xdr:spPr bwMode="auto">
        <a:xfrm>
          <a:off x="0" y="757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380</xdr:row>
      <xdr:rowOff>0</xdr:rowOff>
    </xdr:from>
    <xdr:to>
      <xdr:col>0</xdr:col>
      <xdr:colOff>304800</xdr:colOff>
      <xdr:row>381</xdr:row>
      <xdr:rowOff>114300</xdr:rowOff>
    </xdr:to>
    <xdr:sp macro="" textlink="">
      <xdr:nvSpPr>
        <xdr:cNvPr id="3126" name="AutoShape 54">
          <a:extLst>
            <a:ext uri="{FF2B5EF4-FFF2-40B4-BE49-F238E27FC236}">
              <a16:creationId xmlns:a16="http://schemas.microsoft.com/office/drawing/2014/main" id="{D4AE8E4C-333C-96D8-3866-B46F78F3B646}"/>
            </a:ext>
          </a:extLst>
        </xdr:cNvPr>
        <xdr:cNvSpPr>
          <a:spLocks noChangeAspect="1" noChangeArrowheads="1"/>
        </xdr:cNvSpPr>
      </xdr:nvSpPr>
      <xdr:spPr bwMode="auto">
        <a:xfrm>
          <a:off x="0" y="771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387</xdr:row>
      <xdr:rowOff>0</xdr:rowOff>
    </xdr:from>
    <xdr:to>
      <xdr:col>0</xdr:col>
      <xdr:colOff>304800</xdr:colOff>
      <xdr:row>388</xdr:row>
      <xdr:rowOff>114300</xdr:rowOff>
    </xdr:to>
    <xdr:sp macro="" textlink="">
      <xdr:nvSpPr>
        <xdr:cNvPr id="3127" name="AutoShape 55">
          <a:extLst>
            <a:ext uri="{FF2B5EF4-FFF2-40B4-BE49-F238E27FC236}">
              <a16:creationId xmlns:a16="http://schemas.microsoft.com/office/drawing/2014/main" id="{35088541-2862-9F9B-E0F0-E425A5FBF79B}"/>
            </a:ext>
          </a:extLst>
        </xdr:cNvPr>
        <xdr:cNvSpPr>
          <a:spLocks noChangeAspect="1" noChangeArrowheads="1"/>
        </xdr:cNvSpPr>
      </xdr:nvSpPr>
      <xdr:spPr bwMode="auto">
        <a:xfrm>
          <a:off x="0" y="7858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394</xdr:row>
      <xdr:rowOff>0</xdr:rowOff>
    </xdr:from>
    <xdr:to>
      <xdr:col>0</xdr:col>
      <xdr:colOff>304800</xdr:colOff>
      <xdr:row>395</xdr:row>
      <xdr:rowOff>114300</xdr:rowOff>
    </xdr:to>
    <xdr:sp macro="" textlink="">
      <xdr:nvSpPr>
        <xdr:cNvPr id="3128" name="AutoShape 56">
          <a:extLst>
            <a:ext uri="{FF2B5EF4-FFF2-40B4-BE49-F238E27FC236}">
              <a16:creationId xmlns:a16="http://schemas.microsoft.com/office/drawing/2014/main" id="{DBCC094F-956A-DBF1-1615-897D313DE519}"/>
            </a:ext>
          </a:extLst>
        </xdr:cNvPr>
        <xdr:cNvSpPr>
          <a:spLocks noChangeAspect="1" noChangeArrowheads="1"/>
        </xdr:cNvSpPr>
      </xdr:nvSpPr>
      <xdr:spPr bwMode="auto">
        <a:xfrm>
          <a:off x="0" y="800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401</xdr:row>
      <xdr:rowOff>0</xdr:rowOff>
    </xdr:from>
    <xdr:to>
      <xdr:col>0</xdr:col>
      <xdr:colOff>304800</xdr:colOff>
      <xdr:row>402</xdr:row>
      <xdr:rowOff>114300</xdr:rowOff>
    </xdr:to>
    <xdr:sp macro="" textlink="">
      <xdr:nvSpPr>
        <xdr:cNvPr id="3129" name="AutoShape 57">
          <a:extLst>
            <a:ext uri="{FF2B5EF4-FFF2-40B4-BE49-F238E27FC236}">
              <a16:creationId xmlns:a16="http://schemas.microsoft.com/office/drawing/2014/main" id="{D90106E1-4C1A-5122-1E78-63B6C66F3111}"/>
            </a:ext>
          </a:extLst>
        </xdr:cNvPr>
        <xdr:cNvSpPr>
          <a:spLocks noChangeAspect="1" noChangeArrowheads="1"/>
        </xdr:cNvSpPr>
      </xdr:nvSpPr>
      <xdr:spPr bwMode="auto">
        <a:xfrm>
          <a:off x="0" y="8143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408</xdr:row>
      <xdr:rowOff>0</xdr:rowOff>
    </xdr:from>
    <xdr:to>
      <xdr:col>0</xdr:col>
      <xdr:colOff>304800</xdr:colOff>
      <xdr:row>409</xdr:row>
      <xdr:rowOff>114300</xdr:rowOff>
    </xdr:to>
    <xdr:sp macro="" textlink="">
      <xdr:nvSpPr>
        <xdr:cNvPr id="3130" name="AutoShape 58">
          <a:extLst>
            <a:ext uri="{FF2B5EF4-FFF2-40B4-BE49-F238E27FC236}">
              <a16:creationId xmlns:a16="http://schemas.microsoft.com/office/drawing/2014/main" id="{3A9D2BC4-9963-668D-CD2A-C0525AEEBEB1}"/>
            </a:ext>
          </a:extLst>
        </xdr:cNvPr>
        <xdr:cNvSpPr>
          <a:spLocks noChangeAspect="1" noChangeArrowheads="1"/>
        </xdr:cNvSpPr>
      </xdr:nvSpPr>
      <xdr:spPr bwMode="auto">
        <a:xfrm>
          <a:off x="0" y="828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415</xdr:row>
      <xdr:rowOff>0</xdr:rowOff>
    </xdr:from>
    <xdr:to>
      <xdr:col>0</xdr:col>
      <xdr:colOff>304800</xdr:colOff>
      <xdr:row>416</xdr:row>
      <xdr:rowOff>114300</xdr:rowOff>
    </xdr:to>
    <xdr:sp macro="" textlink="">
      <xdr:nvSpPr>
        <xdr:cNvPr id="3131" name="AutoShape 59">
          <a:extLst>
            <a:ext uri="{FF2B5EF4-FFF2-40B4-BE49-F238E27FC236}">
              <a16:creationId xmlns:a16="http://schemas.microsoft.com/office/drawing/2014/main" id="{D589CB72-0354-608D-5FA6-D08307BFD65F}"/>
            </a:ext>
          </a:extLst>
        </xdr:cNvPr>
        <xdr:cNvSpPr>
          <a:spLocks noChangeAspect="1" noChangeArrowheads="1"/>
        </xdr:cNvSpPr>
      </xdr:nvSpPr>
      <xdr:spPr bwMode="auto">
        <a:xfrm>
          <a:off x="0" y="842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422</xdr:row>
      <xdr:rowOff>0</xdr:rowOff>
    </xdr:from>
    <xdr:to>
      <xdr:col>0</xdr:col>
      <xdr:colOff>304800</xdr:colOff>
      <xdr:row>423</xdr:row>
      <xdr:rowOff>114300</xdr:rowOff>
    </xdr:to>
    <xdr:sp macro="" textlink="">
      <xdr:nvSpPr>
        <xdr:cNvPr id="3132" name="AutoShape 60">
          <a:extLst>
            <a:ext uri="{FF2B5EF4-FFF2-40B4-BE49-F238E27FC236}">
              <a16:creationId xmlns:a16="http://schemas.microsoft.com/office/drawing/2014/main" id="{257CFD71-E5A2-F048-11E3-E8BE32400B4D}"/>
            </a:ext>
          </a:extLst>
        </xdr:cNvPr>
        <xdr:cNvSpPr>
          <a:spLocks noChangeAspect="1" noChangeArrowheads="1"/>
        </xdr:cNvSpPr>
      </xdr:nvSpPr>
      <xdr:spPr bwMode="auto">
        <a:xfrm>
          <a:off x="0" y="857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429</xdr:row>
      <xdr:rowOff>0</xdr:rowOff>
    </xdr:from>
    <xdr:to>
      <xdr:col>0</xdr:col>
      <xdr:colOff>304800</xdr:colOff>
      <xdr:row>430</xdr:row>
      <xdr:rowOff>114300</xdr:rowOff>
    </xdr:to>
    <xdr:sp macro="" textlink="">
      <xdr:nvSpPr>
        <xdr:cNvPr id="3133" name="AutoShape 61">
          <a:extLst>
            <a:ext uri="{FF2B5EF4-FFF2-40B4-BE49-F238E27FC236}">
              <a16:creationId xmlns:a16="http://schemas.microsoft.com/office/drawing/2014/main" id="{632DB75A-9E6C-B77C-9907-F2978BA4C98F}"/>
            </a:ext>
          </a:extLst>
        </xdr:cNvPr>
        <xdr:cNvSpPr>
          <a:spLocks noChangeAspect="1" noChangeArrowheads="1"/>
        </xdr:cNvSpPr>
      </xdr:nvSpPr>
      <xdr:spPr bwMode="auto">
        <a:xfrm>
          <a:off x="0" y="8715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436</xdr:row>
      <xdr:rowOff>0</xdr:rowOff>
    </xdr:from>
    <xdr:to>
      <xdr:col>0</xdr:col>
      <xdr:colOff>304800</xdr:colOff>
      <xdr:row>437</xdr:row>
      <xdr:rowOff>114300</xdr:rowOff>
    </xdr:to>
    <xdr:sp macro="" textlink="">
      <xdr:nvSpPr>
        <xdr:cNvPr id="3134" name="AutoShape 62">
          <a:extLst>
            <a:ext uri="{FF2B5EF4-FFF2-40B4-BE49-F238E27FC236}">
              <a16:creationId xmlns:a16="http://schemas.microsoft.com/office/drawing/2014/main" id="{0ED52722-31C0-1602-026B-00D262A2DF85}"/>
            </a:ext>
          </a:extLst>
        </xdr:cNvPr>
        <xdr:cNvSpPr>
          <a:spLocks noChangeAspect="1" noChangeArrowheads="1"/>
        </xdr:cNvSpPr>
      </xdr:nvSpPr>
      <xdr:spPr bwMode="auto">
        <a:xfrm>
          <a:off x="0" y="885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443</xdr:row>
      <xdr:rowOff>0</xdr:rowOff>
    </xdr:from>
    <xdr:to>
      <xdr:col>0</xdr:col>
      <xdr:colOff>304800</xdr:colOff>
      <xdr:row>444</xdr:row>
      <xdr:rowOff>114300</xdr:rowOff>
    </xdr:to>
    <xdr:sp macro="" textlink="">
      <xdr:nvSpPr>
        <xdr:cNvPr id="3135" name="AutoShape 63">
          <a:extLst>
            <a:ext uri="{FF2B5EF4-FFF2-40B4-BE49-F238E27FC236}">
              <a16:creationId xmlns:a16="http://schemas.microsoft.com/office/drawing/2014/main" id="{C4882E4C-352D-4C7E-E564-11AF1AB8B420}"/>
            </a:ext>
          </a:extLst>
        </xdr:cNvPr>
        <xdr:cNvSpPr>
          <a:spLocks noChangeAspect="1" noChangeArrowheads="1"/>
        </xdr:cNvSpPr>
      </xdr:nvSpPr>
      <xdr:spPr bwMode="auto">
        <a:xfrm>
          <a:off x="0" y="900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450</xdr:row>
      <xdr:rowOff>0</xdr:rowOff>
    </xdr:from>
    <xdr:to>
      <xdr:col>0</xdr:col>
      <xdr:colOff>304800</xdr:colOff>
      <xdr:row>451</xdr:row>
      <xdr:rowOff>114300</xdr:rowOff>
    </xdr:to>
    <xdr:sp macro="" textlink="">
      <xdr:nvSpPr>
        <xdr:cNvPr id="3136" name="AutoShape 64">
          <a:extLst>
            <a:ext uri="{FF2B5EF4-FFF2-40B4-BE49-F238E27FC236}">
              <a16:creationId xmlns:a16="http://schemas.microsoft.com/office/drawing/2014/main" id="{A893D3FE-9430-F466-D29C-76593F94A3EA}"/>
            </a:ext>
          </a:extLst>
        </xdr:cNvPr>
        <xdr:cNvSpPr>
          <a:spLocks noChangeAspect="1" noChangeArrowheads="1"/>
        </xdr:cNvSpPr>
      </xdr:nvSpPr>
      <xdr:spPr bwMode="auto">
        <a:xfrm>
          <a:off x="0" y="914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457</xdr:row>
      <xdr:rowOff>0</xdr:rowOff>
    </xdr:from>
    <xdr:to>
      <xdr:col>0</xdr:col>
      <xdr:colOff>304800</xdr:colOff>
      <xdr:row>458</xdr:row>
      <xdr:rowOff>114300</xdr:rowOff>
    </xdr:to>
    <xdr:sp macro="" textlink="">
      <xdr:nvSpPr>
        <xdr:cNvPr id="3137" name="AutoShape 65">
          <a:extLst>
            <a:ext uri="{FF2B5EF4-FFF2-40B4-BE49-F238E27FC236}">
              <a16:creationId xmlns:a16="http://schemas.microsoft.com/office/drawing/2014/main" id="{5EE245A6-5C01-6E8D-C4D4-FDDE66D99704}"/>
            </a:ext>
          </a:extLst>
        </xdr:cNvPr>
        <xdr:cNvSpPr>
          <a:spLocks noChangeAspect="1" noChangeArrowheads="1"/>
        </xdr:cNvSpPr>
      </xdr:nvSpPr>
      <xdr:spPr bwMode="auto">
        <a:xfrm>
          <a:off x="0" y="9286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464</xdr:row>
      <xdr:rowOff>0</xdr:rowOff>
    </xdr:from>
    <xdr:to>
      <xdr:col>0</xdr:col>
      <xdr:colOff>304800</xdr:colOff>
      <xdr:row>465</xdr:row>
      <xdr:rowOff>114300</xdr:rowOff>
    </xdr:to>
    <xdr:sp macro="" textlink="">
      <xdr:nvSpPr>
        <xdr:cNvPr id="3138" name="AutoShape 66">
          <a:extLst>
            <a:ext uri="{FF2B5EF4-FFF2-40B4-BE49-F238E27FC236}">
              <a16:creationId xmlns:a16="http://schemas.microsoft.com/office/drawing/2014/main" id="{E27B1936-E92B-66F4-E7E6-174060851A0C}"/>
            </a:ext>
          </a:extLst>
        </xdr:cNvPr>
        <xdr:cNvSpPr>
          <a:spLocks noChangeAspect="1" noChangeArrowheads="1"/>
        </xdr:cNvSpPr>
      </xdr:nvSpPr>
      <xdr:spPr bwMode="auto">
        <a:xfrm>
          <a:off x="0" y="942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471</xdr:row>
      <xdr:rowOff>0</xdr:rowOff>
    </xdr:from>
    <xdr:to>
      <xdr:col>0</xdr:col>
      <xdr:colOff>304800</xdr:colOff>
      <xdr:row>472</xdr:row>
      <xdr:rowOff>114300</xdr:rowOff>
    </xdr:to>
    <xdr:sp macro="" textlink="">
      <xdr:nvSpPr>
        <xdr:cNvPr id="3139" name="AutoShape 67">
          <a:extLst>
            <a:ext uri="{FF2B5EF4-FFF2-40B4-BE49-F238E27FC236}">
              <a16:creationId xmlns:a16="http://schemas.microsoft.com/office/drawing/2014/main" id="{50E6C0F9-311F-85F5-A60F-A407E3F0E9F1}"/>
            </a:ext>
          </a:extLst>
        </xdr:cNvPr>
        <xdr:cNvSpPr>
          <a:spLocks noChangeAspect="1" noChangeArrowheads="1"/>
        </xdr:cNvSpPr>
      </xdr:nvSpPr>
      <xdr:spPr bwMode="auto">
        <a:xfrm>
          <a:off x="0" y="9572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478</xdr:row>
      <xdr:rowOff>0</xdr:rowOff>
    </xdr:from>
    <xdr:to>
      <xdr:col>0</xdr:col>
      <xdr:colOff>304800</xdr:colOff>
      <xdr:row>479</xdr:row>
      <xdr:rowOff>114300</xdr:rowOff>
    </xdr:to>
    <xdr:sp macro="" textlink="">
      <xdr:nvSpPr>
        <xdr:cNvPr id="3140" name="AutoShape 68">
          <a:extLst>
            <a:ext uri="{FF2B5EF4-FFF2-40B4-BE49-F238E27FC236}">
              <a16:creationId xmlns:a16="http://schemas.microsoft.com/office/drawing/2014/main" id="{A7492027-DA5A-E23C-C35B-5057BDF7F07D}"/>
            </a:ext>
          </a:extLst>
        </xdr:cNvPr>
        <xdr:cNvSpPr>
          <a:spLocks noChangeAspect="1" noChangeArrowheads="1"/>
        </xdr:cNvSpPr>
      </xdr:nvSpPr>
      <xdr:spPr bwMode="auto">
        <a:xfrm>
          <a:off x="0" y="9715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485</xdr:row>
      <xdr:rowOff>0</xdr:rowOff>
    </xdr:from>
    <xdr:to>
      <xdr:col>0</xdr:col>
      <xdr:colOff>304800</xdr:colOff>
      <xdr:row>486</xdr:row>
      <xdr:rowOff>114300</xdr:rowOff>
    </xdr:to>
    <xdr:sp macro="" textlink="">
      <xdr:nvSpPr>
        <xdr:cNvPr id="3141" name="AutoShape 69">
          <a:extLst>
            <a:ext uri="{FF2B5EF4-FFF2-40B4-BE49-F238E27FC236}">
              <a16:creationId xmlns:a16="http://schemas.microsoft.com/office/drawing/2014/main" id="{6EBEE95E-26AA-D4D0-7E82-37704B02304F}"/>
            </a:ext>
          </a:extLst>
        </xdr:cNvPr>
        <xdr:cNvSpPr>
          <a:spLocks noChangeAspect="1" noChangeArrowheads="1"/>
        </xdr:cNvSpPr>
      </xdr:nvSpPr>
      <xdr:spPr bwMode="auto">
        <a:xfrm>
          <a:off x="0" y="9858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492</xdr:row>
      <xdr:rowOff>0</xdr:rowOff>
    </xdr:from>
    <xdr:to>
      <xdr:col>0</xdr:col>
      <xdr:colOff>304800</xdr:colOff>
      <xdr:row>493</xdr:row>
      <xdr:rowOff>114300</xdr:rowOff>
    </xdr:to>
    <xdr:sp macro="" textlink="">
      <xdr:nvSpPr>
        <xdr:cNvPr id="3142" name="AutoShape 70">
          <a:extLst>
            <a:ext uri="{FF2B5EF4-FFF2-40B4-BE49-F238E27FC236}">
              <a16:creationId xmlns:a16="http://schemas.microsoft.com/office/drawing/2014/main" id="{22E406E8-B6A6-A1EC-D503-E62F430C077A}"/>
            </a:ext>
          </a:extLst>
        </xdr:cNvPr>
        <xdr:cNvSpPr>
          <a:spLocks noChangeAspect="1" noChangeArrowheads="1"/>
        </xdr:cNvSpPr>
      </xdr:nvSpPr>
      <xdr:spPr bwMode="auto">
        <a:xfrm>
          <a:off x="0" y="10001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499</xdr:row>
      <xdr:rowOff>0</xdr:rowOff>
    </xdr:from>
    <xdr:to>
      <xdr:col>0</xdr:col>
      <xdr:colOff>304800</xdr:colOff>
      <xdr:row>500</xdr:row>
      <xdr:rowOff>114300</xdr:rowOff>
    </xdr:to>
    <xdr:sp macro="" textlink="">
      <xdr:nvSpPr>
        <xdr:cNvPr id="3143" name="AutoShape 71">
          <a:extLst>
            <a:ext uri="{FF2B5EF4-FFF2-40B4-BE49-F238E27FC236}">
              <a16:creationId xmlns:a16="http://schemas.microsoft.com/office/drawing/2014/main" id="{B7B6B3F6-DA41-A926-79AF-DD967268DCC3}"/>
            </a:ext>
          </a:extLst>
        </xdr:cNvPr>
        <xdr:cNvSpPr>
          <a:spLocks noChangeAspect="1" noChangeArrowheads="1"/>
        </xdr:cNvSpPr>
      </xdr:nvSpPr>
      <xdr:spPr bwMode="auto">
        <a:xfrm>
          <a:off x="0" y="10144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506</xdr:row>
      <xdr:rowOff>0</xdr:rowOff>
    </xdr:from>
    <xdr:to>
      <xdr:col>0</xdr:col>
      <xdr:colOff>304800</xdr:colOff>
      <xdr:row>507</xdr:row>
      <xdr:rowOff>114300</xdr:rowOff>
    </xdr:to>
    <xdr:sp macro="" textlink="">
      <xdr:nvSpPr>
        <xdr:cNvPr id="3144" name="AutoShape 72">
          <a:extLst>
            <a:ext uri="{FF2B5EF4-FFF2-40B4-BE49-F238E27FC236}">
              <a16:creationId xmlns:a16="http://schemas.microsoft.com/office/drawing/2014/main" id="{2D0093EB-57C5-502D-CF12-8FA8ABFC0683}"/>
            </a:ext>
          </a:extLst>
        </xdr:cNvPr>
        <xdr:cNvSpPr>
          <a:spLocks noChangeAspect="1" noChangeArrowheads="1"/>
        </xdr:cNvSpPr>
      </xdr:nvSpPr>
      <xdr:spPr bwMode="auto">
        <a:xfrm>
          <a:off x="0" y="1028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513</xdr:row>
      <xdr:rowOff>0</xdr:rowOff>
    </xdr:from>
    <xdr:to>
      <xdr:col>0</xdr:col>
      <xdr:colOff>304800</xdr:colOff>
      <xdr:row>514</xdr:row>
      <xdr:rowOff>114300</xdr:rowOff>
    </xdr:to>
    <xdr:sp macro="" textlink="">
      <xdr:nvSpPr>
        <xdr:cNvPr id="3145" name="AutoShape 73">
          <a:extLst>
            <a:ext uri="{FF2B5EF4-FFF2-40B4-BE49-F238E27FC236}">
              <a16:creationId xmlns:a16="http://schemas.microsoft.com/office/drawing/2014/main" id="{39D0F36A-2F5C-53E7-2DCD-200A180B237B}"/>
            </a:ext>
          </a:extLst>
        </xdr:cNvPr>
        <xdr:cNvSpPr>
          <a:spLocks noChangeAspect="1" noChangeArrowheads="1"/>
        </xdr:cNvSpPr>
      </xdr:nvSpPr>
      <xdr:spPr bwMode="auto">
        <a:xfrm>
          <a:off x="0" y="10429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520</xdr:row>
      <xdr:rowOff>0</xdr:rowOff>
    </xdr:from>
    <xdr:to>
      <xdr:col>0</xdr:col>
      <xdr:colOff>304800</xdr:colOff>
      <xdr:row>521</xdr:row>
      <xdr:rowOff>114300</xdr:rowOff>
    </xdr:to>
    <xdr:sp macro="" textlink="">
      <xdr:nvSpPr>
        <xdr:cNvPr id="3146" name="AutoShape 74">
          <a:extLst>
            <a:ext uri="{FF2B5EF4-FFF2-40B4-BE49-F238E27FC236}">
              <a16:creationId xmlns:a16="http://schemas.microsoft.com/office/drawing/2014/main" id="{A65F4E37-FEC3-0F0C-A8FE-5F59E843A943}"/>
            </a:ext>
          </a:extLst>
        </xdr:cNvPr>
        <xdr:cNvSpPr>
          <a:spLocks noChangeAspect="1" noChangeArrowheads="1"/>
        </xdr:cNvSpPr>
      </xdr:nvSpPr>
      <xdr:spPr bwMode="auto">
        <a:xfrm>
          <a:off x="0" y="10572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527</xdr:row>
      <xdr:rowOff>0</xdr:rowOff>
    </xdr:from>
    <xdr:to>
      <xdr:col>0</xdr:col>
      <xdr:colOff>304800</xdr:colOff>
      <xdr:row>528</xdr:row>
      <xdr:rowOff>114300</xdr:rowOff>
    </xdr:to>
    <xdr:sp macro="" textlink="">
      <xdr:nvSpPr>
        <xdr:cNvPr id="3147" name="AutoShape 75">
          <a:extLst>
            <a:ext uri="{FF2B5EF4-FFF2-40B4-BE49-F238E27FC236}">
              <a16:creationId xmlns:a16="http://schemas.microsoft.com/office/drawing/2014/main" id="{A995CF10-8B8D-BAB5-190D-484CC4ECFE84}"/>
            </a:ext>
          </a:extLst>
        </xdr:cNvPr>
        <xdr:cNvSpPr>
          <a:spLocks noChangeAspect="1" noChangeArrowheads="1"/>
        </xdr:cNvSpPr>
      </xdr:nvSpPr>
      <xdr:spPr bwMode="auto">
        <a:xfrm>
          <a:off x="0" y="10715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534</xdr:row>
      <xdr:rowOff>0</xdr:rowOff>
    </xdr:from>
    <xdr:to>
      <xdr:col>0</xdr:col>
      <xdr:colOff>304800</xdr:colOff>
      <xdr:row>535</xdr:row>
      <xdr:rowOff>114300</xdr:rowOff>
    </xdr:to>
    <xdr:sp macro="" textlink="">
      <xdr:nvSpPr>
        <xdr:cNvPr id="3148" name="AutoShape 76">
          <a:extLst>
            <a:ext uri="{FF2B5EF4-FFF2-40B4-BE49-F238E27FC236}">
              <a16:creationId xmlns:a16="http://schemas.microsoft.com/office/drawing/2014/main" id="{EE6D3CA0-0D67-8E9A-27F3-3A3EA03050C3}"/>
            </a:ext>
          </a:extLst>
        </xdr:cNvPr>
        <xdr:cNvSpPr>
          <a:spLocks noChangeAspect="1" noChangeArrowheads="1"/>
        </xdr:cNvSpPr>
      </xdr:nvSpPr>
      <xdr:spPr bwMode="auto">
        <a:xfrm>
          <a:off x="0" y="10858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541</xdr:row>
      <xdr:rowOff>0</xdr:rowOff>
    </xdr:from>
    <xdr:to>
      <xdr:col>0</xdr:col>
      <xdr:colOff>304800</xdr:colOff>
      <xdr:row>542</xdr:row>
      <xdr:rowOff>114300</xdr:rowOff>
    </xdr:to>
    <xdr:sp macro="" textlink="">
      <xdr:nvSpPr>
        <xdr:cNvPr id="3149" name="AutoShape 77">
          <a:extLst>
            <a:ext uri="{FF2B5EF4-FFF2-40B4-BE49-F238E27FC236}">
              <a16:creationId xmlns:a16="http://schemas.microsoft.com/office/drawing/2014/main" id="{968F89E2-9F06-109A-058E-282DD91D7CC2}"/>
            </a:ext>
          </a:extLst>
        </xdr:cNvPr>
        <xdr:cNvSpPr>
          <a:spLocks noChangeAspect="1" noChangeArrowheads="1"/>
        </xdr:cNvSpPr>
      </xdr:nvSpPr>
      <xdr:spPr bwMode="auto">
        <a:xfrm>
          <a:off x="0" y="11001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548</xdr:row>
      <xdr:rowOff>0</xdr:rowOff>
    </xdr:from>
    <xdr:to>
      <xdr:col>0</xdr:col>
      <xdr:colOff>304800</xdr:colOff>
      <xdr:row>549</xdr:row>
      <xdr:rowOff>114300</xdr:rowOff>
    </xdr:to>
    <xdr:sp macro="" textlink="">
      <xdr:nvSpPr>
        <xdr:cNvPr id="3150" name="AutoShape 78">
          <a:extLst>
            <a:ext uri="{FF2B5EF4-FFF2-40B4-BE49-F238E27FC236}">
              <a16:creationId xmlns:a16="http://schemas.microsoft.com/office/drawing/2014/main" id="{8DE5234B-84E0-019F-B501-DF23F0A779F8}"/>
            </a:ext>
          </a:extLst>
        </xdr:cNvPr>
        <xdr:cNvSpPr>
          <a:spLocks noChangeAspect="1" noChangeArrowheads="1"/>
        </xdr:cNvSpPr>
      </xdr:nvSpPr>
      <xdr:spPr bwMode="auto">
        <a:xfrm>
          <a:off x="0" y="1114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555</xdr:row>
      <xdr:rowOff>0</xdr:rowOff>
    </xdr:from>
    <xdr:to>
      <xdr:col>0</xdr:col>
      <xdr:colOff>304800</xdr:colOff>
      <xdr:row>556</xdr:row>
      <xdr:rowOff>114300</xdr:rowOff>
    </xdr:to>
    <xdr:sp macro="" textlink="">
      <xdr:nvSpPr>
        <xdr:cNvPr id="3151" name="AutoShape 79">
          <a:extLst>
            <a:ext uri="{FF2B5EF4-FFF2-40B4-BE49-F238E27FC236}">
              <a16:creationId xmlns:a16="http://schemas.microsoft.com/office/drawing/2014/main" id="{F9F50274-A229-EDA2-B22A-0E8086138F6B}"/>
            </a:ext>
          </a:extLst>
        </xdr:cNvPr>
        <xdr:cNvSpPr>
          <a:spLocks noChangeAspect="1" noChangeArrowheads="1"/>
        </xdr:cNvSpPr>
      </xdr:nvSpPr>
      <xdr:spPr bwMode="auto">
        <a:xfrm>
          <a:off x="0" y="11287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562</xdr:row>
      <xdr:rowOff>0</xdr:rowOff>
    </xdr:from>
    <xdr:to>
      <xdr:col>0</xdr:col>
      <xdr:colOff>304800</xdr:colOff>
      <xdr:row>563</xdr:row>
      <xdr:rowOff>114300</xdr:rowOff>
    </xdr:to>
    <xdr:sp macro="" textlink="">
      <xdr:nvSpPr>
        <xdr:cNvPr id="3152" name="AutoShape 80">
          <a:extLst>
            <a:ext uri="{FF2B5EF4-FFF2-40B4-BE49-F238E27FC236}">
              <a16:creationId xmlns:a16="http://schemas.microsoft.com/office/drawing/2014/main" id="{BA086B7C-0A67-5624-30C2-2F498C24BEDE}"/>
            </a:ext>
          </a:extLst>
        </xdr:cNvPr>
        <xdr:cNvSpPr>
          <a:spLocks noChangeAspect="1" noChangeArrowheads="1"/>
        </xdr:cNvSpPr>
      </xdr:nvSpPr>
      <xdr:spPr bwMode="auto">
        <a:xfrm>
          <a:off x="0" y="11430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569</xdr:row>
      <xdr:rowOff>0</xdr:rowOff>
    </xdr:from>
    <xdr:to>
      <xdr:col>0</xdr:col>
      <xdr:colOff>304800</xdr:colOff>
      <xdr:row>570</xdr:row>
      <xdr:rowOff>114300</xdr:rowOff>
    </xdr:to>
    <xdr:sp macro="" textlink="">
      <xdr:nvSpPr>
        <xdr:cNvPr id="3153" name="AutoShape 81">
          <a:extLst>
            <a:ext uri="{FF2B5EF4-FFF2-40B4-BE49-F238E27FC236}">
              <a16:creationId xmlns:a16="http://schemas.microsoft.com/office/drawing/2014/main" id="{F6E6696D-C6D8-7FBA-2F13-15F8D3F0B4A6}"/>
            </a:ext>
          </a:extLst>
        </xdr:cNvPr>
        <xdr:cNvSpPr>
          <a:spLocks noChangeAspect="1" noChangeArrowheads="1"/>
        </xdr:cNvSpPr>
      </xdr:nvSpPr>
      <xdr:spPr bwMode="auto">
        <a:xfrm>
          <a:off x="0" y="11572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576</xdr:row>
      <xdr:rowOff>0</xdr:rowOff>
    </xdr:from>
    <xdr:to>
      <xdr:col>0</xdr:col>
      <xdr:colOff>304800</xdr:colOff>
      <xdr:row>577</xdr:row>
      <xdr:rowOff>114300</xdr:rowOff>
    </xdr:to>
    <xdr:sp macro="" textlink="">
      <xdr:nvSpPr>
        <xdr:cNvPr id="3154" name="AutoShape 82">
          <a:extLst>
            <a:ext uri="{FF2B5EF4-FFF2-40B4-BE49-F238E27FC236}">
              <a16:creationId xmlns:a16="http://schemas.microsoft.com/office/drawing/2014/main" id="{62A6B2E8-21AC-655D-966B-006F7E982274}"/>
            </a:ext>
          </a:extLst>
        </xdr:cNvPr>
        <xdr:cNvSpPr>
          <a:spLocks noChangeAspect="1" noChangeArrowheads="1"/>
        </xdr:cNvSpPr>
      </xdr:nvSpPr>
      <xdr:spPr bwMode="auto">
        <a:xfrm>
          <a:off x="0" y="11715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583</xdr:row>
      <xdr:rowOff>0</xdr:rowOff>
    </xdr:from>
    <xdr:to>
      <xdr:col>0</xdr:col>
      <xdr:colOff>304800</xdr:colOff>
      <xdr:row>584</xdr:row>
      <xdr:rowOff>114300</xdr:rowOff>
    </xdr:to>
    <xdr:sp macro="" textlink="">
      <xdr:nvSpPr>
        <xdr:cNvPr id="3155" name="AutoShape 83">
          <a:extLst>
            <a:ext uri="{FF2B5EF4-FFF2-40B4-BE49-F238E27FC236}">
              <a16:creationId xmlns:a16="http://schemas.microsoft.com/office/drawing/2014/main" id="{AA3178B7-C12D-45FF-2244-D411437CEF37}"/>
            </a:ext>
          </a:extLst>
        </xdr:cNvPr>
        <xdr:cNvSpPr>
          <a:spLocks noChangeAspect="1" noChangeArrowheads="1"/>
        </xdr:cNvSpPr>
      </xdr:nvSpPr>
      <xdr:spPr bwMode="auto">
        <a:xfrm>
          <a:off x="0" y="11858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590</xdr:row>
      <xdr:rowOff>0</xdr:rowOff>
    </xdr:from>
    <xdr:to>
      <xdr:col>0</xdr:col>
      <xdr:colOff>304800</xdr:colOff>
      <xdr:row>591</xdr:row>
      <xdr:rowOff>114300</xdr:rowOff>
    </xdr:to>
    <xdr:sp macro="" textlink="">
      <xdr:nvSpPr>
        <xdr:cNvPr id="3156" name="AutoShape 84">
          <a:extLst>
            <a:ext uri="{FF2B5EF4-FFF2-40B4-BE49-F238E27FC236}">
              <a16:creationId xmlns:a16="http://schemas.microsoft.com/office/drawing/2014/main" id="{D3A56DEB-BAE0-60B7-D9D3-A935CC9A0C75}"/>
            </a:ext>
          </a:extLst>
        </xdr:cNvPr>
        <xdr:cNvSpPr>
          <a:spLocks noChangeAspect="1" noChangeArrowheads="1"/>
        </xdr:cNvSpPr>
      </xdr:nvSpPr>
      <xdr:spPr bwMode="auto">
        <a:xfrm>
          <a:off x="0" y="1200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597</xdr:row>
      <xdr:rowOff>0</xdr:rowOff>
    </xdr:from>
    <xdr:to>
      <xdr:col>0</xdr:col>
      <xdr:colOff>304800</xdr:colOff>
      <xdr:row>598</xdr:row>
      <xdr:rowOff>114300</xdr:rowOff>
    </xdr:to>
    <xdr:sp macro="" textlink="">
      <xdr:nvSpPr>
        <xdr:cNvPr id="3157" name="AutoShape 85">
          <a:extLst>
            <a:ext uri="{FF2B5EF4-FFF2-40B4-BE49-F238E27FC236}">
              <a16:creationId xmlns:a16="http://schemas.microsoft.com/office/drawing/2014/main" id="{95238340-4AF3-131C-AFAD-43E9142BD1AE}"/>
            </a:ext>
          </a:extLst>
        </xdr:cNvPr>
        <xdr:cNvSpPr>
          <a:spLocks noChangeAspect="1" noChangeArrowheads="1"/>
        </xdr:cNvSpPr>
      </xdr:nvSpPr>
      <xdr:spPr bwMode="auto">
        <a:xfrm>
          <a:off x="0" y="12144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604</xdr:row>
      <xdr:rowOff>0</xdr:rowOff>
    </xdr:from>
    <xdr:to>
      <xdr:col>0</xdr:col>
      <xdr:colOff>304800</xdr:colOff>
      <xdr:row>605</xdr:row>
      <xdr:rowOff>114300</xdr:rowOff>
    </xdr:to>
    <xdr:sp macro="" textlink="">
      <xdr:nvSpPr>
        <xdr:cNvPr id="3158" name="AutoShape 86">
          <a:extLst>
            <a:ext uri="{FF2B5EF4-FFF2-40B4-BE49-F238E27FC236}">
              <a16:creationId xmlns:a16="http://schemas.microsoft.com/office/drawing/2014/main" id="{26F721E7-9080-EDA7-05D8-ED9C6C569820}"/>
            </a:ext>
          </a:extLst>
        </xdr:cNvPr>
        <xdr:cNvSpPr>
          <a:spLocks noChangeAspect="1" noChangeArrowheads="1"/>
        </xdr:cNvSpPr>
      </xdr:nvSpPr>
      <xdr:spPr bwMode="auto">
        <a:xfrm>
          <a:off x="0" y="12287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611</xdr:row>
      <xdr:rowOff>0</xdr:rowOff>
    </xdr:from>
    <xdr:to>
      <xdr:col>0</xdr:col>
      <xdr:colOff>304800</xdr:colOff>
      <xdr:row>612</xdr:row>
      <xdr:rowOff>114300</xdr:rowOff>
    </xdr:to>
    <xdr:sp macro="" textlink="">
      <xdr:nvSpPr>
        <xdr:cNvPr id="3159" name="AutoShape 87">
          <a:extLst>
            <a:ext uri="{FF2B5EF4-FFF2-40B4-BE49-F238E27FC236}">
              <a16:creationId xmlns:a16="http://schemas.microsoft.com/office/drawing/2014/main" id="{CE52AC93-35FC-949D-0E13-4A6177F1EDAF}"/>
            </a:ext>
          </a:extLst>
        </xdr:cNvPr>
        <xdr:cNvSpPr>
          <a:spLocks noChangeAspect="1" noChangeArrowheads="1"/>
        </xdr:cNvSpPr>
      </xdr:nvSpPr>
      <xdr:spPr bwMode="auto">
        <a:xfrm>
          <a:off x="0" y="12430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618</xdr:row>
      <xdr:rowOff>0</xdr:rowOff>
    </xdr:from>
    <xdr:to>
      <xdr:col>0</xdr:col>
      <xdr:colOff>304800</xdr:colOff>
      <xdr:row>619</xdr:row>
      <xdr:rowOff>114300</xdr:rowOff>
    </xdr:to>
    <xdr:sp macro="" textlink="">
      <xdr:nvSpPr>
        <xdr:cNvPr id="3160" name="AutoShape 88">
          <a:extLst>
            <a:ext uri="{FF2B5EF4-FFF2-40B4-BE49-F238E27FC236}">
              <a16:creationId xmlns:a16="http://schemas.microsoft.com/office/drawing/2014/main" id="{B1189243-E757-9FE4-37AE-2507EE3A575F}"/>
            </a:ext>
          </a:extLst>
        </xdr:cNvPr>
        <xdr:cNvSpPr>
          <a:spLocks noChangeAspect="1" noChangeArrowheads="1"/>
        </xdr:cNvSpPr>
      </xdr:nvSpPr>
      <xdr:spPr bwMode="auto">
        <a:xfrm>
          <a:off x="0" y="12573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625</xdr:row>
      <xdr:rowOff>0</xdr:rowOff>
    </xdr:from>
    <xdr:to>
      <xdr:col>0</xdr:col>
      <xdr:colOff>304800</xdr:colOff>
      <xdr:row>626</xdr:row>
      <xdr:rowOff>114300</xdr:rowOff>
    </xdr:to>
    <xdr:sp macro="" textlink="">
      <xdr:nvSpPr>
        <xdr:cNvPr id="3161" name="AutoShape 89">
          <a:extLst>
            <a:ext uri="{FF2B5EF4-FFF2-40B4-BE49-F238E27FC236}">
              <a16:creationId xmlns:a16="http://schemas.microsoft.com/office/drawing/2014/main" id="{AF8DDF20-E022-1615-C068-DA5C93C1DA6E}"/>
            </a:ext>
          </a:extLst>
        </xdr:cNvPr>
        <xdr:cNvSpPr>
          <a:spLocks noChangeAspect="1" noChangeArrowheads="1"/>
        </xdr:cNvSpPr>
      </xdr:nvSpPr>
      <xdr:spPr bwMode="auto">
        <a:xfrm>
          <a:off x="0" y="12715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632</xdr:row>
      <xdr:rowOff>0</xdr:rowOff>
    </xdr:from>
    <xdr:to>
      <xdr:col>0</xdr:col>
      <xdr:colOff>304800</xdr:colOff>
      <xdr:row>633</xdr:row>
      <xdr:rowOff>114300</xdr:rowOff>
    </xdr:to>
    <xdr:sp macro="" textlink="">
      <xdr:nvSpPr>
        <xdr:cNvPr id="3162" name="AutoShape 90">
          <a:extLst>
            <a:ext uri="{FF2B5EF4-FFF2-40B4-BE49-F238E27FC236}">
              <a16:creationId xmlns:a16="http://schemas.microsoft.com/office/drawing/2014/main" id="{948B3A43-E061-1D1D-5DFB-A9D4AFC352C0}"/>
            </a:ext>
          </a:extLst>
        </xdr:cNvPr>
        <xdr:cNvSpPr>
          <a:spLocks noChangeAspect="1" noChangeArrowheads="1"/>
        </xdr:cNvSpPr>
      </xdr:nvSpPr>
      <xdr:spPr bwMode="auto">
        <a:xfrm>
          <a:off x="0" y="1285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639</xdr:row>
      <xdr:rowOff>0</xdr:rowOff>
    </xdr:from>
    <xdr:to>
      <xdr:col>0</xdr:col>
      <xdr:colOff>304800</xdr:colOff>
      <xdr:row>640</xdr:row>
      <xdr:rowOff>114300</xdr:rowOff>
    </xdr:to>
    <xdr:sp macro="" textlink="">
      <xdr:nvSpPr>
        <xdr:cNvPr id="3163" name="AutoShape 91">
          <a:extLst>
            <a:ext uri="{FF2B5EF4-FFF2-40B4-BE49-F238E27FC236}">
              <a16:creationId xmlns:a16="http://schemas.microsoft.com/office/drawing/2014/main" id="{DC439372-D8F5-1103-5766-9904A5B62F10}"/>
            </a:ext>
          </a:extLst>
        </xdr:cNvPr>
        <xdr:cNvSpPr>
          <a:spLocks noChangeAspect="1" noChangeArrowheads="1"/>
        </xdr:cNvSpPr>
      </xdr:nvSpPr>
      <xdr:spPr bwMode="auto">
        <a:xfrm>
          <a:off x="0" y="13001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646</xdr:row>
      <xdr:rowOff>0</xdr:rowOff>
    </xdr:from>
    <xdr:to>
      <xdr:col>0</xdr:col>
      <xdr:colOff>304800</xdr:colOff>
      <xdr:row>647</xdr:row>
      <xdr:rowOff>114300</xdr:rowOff>
    </xdr:to>
    <xdr:sp macro="" textlink="">
      <xdr:nvSpPr>
        <xdr:cNvPr id="3164" name="AutoShape 92">
          <a:extLst>
            <a:ext uri="{FF2B5EF4-FFF2-40B4-BE49-F238E27FC236}">
              <a16:creationId xmlns:a16="http://schemas.microsoft.com/office/drawing/2014/main" id="{5C84C2DA-C10F-0701-2741-93D9DB470B2D}"/>
            </a:ext>
          </a:extLst>
        </xdr:cNvPr>
        <xdr:cNvSpPr>
          <a:spLocks noChangeAspect="1" noChangeArrowheads="1"/>
        </xdr:cNvSpPr>
      </xdr:nvSpPr>
      <xdr:spPr bwMode="auto">
        <a:xfrm>
          <a:off x="0" y="13144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653</xdr:row>
      <xdr:rowOff>0</xdr:rowOff>
    </xdr:from>
    <xdr:to>
      <xdr:col>0</xdr:col>
      <xdr:colOff>304800</xdr:colOff>
      <xdr:row>654</xdr:row>
      <xdr:rowOff>114300</xdr:rowOff>
    </xdr:to>
    <xdr:sp macro="" textlink="">
      <xdr:nvSpPr>
        <xdr:cNvPr id="3165" name="AutoShape 93">
          <a:extLst>
            <a:ext uri="{FF2B5EF4-FFF2-40B4-BE49-F238E27FC236}">
              <a16:creationId xmlns:a16="http://schemas.microsoft.com/office/drawing/2014/main" id="{45A2AED3-287C-CD8A-8A62-C1BF8542D163}"/>
            </a:ext>
          </a:extLst>
        </xdr:cNvPr>
        <xdr:cNvSpPr>
          <a:spLocks noChangeAspect="1" noChangeArrowheads="1"/>
        </xdr:cNvSpPr>
      </xdr:nvSpPr>
      <xdr:spPr bwMode="auto">
        <a:xfrm>
          <a:off x="0" y="13287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660</xdr:row>
      <xdr:rowOff>0</xdr:rowOff>
    </xdr:from>
    <xdr:to>
      <xdr:col>0</xdr:col>
      <xdr:colOff>304800</xdr:colOff>
      <xdr:row>661</xdr:row>
      <xdr:rowOff>114300</xdr:rowOff>
    </xdr:to>
    <xdr:sp macro="" textlink="">
      <xdr:nvSpPr>
        <xdr:cNvPr id="3166" name="AutoShape 94">
          <a:extLst>
            <a:ext uri="{FF2B5EF4-FFF2-40B4-BE49-F238E27FC236}">
              <a16:creationId xmlns:a16="http://schemas.microsoft.com/office/drawing/2014/main" id="{15049C55-08B1-CDDC-62AA-FD3926914661}"/>
            </a:ext>
          </a:extLst>
        </xdr:cNvPr>
        <xdr:cNvSpPr>
          <a:spLocks noChangeAspect="1" noChangeArrowheads="1"/>
        </xdr:cNvSpPr>
      </xdr:nvSpPr>
      <xdr:spPr bwMode="auto">
        <a:xfrm>
          <a:off x="0" y="13430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667</xdr:row>
      <xdr:rowOff>0</xdr:rowOff>
    </xdr:from>
    <xdr:to>
      <xdr:col>0</xdr:col>
      <xdr:colOff>304800</xdr:colOff>
      <xdr:row>668</xdr:row>
      <xdr:rowOff>114300</xdr:rowOff>
    </xdr:to>
    <xdr:sp macro="" textlink="">
      <xdr:nvSpPr>
        <xdr:cNvPr id="3167" name="AutoShape 95">
          <a:extLst>
            <a:ext uri="{FF2B5EF4-FFF2-40B4-BE49-F238E27FC236}">
              <a16:creationId xmlns:a16="http://schemas.microsoft.com/office/drawing/2014/main" id="{5A4B073B-27C9-746B-AECC-7206EE5C7B89}"/>
            </a:ext>
          </a:extLst>
        </xdr:cNvPr>
        <xdr:cNvSpPr>
          <a:spLocks noChangeAspect="1" noChangeArrowheads="1"/>
        </xdr:cNvSpPr>
      </xdr:nvSpPr>
      <xdr:spPr bwMode="auto">
        <a:xfrm>
          <a:off x="0" y="13573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674</xdr:row>
      <xdr:rowOff>0</xdr:rowOff>
    </xdr:from>
    <xdr:to>
      <xdr:col>0</xdr:col>
      <xdr:colOff>304800</xdr:colOff>
      <xdr:row>675</xdr:row>
      <xdr:rowOff>114300</xdr:rowOff>
    </xdr:to>
    <xdr:sp macro="" textlink="">
      <xdr:nvSpPr>
        <xdr:cNvPr id="3168" name="AutoShape 96">
          <a:extLst>
            <a:ext uri="{FF2B5EF4-FFF2-40B4-BE49-F238E27FC236}">
              <a16:creationId xmlns:a16="http://schemas.microsoft.com/office/drawing/2014/main" id="{1F2FB8C9-9F31-8985-58C4-DDD777B9CD5A}"/>
            </a:ext>
          </a:extLst>
        </xdr:cNvPr>
        <xdr:cNvSpPr>
          <a:spLocks noChangeAspect="1" noChangeArrowheads="1"/>
        </xdr:cNvSpPr>
      </xdr:nvSpPr>
      <xdr:spPr bwMode="auto">
        <a:xfrm>
          <a:off x="0" y="1371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681</xdr:row>
      <xdr:rowOff>0</xdr:rowOff>
    </xdr:from>
    <xdr:to>
      <xdr:col>0</xdr:col>
      <xdr:colOff>304800</xdr:colOff>
      <xdr:row>682</xdr:row>
      <xdr:rowOff>114300</xdr:rowOff>
    </xdr:to>
    <xdr:sp macro="" textlink="">
      <xdr:nvSpPr>
        <xdr:cNvPr id="3169" name="AutoShape 97">
          <a:extLst>
            <a:ext uri="{FF2B5EF4-FFF2-40B4-BE49-F238E27FC236}">
              <a16:creationId xmlns:a16="http://schemas.microsoft.com/office/drawing/2014/main" id="{0E078776-83DB-FFEB-12BE-6983E9B41783}"/>
            </a:ext>
          </a:extLst>
        </xdr:cNvPr>
        <xdr:cNvSpPr>
          <a:spLocks noChangeAspect="1" noChangeArrowheads="1"/>
        </xdr:cNvSpPr>
      </xdr:nvSpPr>
      <xdr:spPr bwMode="auto">
        <a:xfrm>
          <a:off x="0" y="13858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688</xdr:row>
      <xdr:rowOff>0</xdr:rowOff>
    </xdr:from>
    <xdr:to>
      <xdr:col>0</xdr:col>
      <xdr:colOff>304800</xdr:colOff>
      <xdr:row>689</xdr:row>
      <xdr:rowOff>114300</xdr:rowOff>
    </xdr:to>
    <xdr:sp macro="" textlink="">
      <xdr:nvSpPr>
        <xdr:cNvPr id="3170" name="AutoShape 98">
          <a:extLst>
            <a:ext uri="{FF2B5EF4-FFF2-40B4-BE49-F238E27FC236}">
              <a16:creationId xmlns:a16="http://schemas.microsoft.com/office/drawing/2014/main" id="{F1484649-F5E8-9BE8-B7B5-10DDB7E9DE02}"/>
            </a:ext>
          </a:extLst>
        </xdr:cNvPr>
        <xdr:cNvSpPr>
          <a:spLocks noChangeAspect="1" noChangeArrowheads="1"/>
        </xdr:cNvSpPr>
      </xdr:nvSpPr>
      <xdr:spPr bwMode="auto">
        <a:xfrm>
          <a:off x="0" y="1400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695</xdr:row>
      <xdr:rowOff>0</xdr:rowOff>
    </xdr:from>
    <xdr:to>
      <xdr:col>0</xdr:col>
      <xdr:colOff>304800</xdr:colOff>
      <xdr:row>696</xdr:row>
      <xdr:rowOff>114300</xdr:rowOff>
    </xdr:to>
    <xdr:sp macro="" textlink="">
      <xdr:nvSpPr>
        <xdr:cNvPr id="3171" name="AutoShape 99">
          <a:extLst>
            <a:ext uri="{FF2B5EF4-FFF2-40B4-BE49-F238E27FC236}">
              <a16:creationId xmlns:a16="http://schemas.microsoft.com/office/drawing/2014/main" id="{77591CD3-9504-91BD-E394-69F182143C37}"/>
            </a:ext>
          </a:extLst>
        </xdr:cNvPr>
        <xdr:cNvSpPr>
          <a:spLocks noChangeAspect="1" noChangeArrowheads="1"/>
        </xdr:cNvSpPr>
      </xdr:nvSpPr>
      <xdr:spPr bwMode="auto">
        <a:xfrm>
          <a:off x="0" y="14144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702</xdr:row>
      <xdr:rowOff>0</xdr:rowOff>
    </xdr:from>
    <xdr:to>
      <xdr:col>0</xdr:col>
      <xdr:colOff>304800</xdr:colOff>
      <xdr:row>703</xdr:row>
      <xdr:rowOff>114300</xdr:rowOff>
    </xdr:to>
    <xdr:sp macro="" textlink="">
      <xdr:nvSpPr>
        <xdr:cNvPr id="3172" name="AutoShape 100">
          <a:extLst>
            <a:ext uri="{FF2B5EF4-FFF2-40B4-BE49-F238E27FC236}">
              <a16:creationId xmlns:a16="http://schemas.microsoft.com/office/drawing/2014/main" id="{DE889B99-8BE6-27D8-177D-210A0282B78C}"/>
            </a:ext>
          </a:extLst>
        </xdr:cNvPr>
        <xdr:cNvSpPr>
          <a:spLocks noChangeAspect="1" noChangeArrowheads="1"/>
        </xdr:cNvSpPr>
      </xdr:nvSpPr>
      <xdr:spPr bwMode="auto">
        <a:xfrm>
          <a:off x="0" y="14287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709</xdr:row>
      <xdr:rowOff>0</xdr:rowOff>
    </xdr:from>
    <xdr:to>
      <xdr:col>0</xdr:col>
      <xdr:colOff>304800</xdr:colOff>
      <xdr:row>710</xdr:row>
      <xdr:rowOff>114300</xdr:rowOff>
    </xdr:to>
    <xdr:sp macro="" textlink="">
      <xdr:nvSpPr>
        <xdr:cNvPr id="3173" name="AutoShape 101">
          <a:extLst>
            <a:ext uri="{FF2B5EF4-FFF2-40B4-BE49-F238E27FC236}">
              <a16:creationId xmlns:a16="http://schemas.microsoft.com/office/drawing/2014/main" id="{2216692B-0A84-5B03-9D6A-F9D33E6F7C47}"/>
            </a:ext>
          </a:extLst>
        </xdr:cNvPr>
        <xdr:cNvSpPr>
          <a:spLocks noChangeAspect="1" noChangeArrowheads="1"/>
        </xdr:cNvSpPr>
      </xdr:nvSpPr>
      <xdr:spPr bwMode="auto">
        <a:xfrm>
          <a:off x="0" y="14430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716</xdr:row>
      <xdr:rowOff>0</xdr:rowOff>
    </xdr:from>
    <xdr:to>
      <xdr:col>0</xdr:col>
      <xdr:colOff>304800</xdr:colOff>
      <xdr:row>717</xdr:row>
      <xdr:rowOff>114300</xdr:rowOff>
    </xdr:to>
    <xdr:sp macro="" textlink="">
      <xdr:nvSpPr>
        <xdr:cNvPr id="3174" name="AutoShape 102">
          <a:extLst>
            <a:ext uri="{FF2B5EF4-FFF2-40B4-BE49-F238E27FC236}">
              <a16:creationId xmlns:a16="http://schemas.microsoft.com/office/drawing/2014/main" id="{3CADCFB9-75AE-932D-C2FB-D6090810C8B7}"/>
            </a:ext>
          </a:extLst>
        </xdr:cNvPr>
        <xdr:cNvSpPr>
          <a:spLocks noChangeAspect="1" noChangeArrowheads="1"/>
        </xdr:cNvSpPr>
      </xdr:nvSpPr>
      <xdr:spPr bwMode="auto">
        <a:xfrm>
          <a:off x="0" y="145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723</xdr:row>
      <xdr:rowOff>0</xdr:rowOff>
    </xdr:from>
    <xdr:to>
      <xdr:col>0</xdr:col>
      <xdr:colOff>304800</xdr:colOff>
      <xdr:row>724</xdr:row>
      <xdr:rowOff>114300</xdr:rowOff>
    </xdr:to>
    <xdr:sp macro="" textlink="">
      <xdr:nvSpPr>
        <xdr:cNvPr id="3175" name="AutoShape 103">
          <a:extLst>
            <a:ext uri="{FF2B5EF4-FFF2-40B4-BE49-F238E27FC236}">
              <a16:creationId xmlns:a16="http://schemas.microsoft.com/office/drawing/2014/main" id="{7B65A95B-6970-481D-E45A-3E893CDB7045}"/>
            </a:ext>
          </a:extLst>
        </xdr:cNvPr>
        <xdr:cNvSpPr>
          <a:spLocks noChangeAspect="1" noChangeArrowheads="1"/>
        </xdr:cNvSpPr>
      </xdr:nvSpPr>
      <xdr:spPr bwMode="auto">
        <a:xfrm>
          <a:off x="0" y="14716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730</xdr:row>
      <xdr:rowOff>0</xdr:rowOff>
    </xdr:from>
    <xdr:to>
      <xdr:col>0</xdr:col>
      <xdr:colOff>304800</xdr:colOff>
      <xdr:row>731</xdr:row>
      <xdr:rowOff>114300</xdr:rowOff>
    </xdr:to>
    <xdr:sp macro="" textlink="">
      <xdr:nvSpPr>
        <xdr:cNvPr id="3176" name="AutoShape 104">
          <a:extLst>
            <a:ext uri="{FF2B5EF4-FFF2-40B4-BE49-F238E27FC236}">
              <a16:creationId xmlns:a16="http://schemas.microsoft.com/office/drawing/2014/main" id="{558539CA-C749-6430-3F7B-AD46E9750CB5}"/>
            </a:ext>
          </a:extLst>
        </xdr:cNvPr>
        <xdr:cNvSpPr>
          <a:spLocks noChangeAspect="1" noChangeArrowheads="1"/>
        </xdr:cNvSpPr>
      </xdr:nvSpPr>
      <xdr:spPr bwMode="auto">
        <a:xfrm>
          <a:off x="0" y="14859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737</xdr:row>
      <xdr:rowOff>0</xdr:rowOff>
    </xdr:from>
    <xdr:to>
      <xdr:col>0</xdr:col>
      <xdr:colOff>304800</xdr:colOff>
      <xdr:row>738</xdr:row>
      <xdr:rowOff>114300</xdr:rowOff>
    </xdr:to>
    <xdr:sp macro="" textlink="">
      <xdr:nvSpPr>
        <xdr:cNvPr id="3177" name="AutoShape 105">
          <a:extLst>
            <a:ext uri="{FF2B5EF4-FFF2-40B4-BE49-F238E27FC236}">
              <a16:creationId xmlns:a16="http://schemas.microsoft.com/office/drawing/2014/main" id="{FC2DF7BC-421C-61E5-AB7C-84062B800F3A}"/>
            </a:ext>
          </a:extLst>
        </xdr:cNvPr>
        <xdr:cNvSpPr>
          <a:spLocks noChangeAspect="1" noChangeArrowheads="1"/>
        </xdr:cNvSpPr>
      </xdr:nvSpPr>
      <xdr:spPr bwMode="auto">
        <a:xfrm>
          <a:off x="0" y="15001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744</xdr:row>
      <xdr:rowOff>0</xdr:rowOff>
    </xdr:from>
    <xdr:to>
      <xdr:col>0</xdr:col>
      <xdr:colOff>304800</xdr:colOff>
      <xdr:row>745</xdr:row>
      <xdr:rowOff>114300</xdr:rowOff>
    </xdr:to>
    <xdr:sp macro="" textlink="">
      <xdr:nvSpPr>
        <xdr:cNvPr id="3178" name="AutoShape 106">
          <a:extLst>
            <a:ext uri="{FF2B5EF4-FFF2-40B4-BE49-F238E27FC236}">
              <a16:creationId xmlns:a16="http://schemas.microsoft.com/office/drawing/2014/main" id="{9DBEEBAC-46A3-79D9-E588-D5A116879904}"/>
            </a:ext>
          </a:extLst>
        </xdr:cNvPr>
        <xdr:cNvSpPr>
          <a:spLocks noChangeAspect="1" noChangeArrowheads="1"/>
        </xdr:cNvSpPr>
      </xdr:nvSpPr>
      <xdr:spPr bwMode="auto">
        <a:xfrm>
          <a:off x="0" y="15144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751</xdr:row>
      <xdr:rowOff>0</xdr:rowOff>
    </xdr:from>
    <xdr:to>
      <xdr:col>0</xdr:col>
      <xdr:colOff>304800</xdr:colOff>
      <xdr:row>752</xdr:row>
      <xdr:rowOff>114300</xdr:rowOff>
    </xdr:to>
    <xdr:sp macro="" textlink="">
      <xdr:nvSpPr>
        <xdr:cNvPr id="3179" name="AutoShape 107">
          <a:extLst>
            <a:ext uri="{FF2B5EF4-FFF2-40B4-BE49-F238E27FC236}">
              <a16:creationId xmlns:a16="http://schemas.microsoft.com/office/drawing/2014/main" id="{05F830A7-EF6E-F8E2-C862-F41217DADD95}"/>
            </a:ext>
          </a:extLst>
        </xdr:cNvPr>
        <xdr:cNvSpPr>
          <a:spLocks noChangeAspect="1" noChangeArrowheads="1"/>
        </xdr:cNvSpPr>
      </xdr:nvSpPr>
      <xdr:spPr bwMode="auto">
        <a:xfrm>
          <a:off x="0" y="15287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758</xdr:row>
      <xdr:rowOff>0</xdr:rowOff>
    </xdr:from>
    <xdr:to>
      <xdr:col>0</xdr:col>
      <xdr:colOff>304800</xdr:colOff>
      <xdr:row>759</xdr:row>
      <xdr:rowOff>114300</xdr:rowOff>
    </xdr:to>
    <xdr:sp macro="" textlink="">
      <xdr:nvSpPr>
        <xdr:cNvPr id="3180" name="AutoShape 108">
          <a:extLst>
            <a:ext uri="{FF2B5EF4-FFF2-40B4-BE49-F238E27FC236}">
              <a16:creationId xmlns:a16="http://schemas.microsoft.com/office/drawing/2014/main" id="{7C649F46-39B0-F55B-C32C-FCEAB1B3D140}"/>
            </a:ext>
          </a:extLst>
        </xdr:cNvPr>
        <xdr:cNvSpPr>
          <a:spLocks noChangeAspect="1" noChangeArrowheads="1"/>
        </xdr:cNvSpPr>
      </xdr:nvSpPr>
      <xdr:spPr bwMode="auto">
        <a:xfrm>
          <a:off x="0" y="1543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765</xdr:row>
      <xdr:rowOff>0</xdr:rowOff>
    </xdr:from>
    <xdr:to>
      <xdr:col>0</xdr:col>
      <xdr:colOff>304800</xdr:colOff>
      <xdr:row>766</xdr:row>
      <xdr:rowOff>114300</xdr:rowOff>
    </xdr:to>
    <xdr:sp macro="" textlink="">
      <xdr:nvSpPr>
        <xdr:cNvPr id="3181" name="AutoShape 109">
          <a:extLst>
            <a:ext uri="{FF2B5EF4-FFF2-40B4-BE49-F238E27FC236}">
              <a16:creationId xmlns:a16="http://schemas.microsoft.com/office/drawing/2014/main" id="{671D3D5B-8C49-16F2-1A9C-55D52A02BF31}"/>
            </a:ext>
          </a:extLst>
        </xdr:cNvPr>
        <xdr:cNvSpPr>
          <a:spLocks noChangeAspect="1" noChangeArrowheads="1"/>
        </xdr:cNvSpPr>
      </xdr:nvSpPr>
      <xdr:spPr bwMode="auto">
        <a:xfrm>
          <a:off x="0" y="15573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772</xdr:row>
      <xdr:rowOff>0</xdr:rowOff>
    </xdr:from>
    <xdr:to>
      <xdr:col>0</xdr:col>
      <xdr:colOff>304800</xdr:colOff>
      <xdr:row>773</xdr:row>
      <xdr:rowOff>114300</xdr:rowOff>
    </xdr:to>
    <xdr:sp macro="" textlink="">
      <xdr:nvSpPr>
        <xdr:cNvPr id="3182" name="AutoShape 110">
          <a:extLst>
            <a:ext uri="{FF2B5EF4-FFF2-40B4-BE49-F238E27FC236}">
              <a16:creationId xmlns:a16="http://schemas.microsoft.com/office/drawing/2014/main" id="{28D49EC7-6406-BA4B-2772-3C56CC87DEDB}"/>
            </a:ext>
          </a:extLst>
        </xdr:cNvPr>
        <xdr:cNvSpPr>
          <a:spLocks noChangeAspect="1" noChangeArrowheads="1"/>
        </xdr:cNvSpPr>
      </xdr:nvSpPr>
      <xdr:spPr bwMode="auto">
        <a:xfrm>
          <a:off x="0" y="15716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779</xdr:row>
      <xdr:rowOff>0</xdr:rowOff>
    </xdr:from>
    <xdr:to>
      <xdr:col>0</xdr:col>
      <xdr:colOff>304800</xdr:colOff>
      <xdr:row>780</xdr:row>
      <xdr:rowOff>114300</xdr:rowOff>
    </xdr:to>
    <xdr:sp macro="" textlink="">
      <xdr:nvSpPr>
        <xdr:cNvPr id="3183" name="AutoShape 111">
          <a:extLst>
            <a:ext uri="{FF2B5EF4-FFF2-40B4-BE49-F238E27FC236}">
              <a16:creationId xmlns:a16="http://schemas.microsoft.com/office/drawing/2014/main" id="{013E55FB-BBB1-C8F0-12AD-0C02F1C945EB}"/>
            </a:ext>
          </a:extLst>
        </xdr:cNvPr>
        <xdr:cNvSpPr>
          <a:spLocks noChangeAspect="1" noChangeArrowheads="1"/>
        </xdr:cNvSpPr>
      </xdr:nvSpPr>
      <xdr:spPr bwMode="auto">
        <a:xfrm>
          <a:off x="0" y="15859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786</xdr:row>
      <xdr:rowOff>0</xdr:rowOff>
    </xdr:from>
    <xdr:to>
      <xdr:col>0</xdr:col>
      <xdr:colOff>304800</xdr:colOff>
      <xdr:row>787</xdr:row>
      <xdr:rowOff>114300</xdr:rowOff>
    </xdr:to>
    <xdr:sp macro="" textlink="">
      <xdr:nvSpPr>
        <xdr:cNvPr id="3184" name="AutoShape 112">
          <a:extLst>
            <a:ext uri="{FF2B5EF4-FFF2-40B4-BE49-F238E27FC236}">
              <a16:creationId xmlns:a16="http://schemas.microsoft.com/office/drawing/2014/main" id="{A5A86101-0BCE-0181-2530-2F206107095D}"/>
            </a:ext>
          </a:extLst>
        </xdr:cNvPr>
        <xdr:cNvSpPr>
          <a:spLocks noChangeAspect="1" noChangeArrowheads="1"/>
        </xdr:cNvSpPr>
      </xdr:nvSpPr>
      <xdr:spPr bwMode="auto">
        <a:xfrm>
          <a:off x="0" y="16002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793</xdr:row>
      <xdr:rowOff>0</xdr:rowOff>
    </xdr:from>
    <xdr:to>
      <xdr:col>0</xdr:col>
      <xdr:colOff>304800</xdr:colOff>
      <xdr:row>794</xdr:row>
      <xdr:rowOff>114300</xdr:rowOff>
    </xdr:to>
    <xdr:sp macro="" textlink="">
      <xdr:nvSpPr>
        <xdr:cNvPr id="3185" name="AutoShape 113">
          <a:extLst>
            <a:ext uri="{FF2B5EF4-FFF2-40B4-BE49-F238E27FC236}">
              <a16:creationId xmlns:a16="http://schemas.microsoft.com/office/drawing/2014/main" id="{1D85CB93-75E6-E414-9CFA-1414EC6F1D2A}"/>
            </a:ext>
          </a:extLst>
        </xdr:cNvPr>
        <xdr:cNvSpPr>
          <a:spLocks noChangeAspect="1" noChangeArrowheads="1"/>
        </xdr:cNvSpPr>
      </xdr:nvSpPr>
      <xdr:spPr bwMode="auto">
        <a:xfrm>
          <a:off x="0" y="16144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800</xdr:row>
      <xdr:rowOff>0</xdr:rowOff>
    </xdr:from>
    <xdr:to>
      <xdr:col>0</xdr:col>
      <xdr:colOff>304800</xdr:colOff>
      <xdr:row>801</xdr:row>
      <xdr:rowOff>114300</xdr:rowOff>
    </xdr:to>
    <xdr:sp macro="" textlink="">
      <xdr:nvSpPr>
        <xdr:cNvPr id="3186" name="AutoShape 114">
          <a:extLst>
            <a:ext uri="{FF2B5EF4-FFF2-40B4-BE49-F238E27FC236}">
              <a16:creationId xmlns:a16="http://schemas.microsoft.com/office/drawing/2014/main" id="{83E515C3-92A3-31B0-FD17-48A9EA15B88F}"/>
            </a:ext>
          </a:extLst>
        </xdr:cNvPr>
        <xdr:cNvSpPr>
          <a:spLocks noChangeAspect="1" noChangeArrowheads="1"/>
        </xdr:cNvSpPr>
      </xdr:nvSpPr>
      <xdr:spPr bwMode="auto">
        <a:xfrm>
          <a:off x="0" y="1628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807</xdr:row>
      <xdr:rowOff>0</xdr:rowOff>
    </xdr:from>
    <xdr:to>
      <xdr:col>0</xdr:col>
      <xdr:colOff>304800</xdr:colOff>
      <xdr:row>808</xdr:row>
      <xdr:rowOff>114300</xdr:rowOff>
    </xdr:to>
    <xdr:sp macro="" textlink="">
      <xdr:nvSpPr>
        <xdr:cNvPr id="3187" name="AutoShape 115">
          <a:extLst>
            <a:ext uri="{FF2B5EF4-FFF2-40B4-BE49-F238E27FC236}">
              <a16:creationId xmlns:a16="http://schemas.microsoft.com/office/drawing/2014/main" id="{1AA34DF7-B8E3-5D1E-BCBD-13FB3E62588E}"/>
            </a:ext>
          </a:extLst>
        </xdr:cNvPr>
        <xdr:cNvSpPr>
          <a:spLocks noChangeAspect="1" noChangeArrowheads="1"/>
        </xdr:cNvSpPr>
      </xdr:nvSpPr>
      <xdr:spPr bwMode="auto">
        <a:xfrm>
          <a:off x="0" y="16430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814</xdr:row>
      <xdr:rowOff>0</xdr:rowOff>
    </xdr:from>
    <xdr:to>
      <xdr:col>0</xdr:col>
      <xdr:colOff>304800</xdr:colOff>
      <xdr:row>815</xdr:row>
      <xdr:rowOff>114300</xdr:rowOff>
    </xdr:to>
    <xdr:sp macro="" textlink="">
      <xdr:nvSpPr>
        <xdr:cNvPr id="3188" name="AutoShape 116">
          <a:extLst>
            <a:ext uri="{FF2B5EF4-FFF2-40B4-BE49-F238E27FC236}">
              <a16:creationId xmlns:a16="http://schemas.microsoft.com/office/drawing/2014/main" id="{B350B66F-E8AE-4FAC-C499-C9B532ECC272}"/>
            </a:ext>
          </a:extLst>
        </xdr:cNvPr>
        <xdr:cNvSpPr>
          <a:spLocks noChangeAspect="1" noChangeArrowheads="1"/>
        </xdr:cNvSpPr>
      </xdr:nvSpPr>
      <xdr:spPr bwMode="auto">
        <a:xfrm>
          <a:off x="0" y="16573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821</xdr:row>
      <xdr:rowOff>0</xdr:rowOff>
    </xdr:from>
    <xdr:to>
      <xdr:col>0</xdr:col>
      <xdr:colOff>304800</xdr:colOff>
      <xdr:row>822</xdr:row>
      <xdr:rowOff>114300</xdr:rowOff>
    </xdr:to>
    <xdr:sp macro="" textlink="">
      <xdr:nvSpPr>
        <xdr:cNvPr id="3189" name="AutoShape 117">
          <a:extLst>
            <a:ext uri="{FF2B5EF4-FFF2-40B4-BE49-F238E27FC236}">
              <a16:creationId xmlns:a16="http://schemas.microsoft.com/office/drawing/2014/main" id="{D8C85068-5827-A60D-9CF3-FD2D92D47A6F}"/>
            </a:ext>
          </a:extLst>
        </xdr:cNvPr>
        <xdr:cNvSpPr>
          <a:spLocks noChangeAspect="1" noChangeArrowheads="1"/>
        </xdr:cNvSpPr>
      </xdr:nvSpPr>
      <xdr:spPr bwMode="auto">
        <a:xfrm>
          <a:off x="0" y="16716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828</xdr:row>
      <xdr:rowOff>0</xdr:rowOff>
    </xdr:from>
    <xdr:to>
      <xdr:col>0</xdr:col>
      <xdr:colOff>304800</xdr:colOff>
      <xdr:row>829</xdr:row>
      <xdr:rowOff>114300</xdr:rowOff>
    </xdr:to>
    <xdr:sp macro="" textlink="">
      <xdr:nvSpPr>
        <xdr:cNvPr id="3190" name="AutoShape 118">
          <a:extLst>
            <a:ext uri="{FF2B5EF4-FFF2-40B4-BE49-F238E27FC236}">
              <a16:creationId xmlns:a16="http://schemas.microsoft.com/office/drawing/2014/main" id="{FEFD371D-AC17-A4EA-D209-9027A95FE005}"/>
            </a:ext>
          </a:extLst>
        </xdr:cNvPr>
        <xdr:cNvSpPr>
          <a:spLocks noChangeAspect="1" noChangeArrowheads="1"/>
        </xdr:cNvSpPr>
      </xdr:nvSpPr>
      <xdr:spPr bwMode="auto">
        <a:xfrm>
          <a:off x="0" y="16859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835</xdr:row>
      <xdr:rowOff>0</xdr:rowOff>
    </xdr:from>
    <xdr:to>
      <xdr:col>0</xdr:col>
      <xdr:colOff>304800</xdr:colOff>
      <xdr:row>836</xdr:row>
      <xdr:rowOff>114300</xdr:rowOff>
    </xdr:to>
    <xdr:sp macro="" textlink="">
      <xdr:nvSpPr>
        <xdr:cNvPr id="3191" name="AutoShape 119">
          <a:extLst>
            <a:ext uri="{FF2B5EF4-FFF2-40B4-BE49-F238E27FC236}">
              <a16:creationId xmlns:a16="http://schemas.microsoft.com/office/drawing/2014/main" id="{8F0926CB-E451-1943-59D1-F9966F9BB5B1}"/>
            </a:ext>
          </a:extLst>
        </xdr:cNvPr>
        <xdr:cNvSpPr>
          <a:spLocks noChangeAspect="1" noChangeArrowheads="1"/>
        </xdr:cNvSpPr>
      </xdr:nvSpPr>
      <xdr:spPr bwMode="auto">
        <a:xfrm>
          <a:off x="0" y="17002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842</xdr:row>
      <xdr:rowOff>0</xdr:rowOff>
    </xdr:from>
    <xdr:to>
      <xdr:col>0</xdr:col>
      <xdr:colOff>304800</xdr:colOff>
      <xdr:row>843</xdr:row>
      <xdr:rowOff>114300</xdr:rowOff>
    </xdr:to>
    <xdr:sp macro="" textlink="">
      <xdr:nvSpPr>
        <xdr:cNvPr id="3192" name="AutoShape 120">
          <a:extLst>
            <a:ext uri="{FF2B5EF4-FFF2-40B4-BE49-F238E27FC236}">
              <a16:creationId xmlns:a16="http://schemas.microsoft.com/office/drawing/2014/main" id="{AFFB193E-F8CC-FE48-09F5-0606BED493AB}"/>
            </a:ext>
          </a:extLst>
        </xdr:cNvPr>
        <xdr:cNvSpPr>
          <a:spLocks noChangeAspect="1" noChangeArrowheads="1"/>
        </xdr:cNvSpPr>
      </xdr:nvSpPr>
      <xdr:spPr bwMode="auto">
        <a:xfrm>
          <a:off x="0" y="1714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849</xdr:row>
      <xdr:rowOff>0</xdr:rowOff>
    </xdr:from>
    <xdr:to>
      <xdr:col>0</xdr:col>
      <xdr:colOff>304800</xdr:colOff>
      <xdr:row>850</xdr:row>
      <xdr:rowOff>114300</xdr:rowOff>
    </xdr:to>
    <xdr:sp macro="" textlink="">
      <xdr:nvSpPr>
        <xdr:cNvPr id="3193" name="AutoShape 121">
          <a:extLst>
            <a:ext uri="{FF2B5EF4-FFF2-40B4-BE49-F238E27FC236}">
              <a16:creationId xmlns:a16="http://schemas.microsoft.com/office/drawing/2014/main" id="{C5DB8270-2DFA-1CA4-0D98-73D33D73D2A2}"/>
            </a:ext>
          </a:extLst>
        </xdr:cNvPr>
        <xdr:cNvSpPr>
          <a:spLocks noChangeAspect="1" noChangeArrowheads="1"/>
        </xdr:cNvSpPr>
      </xdr:nvSpPr>
      <xdr:spPr bwMode="auto">
        <a:xfrm>
          <a:off x="0" y="17287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856</xdr:row>
      <xdr:rowOff>0</xdr:rowOff>
    </xdr:from>
    <xdr:to>
      <xdr:col>0</xdr:col>
      <xdr:colOff>304800</xdr:colOff>
      <xdr:row>857</xdr:row>
      <xdr:rowOff>114300</xdr:rowOff>
    </xdr:to>
    <xdr:sp macro="" textlink="">
      <xdr:nvSpPr>
        <xdr:cNvPr id="3194" name="AutoShape 122">
          <a:extLst>
            <a:ext uri="{FF2B5EF4-FFF2-40B4-BE49-F238E27FC236}">
              <a16:creationId xmlns:a16="http://schemas.microsoft.com/office/drawing/2014/main" id="{387FE122-313D-529F-1A6D-EB8B6D6F10A0}"/>
            </a:ext>
          </a:extLst>
        </xdr:cNvPr>
        <xdr:cNvSpPr>
          <a:spLocks noChangeAspect="1" noChangeArrowheads="1"/>
        </xdr:cNvSpPr>
      </xdr:nvSpPr>
      <xdr:spPr bwMode="auto">
        <a:xfrm>
          <a:off x="0" y="17430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863</xdr:row>
      <xdr:rowOff>0</xdr:rowOff>
    </xdr:from>
    <xdr:to>
      <xdr:col>0</xdr:col>
      <xdr:colOff>304800</xdr:colOff>
      <xdr:row>864</xdr:row>
      <xdr:rowOff>114300</xdr:rowOff>
    </xdr:to>
    <xdr:sp macro="" textlink="">
      <xdr:nvSpPr>
        <xdr:cNvPr id="3195" name="AutoShape 123">
          <a:extLst>
            <a:ext uri="{FF2B5EF4-FFF2-40B4-BE49-F238E27FC236}">
              <a16:creationId xmlns:a16="http://schemas.microsoft.com/office/drawing/2014/main" id="{69997B68-788A-8D37-FB16-2550E6F6DD1C}"/>
            </a:ext>
          </a:extLst>
        </xdr:cNvPr>
        <xdr:cNvSpPr>
          <a:spLocks noChangeAspect="1" noChangeArrowheads="1"/>
        </xdr:cNvSpPr>
      </xdr:nvSpPr>
      <xdr:spPr bwMode="auto">
        <a:xfrm>
          <a:off x="0" y="17573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870</xdr:row>
      <xdr:rowOff>0</xdr:rowOff>
    </xdr:from>
    <xdr:to>
      <xdr:col>0</xdr:col>
      <xdr:colOff>304800</xdr:colOff>
      <xdr:row>871</xdr:row>
      <xdr:rowOff>114300</xdr:rowOff>
    </xdr:to>
    <xdr:sp macro="" textlink="">
      <xdr:nvSpPr>
        <xdr:cNvPr id="3196" name="AutoShape 124">
          <a:extLst>
            <a:ext uri="{FF2B5EF4-FFF2-40B4-BE49-F238E27FC236}">
              <a16:creationId xmlns:a16="http://schemas.microsoft.com/office/drawing/2014/main" id="{759906B9-9640-9363-6138-F3E841B307A4}"/>
            </a:ext>
          </a:extLst>
        </xdr:cNvPr>
        <xdr:cNvSpPr>
          <a:spLocks noChangeAspect="1" noChangeArrowheads="1"/>
        </xdr:cNvSpPr>
      </xdr:nvSpPr>
      <xdr:spPr bwMode="auto">
        <a:xfrm>
          <a:off x="0" y="17716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877</xdr:row>
      <xdr:rowOff>0</xdr:rowOff>
    </xdr:from>
    <xdr:to>
      <xdr:col>0</xdr:col>
      <xdr:colOff>304800</xdr:colOff>
      <xdr:row>878</xdr:row>
      <xdr:rowOff>114300</xdr:rowOff>
    </xdr:to>
    <xdr:sp macro="" textlink="">
      <xdr:nvSpPr>
        <xdr:cNvPr id="3197" name="AutoShape 125">
          <a:extLst>
            <a:ext uri="{FF2B5EF4-FFF2-40B4-BE49-F238E27FC236}">
              <a16:creationId xmlns:a16="http://schemas.microsoft.com/office/drawing/2014/main" id="{DB28BE4F-244B-0B68-2AF7-A032D0F7BF81}"/>
            </a:ext>
          </a:extLst>
        </xdr:cNvPr>
        <xdr:cNvSpPr>
          <a:spLocks noChangeAspect="1" noChangeArrowheads="1"/>
        </xdr:cNvSpPr>
      </xdr:nvSpPr>
      <xdr:spPr bwMode="auto">
        <a:xfrm>
          <a:off x="0" y="17859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884</xdr:row>
      <xdr:rowOff>0</xdr:rowOff>
    </xdr:from>
    <xdr:to>
      <xdr:col>0</xdr:col>
      <xdr:colOff>304800</xdr:colOff>
      <xdr:row>885</xdr:row>
      <xdr:rowOff>114300</xdr:rowOff>
    </xdr:to>
    <xdr:sp macro="" textlink="">
      <xdr:nvSpPr>
        <xdr:cNvPr id="3198" name="AutoShape 126">
          <a:extLst>
            <a:ext uri="{FF2B5EF4-FFF2-40B4-BE49-F238E27FC236}">
              <a16:creationId xmlns:a16="http://schemas.microsoft.com/office/drawing/2014/main" id="{A5D2C1DE-6A32-3D36-DEEB-5303AE3A0A13}"/>
            </a:ext>
          </a:extLst>
        </xdr:cNvPr>
        <xdr:cNvSpPr>
          <a:spLocks noChangeAspect="1" noChangeArrowheads="1"/>
        </xdr:cNvSpPr>
      </xdr:nvSpPr>
      <xdr:spPr bwMode="auto">
        <a:xfrm>
          <a:off x="0" y="1800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891</xdr:row>
      <xdr:rowOff>0</xdr:rowOff>
    </xdr:from>
    <xdr:to>
      <xdr:col>0</xdr:col>
      <xdr:colOff>304800</xdr:colOff>
      <xdr:row>892</xdr:row>
      <xdr:rowOff>114300</xdr:rowOff>
    </xdr:to>
    <xdr:sp macro="" textlink="">
      <xdr:nvSpPr>
        <xdr:cNvPr id="3199" name="AutoShape 127">
          <a:extLst>
            <a:ext uri="{FF2B5EF4-FFF2-40B4-BE49-F238E27FC236}">
              <a16:creationId xmlns:a16="http://schemas.microsoft.com/office/drawing/2014/main" id="{CFEEA6D1-18F5-C78A-8532-78190F19B140}"/>
            </a:ext>
          </a:extLst>
        </xdr:cNvPr>
        <xdr:cNvSpPr>
          <a:spLocks noChangeAspect="1" noChangeArrowheads="1"/>
        </xdr:cNvSpPr>
      </xdr:nvSpPr>
      <xdr:spPr bwMode="auto">
        <a:xfrm>
          <a:off x="0" y="1814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898</xdr:row>
      <xdr:rowOff>0</xdr:rowOff>
    </xdr:from>
    <xdr:to>
      <xdr:col>0</xdr:col>
      <xdr:colOff>304800</xdr:colOff>
      <xdr:row>899</xdr:row>
      <xdr:rowOff>114300</xdr:rowOff>
    </xdr:to>
    <xdr:sp macro="" textlink="">
      <xdr:nvSpPr>
        <xdr:cNvPr id="3200" name="AutoShape 128">
          <a:extLst>
            <a:ext uri="{FF2B5EF4-FFF2-40B4-BE49-F238E27FC236}">
              <a16:creationId xmlns:a16="http://schemas.microsoft.com/office/drawing/2014/main" id="{86279FDF-FA7F-30E9-8E4E-4641248DF69C}"/>
            </a:ext>
          </a:extLst>
        </xdr:cNvPr>
        <xdr:cNvSpPr>
          <a:spLocks noChangeAspect="1" noChangeArrowheads="1"/>
        </xdr:cNvSpPr>
      </xdr:nvSpPr>
      <xdr:spPr bwMode="auto">
        <a:xfrm>
          <a:off x="0" y="18288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905</xdr:row>
      <xdr:rowOff>0</xdr:rowOff>
    </xdr:from>
    <xdr:to>
      <xdr:col>0</xdr:col>
      <xdr:colOff>304800</xdr:colOff>
      <xdr:row>906</xdr:row>
      <xdr:rowOff>114300</xdr:rowOff>
    </xdr:to>
    <xdr:sp macro="" textlink="">
      <xdr:nvSpPr>
        <xdr:cNvPr id="3201" name="AutoShape 129">
          <a:extLst>
            <a:ext uri="{FF2B5EF4-FFF2-40B4-BE49-F238E27FC236}">
              <a16:creationId xmlns:a16="http://schemas.microsoft.com/office/drawing/2014/main" id="{04E25A2F-1A76-AE6B-6B7F-1B40D82588AC}"/>
            </a:ext>
          </a:extLst>
        </xdr:cNvPr>
        <xdr:cNvSpPr>
          <a:spLocks noChangeAspect="1" noChangeArrowheads="1"/>
        </xdr:cNvSpPr>
      </xdr:nvSpPr>
      <xdr:spPr bwMode="auto">
        <a:xfrm>
          <a:off x="0" y="18430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912</xdr:row>
      <xdr:rowOff>0</xdr:rowOff>
    </xdr:from>
    <xdr:to>
      <xdr:col>0</xdr:col>
      <xdr:colOff>304800</xdr:colOff>
      <xdr:row>913</xdr:row>
      <xdr:rowOff>114300</xdr:rowOff>
    </xdr:to>
    <xdr:sp macro="" textlink="">
      <xdr:nvSpPr>
        <xdr:cNvPr id="3202" name="AutoShape 130">
          <a:extLst>
            <a:ext uri="{FF2B5EF4-FFF2-40B4-BE49-F238E27FC236}">
              <a16:creationId xmlns:a16="http://schemas.microsoft.com/office/drawing/2014/main" id="{42BB9467-AF7F-764C-2377-54C978EB2E8C}"/>
            </a:ext>
          </a:extLst>
        </xdr:cNvPr>
        <xdr:cNvSpPr>
          <a:spLocks noChangeAspect="1" noChangeArrowheads="1"/>
        </xdr:cNvSpPr>
      </xdr:nvSpPr>
      <xdr:spPr bwMode="auto">
        <a:xfrm>
          <a:off x="0" y="18573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919</xdr:row>
      <xdr:rowOff>0</xdr:rowOff>
    </xdr:from>
    <xdr:to>
      <xdr:col>0</xdr:col>
      <xdr:colOff>304800</xdr:colOff>
      <xdr:row>920</xdr:row>
      <xdr:rowOff>114300</xdr:rowOff>
    </xdr:to>
    <xdr:sp macro="" textlink="">
      <xdr:nvSpPr>
        <xdr:cNvPr id="3203" name="AutoShape 131">
          <a:extLst>
            <a:ext uri="{FF2B5EF4-FFF2-40B4-BE49-F238E27FC236}">
              <a16:creationId xmlns:a16="http://schemas.microsoft.com/office/drawing/2014/main" id="{32AD7C12-B354-295C-9FE9-9A3175EB0386}"/>
            </a:ext>
          </a:extLst>
        </xdr:cNvPr>
        <xdr:cNvSpPr>
          <a:spLocks noChangeAspect="1" noChangeArrowheads="1"/>
        </xdr:cNvSpPr>
      </xdr:nvSpPr>
      <xdr:spPr bwMode="auto">
        <a:xfrm>
          <a:off x="0" y="18716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926</xdr:row>
      <xdr:rowOff>0</xdr:rowOff>
    </xdr:from>
    <xdr:to>
      <xdr:col>0</xdr:col>
      <xdr:colOff>304800</xdr:colOff>
      <xdr:row>927</xdr:row>
      <xdr:rowOff>114300</xdr:rowOff>
    </xdr:to>
    <xdr:sp macro="" textlink="">
      <xdr:nvSpPr>
        <xdr:cNvPr id="3204" name="AutoShape 132">
          <a:extLst>
            <a:ext uri="{FF2B5EF4-FFF2-40B4-BE49-F238E27FC236}">
              <a16:creationId xmlns:a16="http://schemas.microsoft.com/office/drawing/2014/main" id="{A2A7D9BB-2DD3-2B4A-6E75-371A2C7FF7B5}"/>
            </a:ext>
          </a:extLst>
        </xdr:cNvPr>
        <xdr:cNvSpPr>
          <a:spLocks noChangeAspect="1" noChangeArrowheads="1"/>
        </xdr:cNvSpPr>
      </xdr:nvSpPr>
      <xdr:spPr bwMode="auto">
        <a:xfrm>
          <a:off x="0" y="18859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933</xdr:row>
      <xdr:rowOff>0</xdr:rowOff>
    </xdr:from>
    <xdr:to>
      <xdr:col>0</xdr:col>
      <xdr:colOff>304800</xdr:colOff>
      <xdr:row>934</xdr:row>
      <xdr:rowOff>114300</xdr:rowOff>
    </xdr:to>
    <xdr:sp macro="" textlink="">
      <xdr:nvSpPr>
        <xdr:cNvPr id="3205" name="AutoShape 133">
          <a:extLst>
            <a:ext uri="{FF2B5EF4-FFF2-40B4-BE49-F238E27FC236}">
              <a16:creationId xmlns:a16="http://schemas.microsoft.com/office/drawing/2014/main" id="{BA99AE00-CE3B-1E23-12F1-1933770EC0EB}"/>
            </a:ext>
          </a:extLst>
        </xdr:cNvPr>
        <xdr:cNvSpPr>
          <a:spLocks noChangeAspect="1" noChangeArrowheads="1"/>
        </xdr:cNvSpPr>
      </xdr:nvSpPr>
      <xdr:spPr bwMode="auto">
        <a:xfrm>
          <a:off x="0" y="1900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940</xdr:row>
      <xdr:rowOff>0</xdr:rowOff>
    </xdr:from>
    <xdr:to>
      <xdr:col>0</xdr:col>
      <xdr:colOff>304800</xdr:colOff>
      <xdr:row>941</xdr:row>
      <xdr:rowOff>114300</xdr:rowOff>
    </xdr:to>
    <xdr:sp macro="" textlink="">
      <xdr:nvSpPr>
        <xdr:cNvPr id="3206" name="AutoShape 134">
          <a:extLst>
            <a:ext uri="{FF2B5EF4-FFF2-40B4-BE49-F238E27FC236}">
              <a16:creationId xmlns:a16="http://schemas.microsoft.com/office/drawing/2014/main" id="{8EE0FEB3-2904-846A-4B66-F3A1178F8FCC}"/>
            </a:ext>
          </a:extLst>
        </xdr:cNvPr>
        <xdr:cNvSpPr>
          <a:spLocks noChangeAspect="1" noChangeArrowheads="1"/>
        </xdr:cNvSpPr>
      </xdr:nvSpPr>
      <xdr:spPr bwMode="auto">
        <a:xfrm>
          <a:off x="0" y="1914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947</xdr:row>
      <xdr:rowOff>0</xdr:rowOff>
    </xdr:from>
    <xdr:to>
      <xdr:col>0</xdr:col>
      <xdr:colOff>304800</xdr:colOff>
      <xdr:row>948</xdr:row>
      <xdr:rowOff>114300</xdr:rowOff>
    </xdr:to>
    <xdr:sp macro="" textlink="">
      <xdr:nvSpPr>
        <xdr:cNvPr id="3207" name="AutoShape 135">
          <a:extLst>
            <a:ext uri="{FF2B5EF4-FFF2-40B4-BE49-F238E27FC236}">
              <a16:creationId xmlns:a16="http://schemas.microsoft.com/office/drawing/2014/main" id="{FAA846AE-88AE-702F-1D3E-8A902D79B3BC}"/>
            </a:ext>
          </a:extLst>
        </xdr:cNvPr>
        <xdr:cNvSpPr>
          <a:spLocks noChangeAspect="1" noChangeArrowheads="1"/>
        </xdr:cNvSpPr>
      </xdr:nvSpPr>
      <xdr:spPr bwMode="auto">
        <a:xfrm>
          <a:off x="0" y="19288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954</xdr:row>
      <xdr:rowOff>0</xdr:rowOff>
    </xdr:from>
    <xdr:to>
      <xdr:col>0</xdr:col>
      <xdr:colOff>304800</xdr:colOff>
      <xdr:row>955</xdr:row>
      <xdr:rowOff>114300</xdr:rowOff>
    </xdr:to>
    <xdr:sp macro="" textlink="">
      <xdr:nvSpPr>
        <xdr:cNvPr id="3208" name="AutoShape 136">
          <a:extLst>
            <a:ext uri="{FF2B5EF4-FFF2-40B4-BE49-F238E27FC236}">
              <a16:creationId xmlns:a16="http://schemas.microsoft.com/office/drawing/2014/main" id="{B9E3B35D-7A10-4CFE-6D2C-4758930595D1}"/>
            </a:ext>
          </a:extLst>
        </xdr:cNvPr>
        <xdr:cNvSpPr>
          <a:spLocks noChangeAspect="1" noChangeArrowheads="1"/>
        </xdr:cNvSpPr>
      </xdr:nvSpPr>
      <xdr:spPr bwMode="auto">
        <a:xfrm>
          <a:off x="0" y="1943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961</xdr:row>
      <xdr:rowOff>0</xdr:rowOff>
    </xdr:from>
    <xdr:to>
      <xdr:col>0</xdr:col>
      <xdr:colOff>304800</xdr:colOff>
      <xdr:row>962</xdr:row>
      <xdr:rowOff>114300</xdr:rowOff>
    </xdr:to>
    <xdr:sp macro="" textlink="">
      <xdr:nvSpPr>
        <xdr:cNvPr id="3209" name="AutoShape 137">
          <a:extLst>
            <a:ext uri="{FF2B5EF4-FFF2-40B4-BE49-F238E27FC236}">
              <a16:creationId xmlns:a16="http://schemas.microsoft.com/office/drawing/2014/main" id="{0A4C2967-FFA0-9656-6D60-F3C6BBAFBD5A}"/>
            </a:ext>
          </a:extLst>
        </xdr:cNvPr>
        <xdr:cNvSpPr>
          <a:spLocks noChangeAspect="1" noChangeArrowheads="1"/>
        </xdr:cNvSpPr>
      </xdr:nvSpPr>
      <xdr:spPr bwMode="auto">
        <a:xfrm>
          <a:off x="0" y="19573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968</xdr:row>
      <xdr:rowOff>0</xdr:rowOff>
    </xdr:from>
    <xdr:to>
      <xdr:col>0</xdr:col>
      <xdr:colOff>304800</xdr:colOff>
      <xdr:row>969</xdr:row>
      <xdr:rowOff>114300</xdr:rowOff>
    </xdr:to>
    <xdr:sp macro="" textlink="">
      <xdr:nvSpPr>
        <xdr:cNvPr id="3210" name="AutoShape 138">
          <a:extLst>
            <a:ext uri="{FF2B5EF4-FFF2-40B4-BE49-F238E27FC236}">
              <a16:creationId xmlns:a16="http://schemas.microsoft.com/office/drawing/2014/main" id="{80B9713E-9BE4-B4FD-5533-4EEE9F9D8466}"/>
            </a:ext>
          </a:extLst>
        </xdr:cNvPr>
        <xdr:cNvSpPr>
          <a:spLocks noChangeAspect="1" noChangeArrowheads="1"/>
        </xdr:cNvSpPr>
      </xdr:nvSpPr>
      <xdr:spPr bwMode="auto">
        <a:xfrm>
          <a:off x="0" y="19716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975</xdr:row>
      <xdr:rowOff>0</xdr:rowOff>
    </xdr:from>
    <xdr:to>
      <xdr:col>0</xdr:col>
      <xdr:colOff>304800</xdr:colOff>
      <xdr:row>976</xdr:row>
      <xdr:rowOff>114300</xdr:rowOff>
    </xdr:to>
    <xdr:sp macro="" textlink="">
      <xdr:nvSpPr>
        <xdr:cNvPr id="3211" name="AutoShape 139">
          <a:extLst>
            <a:ext uri="{FF2B5EF4-FFF2-40B4-BE49-F238E27FC236}">
              <a16:creationId xmlns:a16="http://schemas.microsoft.com/office/drawing/2014/main" id="{A90B484C-A9ED-39EF-3097-D5465B9DABD2}"/>
            </a:ext>
          </a:extLst>
        </xdr:cNvPr>
        <xdr:cNvSpPr>
          <a:spLocks noChangeAspect="1" noChangeArrowheads="1"/>
        </xdr:cNvSpPr>
      </xdr:nvSpPr>
      <xdr:spPr bwMode="auto">
        <a:xfrm>
          <a:off x="0" y="1985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982</xdr:row>
      <xdr:rowOff>0</xdr:rowOff>
    </xdr:from>
    <xdr:to>
      <xdr:col>0</xdr:col>
      <xdr:colOff>304800</xdr:colOff>
      <xdr:row>983</xdr:row>
      <xdr:rowOff>114300</xdr:rowOff>
    </xdr:to>
    <xdr:sp macro="" textlink="">
      <xdr:nvSpPr>
        <xdr:cNvPr id="3212" name="AutoShape 140">
          <a:extLst>
            <a:ext uri="{FF2B5EF4-FFF2-40B4-BE49-F238E27FC236}">
              <a16:creationId xmlns:a16="http://schemas.microsoft.com/office/drawing/2014/main" id="{3474DEB4-9E9C-668D-17CA-8C483D8A7ACA}"/>
            </a:ext>
          </a:extLst>
        </xdr:cNvPr>
        <xdr:cNvSpPr>
          <a:spLocks noChangeAspect="1" noChangeArrowheads="1"/>
        </xdr:cNvSpPr>
      </xdr:nvSpPr>
      <xdr:spPr bwMode="auto">
        <a:xfrm>
          <a:off x="0" y="20002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989</xdr:row>
      <xdr:rowOff>0</xdr:rowOff>
    </xdr:from>
    <xdr:to>
      <xdr:col>0</xdr:col>
      <xdr:colOff>304800</xdr:colOff>
      <xdr:row>990</xdr:row>
      <xdr:rowOff>114300</xdr:rowOff>
    </xdr:to>
    <xdr:sp macro="" textlink="">
      <xdr:nvSpPr>
        <xdr:cNvPr id="3213" name="AutoShape 141">
          <a:extLst>
            <a:ext uri="{FF2B5EF4-FFF2-40B4-BE49-F238E27FC236}">
              <a16:creationId xmlns:a16="http://schemas.microsoft.com/office/drawing/2014/main" id="{C19F241E-811A-FB8E-DCA1-1305FC66B89D}"/>
            </a:ext>
          </a:extLst>
        </xdr:cNvPr>
        <xdr:cNvSpPr>
          <a:spLocks noChangeAspect="1" noChangeArrowheads="1"/>
        </xdr:cNvSpPr>
      </xdr:nvSpPr>
      <xdr:spPr bwMode="auto">
        <a:xfrm>
          <a:off x="0" y="20145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996</xdr:row>
      <xdr:rowOff>0</xdr:rowOff>
    </xdr:from>
    <xdr:to>
      <xdr:col>0</xdr:col>
      <xdr:colOff>304800</xdr:colOff>
      <xdr:row>997</xdr:row>
      <xdr:rowOff>114300</xdr:rowOff>
    </xdr:to>
    <xdr:sp macro="" textlink="">
      <xdr:nvSpPr>
        <xdr:cNvPr id="3214" name="AutoShape 142">
          <a:extLst>
            <a:ext uri="{FF2B5EF4-FFF2-40B4-BE49-F238E27FC236}">
              <a16:creationId xmlns:a16="http://schemas.microsoft.com/office/drawing/2014/main" id="{ACE1FB09-BF42-9385-E4B0-37BB37119AEA}"/>
            </a:ext>
          </a:extLst>
        </xdr:cNvPr>
        <xdr:cNvSpPr>
          <a:spLocks noChangeAspect="1" noChangeArrowheads="1"/>
        </xdr:cNvSpPr>
      </xdr:nvSpPr>
      <xdr:spPr bwMode="auto">
        <a:xfrm>
          <a:off x="0" y="20288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1003</xdr:row>
      <xdr:rowOff>0</xdr:rowOff>
    </xdr:from>
    <xdr:to>
      <xdr:col>0</xdr:col>
      <xdr:colOff>304800</xdr:colOff>
      <xdr:row>1004</xdr:row>
      <xdr:rowOff>114300</xdr:rowOff>
    </xdr:to>
    <xdr:sp macro="" textlink="">
      <xdr:nvSpPr>
        <xdr:cNvPr id="3215" name="AutoShape 143">
          <a:extLst>
            <a:ext uri="{FF2B5EF4-FFF2-40B4-BE49-F238E27FC236}">
              <a16:creationId xmlns:a16="http://schemas.microsoft.com/office/drawing/2014/main" id="{DFD87F55-2445-E75E-8459-C3A3BF7853E4}"/>
            </a:ext>
          </a:extLst>
        </xdr:cNvPr>
        <xdr:cNvSpPr>
          <a:spLocks noChangeAspect="1" noChangeArrowheads="1"/>
        </xdr:cNvSpPr>
      </xdr:nvSpPr>
      <xdr:spPr bwMode="auto">
        <a:xfrm>
          <a:off x="0" y="20431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1010</xdr:row>
      <xdr:rowOff>0</xdr:rowOff>
    </xdr:from>
    <xdr:to>
      <xdr:col>0</xdr:col>
      <xdr:colOff>304800</xdr:colOff>
      <xdr:row>1011</xdr:row>
      <xdr:rowOff>114300</xdr:rowOff>
    </xdr:to>
    <xdr:sp macro="" textlink="">
      <xdr:nvSpPr>
        <xdr:cNvPr id="3216" name="AutoShape 144">
          <a:extLst>
            <a:ext uri="{FF2B5EF4-FFF2-40B4-BE49-F238E27FC236}">
              <a16:creationId xmlns:a16="http://schemas.microsoft.com/office/drawing/2014/main" id="{6105AF1A-C205-F6C6-E9D5-E630F68EC6B4}"/>
            </a:ext>
          </a:extLst>
        </xdr:cNvPr>
        <xdr:cNvSpPr>
          <a:spLocks noChangeAspect="1" noChangeArrowheads="1"/>
        </xdr:cNvSpPr>
      </xdr:nvSpPr>
      <xdr:spPr bwMode="auto">
        <a:xfrm>
          <a:off x="0" y="20574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1017</xdr:row>
      <xdr:rowOff>0</xdr:rowOff>
    </xdr:from>
    <xdr:to>
      <xdr:col>0</xdr:col>
      <xdr:colOff>304800</xdr:colOff>
      <xdr:row>1018</xdr:row>
      <xdr:rowOff>114300</xdr:rowOff>
    </xdr:to>
    <xdr:sp macro="" textlink="">
      <xdr:nvSpPr>
        <xdr:cNvPr id="3217" name="AutoShape 145">
          <a:extLst>
            <a:ext uri="{FF2B5EF4-FFF2-40B4-BE49-F238E27FC236}">
              <a16:creationId xmlns:a16="http://schemas.microsoft.com/office/drawing/2014/main" id="{6ED68052-632E-FE0B-FD24-777D00790F47}"/>
            </a:ext>
          </a:extLst>
        </xdr:cNvPr>
        <xdr:cNvSpPr>
          <a:spLocks noChangeAspect="1" noChangeArrowheads="1"/>
        </xdr:cNvSpPr>
      </xdr:nvSpPr>
      <xdr:spPr bwMode="auto">
        <a:xfrm>
          <a:off x="0" y="20716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1024</xdr:row>
      <xdr:rowOff>0</xdr:rowOff>
    </xdr:from>
    <xdr:to>
      <xdr:col>0</xdr:col>
      <xdr:colOff>304800</xdr:colOff>
      <xdr:row>1025</xdr:row>
      <xdr:rowOff>114300</xdr:rowOff>
    </xdr:to>
    <xdr:sp macro="" textlink="">
      <xdr:nvSpPr>
        <xdr:cNvPr id="3218" name="AutoShape 146">
          <a:extLst>
            <a:ext uri="{FF2B5EF4-FFF2-40B4-BE49-F238E27FC236}">
              <a16:creationId xmlns:a16="http://schemas.microsoft.com/office/drawing/2014/main" id="{A6E3BF7F-DD33-3FD0-6428-27C25B96F612}"/>
            </a:ext>
          </a:extLst>
        </xdr:cNvPr>
        <xdr:cNvSpPr>
          <a:spLocks noChangeAspect="1" noChangeArrowheads="1"/>
        </xdr:cNvSpPr>
      </xdr:nvSpPr>
      <xdr:spPr bwMode="auto">
        <a:xfrm>
          <a:off x="0" y="20859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1031</xdr:row>
      <xdr:rowOff>0</xdr:rowOff>
    </xdr:from>
    <xdr:to>
      <xdr:col>0</xdr:col>
      <xdr:colOff>304800</xdr:colOff>
      <xdr:row>1032</xdr:row>
      <xdr:rowOff>114300</xdr:rowOff>
    </xdr:to>
    <xdr:sp macro="" textlink="">
      <xdr:nvSpPr>
        <xdr:cNvPr id="3219" name="AutoShape 147">
          <a:extLst>
            <a:ext uri="{FF2B5EF4-FFF2-40B4-BE49-F238E27FC236}">
              <a16:creationId xmlns:a16="http://schemas.microsoft.com/office/drawing/2014/main" id="{5727FEBF-F127-14A8-CBC1-BA524A16D27D}"/>
            </a:ext>
          </a:extLst>
        </xdr:cNvPr>
        <xdr:cNvSpPr>
          <a:spLocks noChangeAspect="1" noChangeArrowheads="1"/>
        </xdr:cNvSpPr>
      </xdr:nvSpPr>
      <xdr:spPr bwMode="auto">
        <a:xfrm>
          <a:off x="0" y="21002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1039</xdr:row>
      <xdr:rowOff>0</xdr:rowOff>
    </xdr:from>
    <xdr:to>
      <xdr:col>0</xdr:col>
      <xdr:colOff>304800</xdr:colOff>
      <xdr:row>1040</xdr:row>
      <xdr:rowOff>114300</xdr:rowOff>
    </xdr:to>
    <xdr:sp macro="" textlink="">
      <xdr:nvSpPr>
        <xdr:cNvPr id="3220" name="AutoShape 148">
          <a:extLst>
            <a:ext uri="{FF2B5EF4-FFF2-40B4-BE49-F238E27FC236}">
              <a16:creationId xmlns:a16="http://schemas.microsoft.com/office/drawing/2014/main" id="{8B55400F-7367-985B-7180-64A30DEBD689}"/>
            </a:ext>
          </a:extLst>
        </xdr:cNvPr>
        <xdr:cNvSpPr>
          <a:spLocks noChangeAspect="1" noChangeArrowheads="1"/>
        </xdr:cNvSpPr>
      </xdr:nvSpPr>
      <xdr:spPr bwMode="auto">
        <a:xfrm>
          <a:off x="0" y="21166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1047</xdr:row>
      <xdr:rowOff>0</xdr:rowOff>
    </xdr:from>
    <xdr:to>
      <xdr:col>0</xdr:col>
      <xdr:colOff>304800</xdr:colOff>
      <xdr:row>1048</xdr:row>
      <xdr:rowOff>114300</xdr:rowOff>
    </xdr:to>
    <xdr:sp macro="" textlink="">
      <xdr:nvSpPr>
        <xdr:cNvPr id="3221" name="AutoShape 149">
          <a:extLst>
            <a:ext uri="{FF2B5EF4-FFF2-40B4-BE49-F238E27FC236}">
              <a16:creationId xmlns:a16="http://schemas.microsoft.com/office/drawing/2014/main" id="{836ADDA3-2A37-E41E-D1B5-F9E10EA066EA}"/>
            </a:ext>
          </a:extLst>
        </xdr:cNvPr>
        <xdr:cNvSpPr>
          <a:spLocks noChangeAspect="1" noChangeArrowheads="1"/>
        </xdr:cNvSpPr>
      </xdr:nvSpPr>
      <xdr:spPr bwMode="auto">
        <a:xfrm>
          <a:off x="0" y="21330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1055</xdr:row>
      <xdr:rowOff>0</xdr:rowOff>
    </xdr:from>
    <xdr:to>
      <xdr:col>0</xdr:col>
      <xdr:colOff>304800</xdr:colOff>
      <xdr:row>1056</xdr:row>
      <xdr:rowOff>114300</xdr:rowOff>
    </xdr:to>
    <xdr:sp macro="" textlink="">
      <xdr:nvSpPr>
        <xdr:cNvPr id="3222" name="AutoShape 150">
          <a:extLst>
            <a:ext uri="{FF2B5EF4-FFF2-40B4-BE49-F238E27FC236}">
              <a16:creationId xmlns:a16="http://schemas.microsoft.com/office/drawing/2014/main" id="{522B7B92-8FF5-1EE9-03C2-ED8739CBF849}"/>
            </a:ext>
          </a:extLst>
        </xdr:cNvPr>
        <xdr:cNvSpPr>
          <a:spLocks noChangeAspect="1" noChangeArrowheads="1"/>
        </xdr:cNvSpPr>
      </xdr:nvSpPr>
      <xdr:spPr bwMode="auto">
        <a:xfrm>
          <a:off x="0" y="21494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1062</xdr:row>
      <xdr:rowOff>0</xdr:rowOff>
    </xdr:from>
    <xdr:to>
      <xdr:col>0</xdr:col>
      <xdr:colOff>304800</xdr:colOff>
      <xdr:row>1063</xdr:row>
      <xdr:rowOff>114300</xdr:rowOff>
    </xdr:to>
    <xdr:sp macro="" textlink="">
      <xdr:nvSpPr>
        <xdr:cNvPr id="3223" name="AutoShape 151">
          <a:extLst>
            <a:ext uri="{FF2B5EF4-FFF2-40B4-BE49-F238E27FC236}">
              <a16:creationId xmlns:a16="http://schemas.microsoft.com/office/drawing/2014/main" id="{86DFFA65-13ED-14FE-418B-A291FD10A805}"/>
            </a:ext>
          </a:extLst>
        </xdr:cNvPr>
        <xdr:cNvSpPr>
          <a:spLocks noChangeAspect="1" noChangeArrowheads="1"/>
        </xdr:cNvSpPr>
      </xdr:nvSpPr>
      <xdr:spPr bwMode="auto">
        <a:xfrm>
          <a:off x="0" y="21636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1069</xdr:row>
      <xdr:rowOff>0</xdr:rowOff>
    </xdr:from>
    <xdr:to>
      <xdr:col>0</xdr:col>
      <xdr:colOff>304800</xdr:colOff>
      <xdr:row>1070</xdr:row>
      <xdr:rowOff>114300</xdr:rowOff>
    </xdr:to>
    <xdr:sp macro="" textlink="">
      <xdr:nvSpPr>
        <xdr:cNvPr id="3224" name="AutoShape 152">
          <a:extLst>
            <a:ext uri="{FF2B5EF4-FFF2-40B4-BE49-F238E27FC236}">
              <a16:creationId xmlns:a16="http://schemas.microsoft.com/office/drawing/2014/main" id="{6BEFA261-560F-A8C3-FD50-DBCCD6228753}"/>
            </a:ext>
          </a:extLst>
        </xdr:cNvPr>
        <xdr:cNvSpPr>
          <a:spLocks noChangeAspect="1" noChangeArrowheads="1"/>
        </xdr:cNvSpPr>
      </xdr:nvSpPr>
      <xdr:spPr bwMode="auto">
        <a:xfrm>
          <a:off x="0" y="21779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1076</xdr:row>
      <xdr:rowOff>0</xdr:rowOff>
    </xdr:from>
    <xdr:to>
      <xdr:col>0</xdr:col>
      <xdr:colOff>304800</xdr:colOff>
      <xdr:row>1077</xdr:row>
      <xdr:rowOff>114300</xdr:rowOff>
    </xdr:to>
    <xdr:sp macro="" textlink="">
      <xdr:nvSpPr>
        <xdr:cNvPr id="3225" name="AutoShape 153">
          <a:extLst>
            <a:ext uri="{FF2B5EF4-FFF2-40B4-BE49-F238E27FC236}">
              <a16:creationId xmlns:a16="http://schemas.microsoft.com/office/drawing/2014/main" id="{BEE67875-1A4C-1D14-D2C0-2C2F310FAD82}"/>
            </a:ext>
          </a:extLst>
        </xdr:cNvPr>
        <xdr:cNvSpPr>
          <a:spLocks noChangeAspect="1" noChangeArrowheads="1"/>
        </xdr:cNvSpPr>
      </xdr:nvSpPr>
      <xdr:spPr bwMode="auto">
        <a:xfrm>
          <a:off x="0" y="21922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1083</xdr:row>
      <xdr:rowOff>0</xdr:rowOff>
    </xdr:from>
    <xdr:to>
      <xdr:col>0</xdr:col>
      <xdr:colOff>304800</xdr:colOff>
      <xdr:row>1084</xdr:row>
      <xdr:rowOff>114300</xdr:rowOff>
    </xdr:to>
    <xdr:sp macro="" textlink="">
      <xdr:nvSpPr>
        <xdr:cNvPr id="3226" name="AutoShape 154">
          <a:extLst>
            <a:ext uri="{FF2B5EF4-FFF2-40B4-BE49-F238E27FC236}">
              <a16:creationId xmlns:a16="http://schemas.microsoft.com/office/drawing/2014/main" id="{33C76A1C-E5CE-E76D-7892-C0615795A134}"/>
            </a:ext>
          </a:extLst>
        </xdr:cNvPr>
        <xdr:cNvSpPr>
          <a:spLocks noChangeAspect="1" noChangeArrowheads="1"/>
        </xdr:cNvSpPr>
      </xdr:nvSpPr>
      <xdr:spPr bwMode="auto">
        <a:xfrm>
          <a:off x="0" y="22065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1090</xdr:row>
      <xdr:rowOff>0</xdr:rowOff>
    </xdr:from>
    <xdr:to>
      <xdr:col>0</xdr:col>
      <xdr:colOff>304800</xdr:colOff>
      <xdr:row>1091</xdr:row>
      <xdr:rowOff>114300</xdr:rowOff>
    </xdr:to>
    <xdr:sp macro="" textlink="">
      <xdr:nvSpPr>
        <xdr:cNvPr id="3227" name="AutoShape 155">
          <a:extLst>
            <a:ext uri="{FF2B5EF4-FFF2-40B4-BE49-F238E27FC236}">
              <a16:creationId xmlns:a16="http://schemas.microsoft.com/office/drawing/2014/main" id="{2DB01918-D2A6-A3C3-94CE-A21F56FE5522}"/>
            </a:ext>
          </a:extLst>
        </xdr:cNvPr>
        <xdr:cNvSpPr>
          <a:spLocks noChangeAspect="1" noChangeArrowheads="1"/>
        </xdr:cNvSpPr>
      </xdr:nvSpPr>
      <xdr:spPr bwMode="auto">
        <a:xfrm>
          <a:off x="0" y="22208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1097</xdr:row>
      <xdr:rowOff>0</xdr:rowOff>
    </xdr:from>
    <xdr:to>
      <xdr:col>0</xdr:col>
      <xdr:colOff>304800</xdr:colOff>
      <xdr:row>1098</xdr:row>
      <xdr:rowOff>114300</xdr:rowOff>
    </xdr:to>
    <xdr:sp macro="" textlink="">
      <xdr:nvSpPr>
        <xdr:cNvPr id="3228" name="AutoShape 156">
          <a:extLst>
            <a:ext uri="{FF2B5EF4-FFF2-40B4-BE49-F238E27FC236}">
              <a16:creationId xmlns:a16="http://schemas.microsoft.com/office/drawing/2014/main" id="{279C765A-4043-2CFD-3B2C-6CDAFBF5BE4B}"/>
            </a:ext>
          </a:extLst>
        </xdr:cNvPr>
        <xdr:cNvSpPr>
          <a:spLocks noChangeAspect="1" noChangeArrowheads="1"/>
        </xdr:cNvSpPr>
      </xdr:nvSpPr>
      <xdr:spPr bwMode="auto">
        <a:xfrm>
          <a:off x="0" y="22351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1104</xdr:row>
      <xdr:rowOff>0</xdr:rowOff>
    </xdr:from>
    <xdr:to>
      <xdr:col>0</xdr:col>
      <xdr:colOff>304800</xdr:colOff>
      <xdr:row>1105</xdr:row>
      <xdr:rowOff>114300</xdr:rowOff>
    </xdr:to>
    <xdr:sp macro="" textlink="">
      <xdr:nvSpPr>
        <xdr:cNvPr id="3229" name="AutoShape 157">
          <a:extLst>
            <a:ext uri="{FF2B5EF4-FFF2-40B4-BE49-F238E27FC236}">
              <a16:creationId xmlns:a16="http://schemas.microsoft.com/office/drawing/2014/main" id="{F6FD620D-EBB8-68C6-5C21-561B7B19F5FF}"/>
            </a:ext>
          </a:extLst>
        </xdr:cNvPr>
        <xdr:cNvSpPr>
          <a:spLocks noChangeAspect="1" noChangeArrowheads="1"/>
        </xdr:cNvSpPr>
      </xdr:nvSpPr>
      <xdr:spPr bwMode="auto">
        <a:xfrm>
          <a:off x="0" y="22494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1111</xdr:row>
      <xdr:rowOff>0</xdr:rowOff>
    </xdr:from>
    <xdr:to>
      <xdr:col>0</xdr:col>
      <xdr:colOff>304800</xdr:colOff>
      <xdr:row>1112</xdr:row>
      <xdr:rowOff>114300</xdr:rowOff>
    </xdr:to>
    <xdr:sp macro="" textlink="">
      <xdr:nvSpPr>
        <xdr:cNvPr id="3230" name="AutoShape 158">
          <a:extLst>
            <a:ext uri="{FF2B5EF4-FFF2-40B4-BE49-F238E27FC236}">
              <a16:creationId xmlns:a16="http://schemas.microsoft.com/office/drawing/2014/main" id="{B9F187C6-0FE8-DF4F-4D92-F3B8ECED1F94}"/>
            </a:ext>
          </a:extLst>
        </xdr:cNvPr>
        <xdr:cNvSpPr>
          <a:spLocks noChangeAspect="1" noChangeArrowheads="1"/>
        </xdr:cNvSpPr>
      </xdr:nvSpPr>
      <xdr:spPr bwMode="auto">
        <a:xfrm>
          <a:off x="0" y="22637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1118</xdr:row>
      <xdr:rowOff>0</xdr:rowOff>
    </xdr:from>
    <xdr:to>
      <xdr:col>0</xdr:col>
      <xdr:colOff>304800</xdr:colOff>
      <xdr:row>1119</xdr:row>
      <xdr:rowOff>114300</xdr:rowOff>
    </xdr:to>
    <xdr:sp macro="" textlink="">
      <xdr:nvSpPr>
        <xdr:cNvPr id="3231" name="AutoShape 159">
          <a:extLst>
            <a:ext uri="{FF2B5EF4-FFF2-40B4-BE49-F238E27FC236}">
              <a16:creationId xmlns:a16="http://schemas.microsoft.com/office/drawing/2014/main" id="{6650CC1B-A877-87F1-A64D-01E9AD06B17E}"/>
            </a:ext>
          </a:extLst>
        </xdr:cNvPr>
        <xdr:cNvSpPr>
          <a:spLocks noChangeAspect="1" noChangeArrowheads="1"/>
        </xdr:cNvSpPr>
      </xdr:nvSpPr>
      <xdr:spPr bwMode="auto">
        <a:xfrm>
          <a:off x="0" y="22779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1125</xdr:row>
      <xdr:rowOff>0</xdr:rowOff>
    </xdr:from>
    <xdr:to>
      <xdr:col>0</xdr:col>
      <xdr:colOff>304800</xdr:colOff>
      <xdr:row>1126</xdr:row>
      <xdr:rowOff>114300</xdr:rowOff>
    </xdr:to>
    <xdr:sp macro="" textlink="">
      <xdr:nvSpPr>
        <xdr:cNvPr id="3232" name="AutoShape 160">
          <a:extLst>
            <a:ext uri="{FF2B5EF4-FFF2-40B4-BE49-F238E27FC236}">
              <a16:creationId xmlns:a16="http://schemas.microsoft.com/office/drawing/2014/main" id="{C7823517-CABE-80D6-2095-64E3549901B2}"/>
            </a:ext>
          </a:extLst>
        </xdr:cNvPr>
        <xdr:cNvSpPr>
          <a:spLocks noChangeAspect="1" noChangeArrowheads="1"/>
        </xdr:cNvSpPr>
      </xdr:nvSpPr>
      <xdr:spPr bwMode="auto">
        <a:xfrm>
          <a:off x="0" y="22922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1132</xdr:row>
      <xdr:rowOff>0</xdr:rowOff>
    </xdr:from>
    <xdr:to>
      <xdr:col>0</xdr:col>
      <xdr:colOff>304800</xdr:colOff>
      <xdr:row>1133</xdr:row>
      <xdr:rowOff>114300</xdr:rowOff>
    </xdr:to>
    <xdr:sp macro="" textlink="">
      <xdr:nvSpPr>
        <xdr:cNvPr id="3233" name="AutoShape 161">
          <a:extLst>
            <a:ext uri="{FF2B5EF4-FFF2-40B4-BE49-F238E27FC236}">
              <a16:creationId xmlns:a16="http://schemas.microsoft.com/office/drawing/2014/main" id="{1D2E2E95-00B9-BF54-7217-1B250BF51ACC}"/>
            </a:ext>
          </a:extLst>
        </xdr:cNvPr>
        <xdr:cNvSpPr>
          <a:spLocks noChangeAspect="1" noChangeArrowheads="1"/>
        </xdr:cNvSpPr>
      </xdr:nvSpPr>
      <xdr:spPr bwMode="auto">
        <a:xfrm>
          <a:off x="0" y="23065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1139</xdr:row>
      <xdr:rowOff>0</xdr:rowOff>
    </xdr:from>
    <xdr:to>
      <xdr:col>0</xdr:col>
      <xdr:colOff>304800</xdr:colOff>
      <xdr:row>1140</xdr:row>
      <xdr:rowOff>114300</xdr:rowOff>
    </xdr:to>
    <xdr:sp macro="" textlink="">
      <xdr:nvSpPr>
        <xdr:cNvPr id="3234" name="AutoShape 162">
          <a:extLst>
            <a:ext uri="{FF2B5EF4-FFF2-40B4-BE49-F238E27FC236}">
              <a16:creationId xmlns:a16="http://schemas.microsoft.com/office/drawing/2014/main" id="{2748B56B-98A3-45D7-AEB8-41F952B831C5}"/>
            </a:ext>
          </a:extLst>
        </xdr:cNvPr>
        <xdr:cNvSpPr>
          <a:spLocks noChangeAspect="1" noChangeArrowheads="1"/>
        </xdr:cNvSpPr>
      </xdr:nvSpPr>
      <xdr:spPr bwMode="auto">
        <a:xfrm>
          <a:off x="0" y="23208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1146</xdr:row>
      <xdr:rowOff>0</xdr:rowOff>
    </xdr:from>
    <xdr:to>
      <xdr:col>0</xdr:col>
      <xdr:colOff>304800</xdr:colOff>
      <xdr:row>1147</xdr:row>
      <xdr:rowOff>114300</xdr:rowOff>
    </xdr:to>
    <xdr:sp macro="" textlink="">
      <xdr:nvSpPr>
        <xdr:cNvPr id="3235" name="AutoShape 163">
          <a:extLst>
            <a:ext uri="{FF2B5EF4-FFF2-40B4-BE49-F238E27FC236}">
              <a16:creationId xmlns:a16="http://schemas.microsoft.com/office/drawing/2014/main" id="{3721C96A-29C6-FB45-25AF-20B1A6ECB56B}"/>
            </a:ext>
          </a:extLst>
        </xdr:cNvPr>
        <xdr:cNvSpPr>
          <a:spLocks noChangeAspect="1" noChangeArrowheads="1"/>
        </xdr:cNvSpPr>
      </xdr:nvSpPr>
      <xdr:spPr bwMode="auto">
        <a:xfrm>
          <a:off x="0" y="23351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1153</xdr:row>
      <xdr:rowOff>0</xdr:rowOff>
    </xdr:from>
    <xdr:to>
      <xdr:col>0</xdr:col>
      <xdr:colOff>304800</xdr:colOff>
      <xdr:row>1154</xdr:row>
      <xdr:rowOff>114300</xdr:rowOff>
    </xdr:to>
    <xdr:sp macro="" textlink="">
      <xdr:nvSpPr>
        <xdr:cNvPr id="3236" name="AutoShape 164">
          <a:extLst>
            <a:ext uri="{FF2B5EF4-FFF2-40B4-BE49-F238E27FC236}">
              <a16:creationId xmlns:a16="http://schemas.microsoft.com/office/drawing/2014/main" id="{B8F9C029-6F71-7526-7593-2203CE3D775F}"/>
            </a:ext>
          </a:extLst>
        </xdr:cNvPr>
        <xdr:cNvSpPr>
          <a:spLocks noChangeAspect="1" noChangeArrowheads="1"/>
        </xdr:cNvSpPr>
      </xdr:nvSpPr>
      <xdr:spPr bwMode="auto">
        <a:xfrm>
          <a:off x="0" y="23494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1160</xdr:row>
      <xdr:rowOff>0</xdr:rowOff>
    </xdr:from>
    <xdr:to>
      <xdr:col>0</xdr:col>
      <xdr:colOff>304800</xdr:colOff>
      <xdr:row>1161</xdr:row>
      <xdr:rowOff>114300</xdr:rowOff>
    </xdr:to>
    <xdr:sp macro="" textlink="">
      <xdr:nvSpPr>
        <xdr:cNvPr id="3237" name="AutoShape 165">
          <a:extLst>
            <a:ext uri="{FF2B5EF4-FFF2-40B4-BE49-F238E27FC236}">
              <a16:creationId xmlns:a16="http://schemas.microsoft.com/office/drawing/2014/main" id="{692B5E5C-0FD8-8837-810E-A858BB754837}"/>
            </a:ext>
          </a:extLst>
        </xdr:cNvPr>
        <xdr:cNvSpPr>
          <a:spLocks noChangeAspect="1" noChangeArrowheads="1"/>
        </xdr:cNvSpPr>
      </xdr:nvSpPr>
      <xdr:spPr bwMode="auto">
        <a:xfrm>
          <a:off x="0" y="2363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1167</xdr:row>
      <xdr:rowOff>0</xdr:rowOff>
    </xdr:from>
    <xdr:to>
      <xdr:col>0</xdr:col>
      <xdr:colOff>304800</xdr:colOff>
      <xdr:row>1168</xdr:row>
      <xdr:rowOff>114300</xdr:rowOff>
    </xdr:to>
    <xdr:sp macro="" textlink="">
      <xdr:nvSpPr>
        <xdr:cNvPr id="3238" name="AutoShape 166">
          <a:extLst>
            <a:ext uri="{FF2B5EF4-FFF2-40B4-BE49-F238E27FC236}">
              <a16:creationId xmlns:a16="http://schemas.microsoft.com/office/drawing/2014/main" id="{E6A19DD6-F7C6-4873-4DD7-E29BF789DE7D}"/>
            </a:ext>
          </a:extLst>
        </xdr:cNvPr>
        <xdr:cNvSpPr>
          <a:spLocks noChangeAspect="1" noChangeArrowheads="1"/>
        </xdr:cNvSpPr>
      </xdr:nvSpPr>
      <xdr:spPr bwMode="auto">
        <a:xfrm>
          <a:off x="0" y="23780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1174</xdr:row>
      <xdr:rowOff>0</xdr:rowOff>
    </xdr:from>
    <xdr:to>
      <xdr:col>0</xdr:col>
      <xdr:colOff>304800</xdr:colOff>
      <xdr:row>1175</xdr:row>
      <xdr:rowOff>114300</xdr:rowOff>
    </xdr:to>
    <xdr:sp macro="" textlink="">
      <xdr:nvSpPr>
        <xdr:cNvPr id="3239" name="AutoShape 167">
          <a:extLst>
            <a:ext uri="{FF2B5EF4-FFF2-40B4-BE49-F238E27FC236}">
              <a16:creationId xmlns:a16="http://schemas.microsoft.com/office/drawing/2014/main" id="{6B618E43-7DCD-6FF1-20EF-EED0DD0760BF}"/>
            </a:ext>
          </a:extLst>
        </xdr:cNvPr>
        <xdr:cNvSpPr>
          <a:spLocks noChangeAspect="1" noChangeArrowheads="1"/>
        </xdr:cNvSpPr>
      </xdr:nvSpPr>
      <xdr:spPr bwMode="auto">
        <a:xfrm>
          <a:off x="0" y="23922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1181</xdr:row>
      <xdr:rowOff>0</xdr:rowOff>
    </xdr:from>
    <xdr:to>
      <xdr:col>0</xdr:col>
      <xdr:colOff>304800</xdr:colOff>
      <xdr:row>1182</xdr:row>
      <xdr:rowOff>114300</xdr:rowOff>
    </xdr:to>
    <xdr:sp macro="" textlink="">
      <xdr:nvSpPr>
        <xdr:cNvPr id="3240" name="AutoShape 168">
          <a:extLst>
            <a:ext uri="{FF2B5EF4-FFF2-40B4-BE49-F238E27FC236}">
              <a16:creationId xmlns:a16="http://schemas.microsoft.com/office/drawing/2014/main" id="{7EEF3F46-8D87-1F1E-17B9-48E49D1EB6FD}"/>
            </a:ext>
          </a:extLst>
        </xdr:cNvPr>
        <xdr:cNvSpPr>
          <a:spLocks noChangeAspect="1" noChangeArrowheads="1"/>
        </xdr:cNvSpPr>
      </xdr:nvSpPr>
      <xdr:spPr bwMode="auto">
        <a:xfrm>
          <a:off x="0" y="24065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1188</xdr:row>
      <xdr:rowOff>0</xdr:rowOff>
    </xdr:from>
    <xdr:to>
      <xdr:col>0</xdr:col>
      <xdr:colOff>304800</xdr:colOff>
      <xdr:row>1189</xdr:row>
      <xdr:rowOff>114300</xdr:rowOff>
    </xdr:to>
    <xdr:sp macro="" textlink="">
      <xdr:nvSpPr>
        <xdr:cNvPr id="3241" name="AutoShape 169">
          <a:extLst>
            <a:ext uri="{FF2B5EF4-FFF2-40B4-BE49-F238E27FC236}">
              <a16:creationId xmlns:a16="http://schemas.microsoft.com/office/drawing/2014/main" id="{B721B6B4-56D0-E7A1-66C4-F1DEA475A7AE}"/>
            </a:ext>
          </a:extLst>
        </xdr:cNvPr>
        <xdr:cNvSpPr>
          <a:spLocks noChangeAspect="1" noChangeArrowheads="1"/>
        </xdr:cNvSpPr>
      </xdr:nvSpPr>
      <xdr:spPr bwMode="auto">
        <a:xfrm>
          <a:off x="0" y="24208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1195</xdr:row>
      <xdr:rowOff>0</xdr:rowOff>
    </xdr:from>
    <xdr:to>
      <xdr:col>0</xdr:col>
      <xdr:colOff>304800</xdr:colOff>
      <xdr:row>1196</xdr:row>
      <xdr:rowOff>114300</xdr:rowOff>
    </xdr:to>
    <xdr:sp macro="" textlink="">
      <xdr:nvSpPr>
        <xdr:cNvPr id="3242" name="AutoShape 170">
          <a:extLst>
            <a:ext uri="{FF2B5EF4-FFF2-40B4-BE49-F238E27FC236}">
              <a16:creationId xmlns:a16="http://schemas.microsoft.com/office/drawing/2014/main" id="{03699F03-57B9-0EC1-EFEB-16EC8C1B721F}"/>
            </a:ext>
          </a:extLst>
        </xdr:cNvPr>
        <xdr:cNvSpPr>
          <a:spLocks noChangeAspect="1" noChangeArrowheads="1"/>
        </xdr:cNvSpPr>
      </xdr:nvSpPr>
      <xdr:spPr bwMode="auto">
        <a:xfrm>
          <a:off x="0" y="2435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1202</xdr:row>
      <xdr:rowOff>0</xdr:rowOff>
    </xdr:from>
    <xdr:to>
      <xdr:col>0</xdr:col>
      <xdr:colOff>304800</xdr:colOff>
      <xdr:row>1203</xdr:row>
      <xdr:rowOff>114300</xdr:rowOff>
    </xdr:to>
    <xdr:sp macro="" textlink="">
      <xdr:nvSpPr>
        <xdr:cNvPr id="3243" name="AutoShape 171">
          <a:extLst>
            <a:ext uri="{FF2B5EF4-FFF2-40B4-BE49-F238E27FC236}">
              <a16:creationId xmlns:a16="http://schemas.microsoft.com/office/drawing/2014/main" id="{CA1F6241-AC8A-1D2B-4B89-50744BBCC2AD}"/>
            </a:ext>
          </a:extLst>
        </xdr:cNvPr>
        <xdr:cNvSpPr>
          <a:spLocks noChangeAspect="1" noChangeArrowheads="1"/>
        </xdr:cNvSpPr>
      </xdr:nvSpPr>
      <xdr:spPr bwMode="auto">
        <a:xfrm>
          <a:off x="0" y="2449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1209</xdr:row>
      <xdr:rowOff>0</xdr:rowOff>
    </xdr:from>
    <xdr:to>
      <xdr:col>0</xdr:col>
      <xdr:colOff>304800</xdr:colOff>
      <xdr:row>1210</xdr:row>
      <xdr:rowOff>114300</xdr:rowOff>
    </xdr:to>
    <xdr:sp macro="" textlink="">
      <xdr:nvSpPr>
        <xdr:cNvPr id="3244" name="AutoShape 172">
          <a:extLst>
            <a:ext uri="{FF2B5EF4-FFF2-40B4-BE49-F238E27FC236}">
              <a16:creationId xmlns:a16="http://schemas.microsoft.com/office/drawing/2014/main" id="{81B2E6B9-C2F7-2E29-A35F-CD20DFAFED60}"/>
            </a:ext>
          </a:extLst>
        </xdr:cNvPr>
        <xdr:cNvSpPr>
          <a:spLocks noChangeAspect="1" noChangeArrowheads="1"/>
        </xdr:cNvSpPr>
      </xdr:nvSpPr>
      <xdr:spPr bwMode="auto">
        <a:xfrm>
          <a:off x="0" y="24637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1216</xdr:row>
      <xdr:rowOff>0</xdr:rowOff>
    </xdr:from>
    <xdr:to>
      <xdr:col>0</xdr:col>
      <xdr:colOff>304800</xdr:colOff>
      <xdr:row>1217</xdr:row>
      <xdr:rowOff>114300</xdr:rowOff>
    </xdr:to>
    <xdr:sp macro="" textlink="">
      <xdr:nvSpPr>
        <xdr:cNvPr id="3245" name="AutoShape 173">
          <a:extLst>
            <a:ext uri="{FF2B5EF4-FFF2-40B4-BE49-F238E27FC236}">
              <a16:creationId xmlns:a16="http://schemas.microsoft.com/office/drawing/2014/main" id="{DF91356A-F86A-AFB7-5648-5FE2853BEC92}"/>
            </a:ext>
          </a:extLst>
        </xdr:cNvPr>
        <xdr:cNvSpPr>
          <a:spLocks noChangeAspect="1" noChangeArrowheads="1"/>
        </xdr:cNvSpPr>
      </xdr:nvSpPr>
      <xdr:spPr bwMode="auto">
        <a:xfrm>
          <a:off x="0" y="24780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1223</xdr:row>
      <xdr:rowOff>0</xdr:rowOff>
    </xdr:from>
    <xdr:to>
      <xdr:col>0</xdr:col>
      <xdr:colOff>304800</xdr:colOff>
      <xdr:row>1224</xdr:row>
      <xdr:rowOff>114300</xdr:rowOff>
    </xdr:to>
    <xdr:sp macro="" textlink="">
      <xdr:nvSpPr>
        <xdr:cNvPr id="3246" name="AutoShape 174">
          <a:extLst>
            <a:ext uri="{FF2B5EF4-FFF2-40B4-BE49-F238E27FC236}">
              <a16:creationId xmlns:a16="http://schemas.microsoft.com/office/drawing/2014/main" id="{253FB824-089C-3770-B1EC-56E4E4926CCD}"/>
            </a:ext>
          </a:extLst>
        </xdr:cNvPr>
        <xdr:cNvSpPr>
          <a:spLocks noChangeAspect="1" noChangeArrowheads="1"/>
        </xdr:cNvSpPr>
      </xdr:nvSpPr>
      <xdr:spPr bwMode="auto">
        <a:xfrm>
          <a:off x="0" y="24923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1230</xdr:row>
      <xdr:rowOff>0</xdr:rowOff>
    </xdr:from>
    <xdr:to>
      <xdr:col>0</xdr:col>
      <xdr:colOff>304800</xdr:colOff>
      <xdr:row>1231</xdr:row>
      <xdr:rowOff>114300</xdr:rowOff>
    </xdr:to>
    <xdr:sp macro="" textlink="">
      <xdr:nvSpPr>
        <xdr:cNvPr id="3247" name="AutoShape 175">
          <a:extLst>
            <a:ext uri="{FF2B5EF4-FFF2-40B4-BE49-F238E27FC236}">
              <a16:creationId xmlns:a16="http://schemas.microsoft.com/office/drawing/2014/main" id="{36178709-2696-D11B-4329-002EB1DBFCB7}"/>
            </a:ext>
          </a:extLst>
        </xdr:cNvPr>
        <xdr:cNvSpPr>
          <a:spLocks noChangeAspect="1" noChangeArrowheads="1"/>
        </xdr:cNvSpPr>
      </xdr:nvSpPr>
      <xdr:spPr bwMode="auto">
        <a:xfrm>
          <a:off x="0" y="25065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1237</xdr:row>
      <xdr:rowOff>0</xdr:rowOff>
    </xdr:from>
    <xdr:to>
      <xdr:col>0</xdr:col>
      <xdr:colOff>304800</xdr:colOff>
      <xdr:row>1238</xdr:row>
      <xdr:rowOff>114300</xdr:rowOff>
    </xdr:to>
    <xdr:sp macro="" textlink="">
      <xdr:nvSpPr>
        <xdr:cNvPr id="3248" name="AutoShape 176">
          <a:extLst>
            <a:ext uri="{FF2B5EF4-FFF2-40B4-BE49-F238E27FC236}">
              <a16:creationId xmlns:a16="http://schemas.microsoft.com/office/drawing/2014/main" id="{83889320-3EB5-56FA-C31E-7F027C5F10B9}"/>
            </a:ext>
          </a:extLst>
        </xdr:cNvPr>
        <xdr:cNvSpPr>
          <a:spLocks noChangeAspect="1" noChangeArrowheads="1"/>
        </xdr:cNvSpPr>
      </xdr:nvSpPr>
      <xdr:spPr bwMode="auto">
        <a:xfrm>
          <a:off x="0" y="25208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1244</xdr:row>
      <xdr:rowOff>0</xdr:rowOff>
    </xdr:from>
    <xdr:to>
      <xdr:col>0</xdr:col>
      <xdr:colOff>304800</xdr:colOff>
      <xdr:row>1245</xdr:row>
      <xdr:rowOff>114300</xdr:rowOff>
    </xdr:to>
    <xdr:sp macro="" textlink="">
      <xdr:nvSpPr>
        <xdr:cNvPr id="3249" name="AutoShape 177">
          <a:extLst>
            <a:ext uri="{FF2B5EF4-FFF2-40B4-BE49-F238E27FC236}">
              <a16:creationId xmlns:a16="http://schemas.microsoft.com/office/drawing/2014/main" id="{1B65D73F-A043-919A-CF76-CD135F90CD25}"/>
            </a:ext>
          </a:extLst>
        </xdr:cNvPr>
        <xdr:cNvSpPr>
          <a:spLocks noChangeAspect="1" noChangeArrowheads="1"/>
        </xdr:cNvSpPr>
      </xdr:nvSpPr>
      <xdr:spPr bwMode="auto">
        <a:xfrm>
          <a:off x="0" y="2535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1251</xdr:row>
      <xdr:rowOff>0</xdr:rowOff>
    </xdr:from>
    <xdr:to>
      <xdr:col>0</xdr:col>
      <xdr:colOff>304800</xdr:colOff>
      <xdr:row>1252</xdr:row>
      <xdr:rowOff>114300</xdr:rowOff>
    </xdr:to>
    <xdr:sp macro="" textlink="">
      <xdr:nvSpPr>
        <xdr:cNvPr id="3250" name="AutoShape 178">
          <a:extLst>
            <a:ext uri="{FF2B5EF4-FFF2-40B4-BE49-F238E27FC236}">
              <a16:creationId xmlns:a16="http://schemas.microsoft.com/office/drawing/2014/main" id="{4F5C6D74-319C-4589-0898-4BCB0CB4B9B3}"/>
            </a:ext>
          </a:extLst>
        </xdr:cNvPr>
        <xdr:cNvSpPr>
          <a:spLocks noChangeAspect="1" noChangeArrowheads="1"/>
        </xdr:cNvSpPr>
      </xdr:nvSpPr>
      <xdr:spPr bwMode="auto">
        <a:xfrm>
          <a:off x="0" y="25494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1258</xdr:row>
      <xdr:rowOff>0</xdr:rowOff>
    </xdr:from>
    <xdr:to>
      <xdr:col>0</xdr:col>
      <xdr:colOff>304800</xdr:colOff>
      <xdr:row>1259</xdr:row>
      <xdr:rowOff>114300</xdr:rowOff>
    </xdr:to>
    <xdr:sp macro="" textlink="">
      <xdr:nvSpPr>
        <xdr:cNvPr id="3251" name="AutoShape 179">
          <a:extLst>
            <a:ext uri="{FF2B5EF4-FFF2-40B4-BE49-F238E27FC236}">
              <a16:creationId xmlns:a16="http://schemas.microsoft.com/office/drawing/2014/main" id="{5437D7E8-1797-7939-330F-A363B4A224DC}"/>
            </a:ext>
          </a:extLst>
        </xdr:cNvPr>
        <xdr:cNvSpPr>
          <a:spLocks noChangeAspect="1" noChangeArrowheads="1"/>
        </xdr:cNvSpPr>
      </xdr:nvSpPr>
      <xdr:spPr bwMode="auto">
        <a:xfrm>
          <a:off x="0" y="25637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1265</xdr:row>
      <xdr:rowOff>0</xdr:rowOff>
    </xdr:from>
    <xdr:to>
      <xdr:col>0</xdr:col>
      <xdr:colOff>304800</xdr:colOff>
      <xdr:row>1266</xdr:row>
      <xdr:rowOff>114300</xdr:rowOff>
    </xdr:to>
    <xdr:sp macro="" textlink="">
      <xdr:nvSpPr>
        <xdr:cNvPr id="3252" name="AutoShape 180">
          <a:extLst>
            <a:ext uri="{FF2B5EF4-FFF2-40B4-BE49-F238E27FC236}">
              <a16:creationId xmlns:a16="http://schemas.microsoft.com/office/drawing/2014/main" id="{F02D4397-4347-9B2B-CFBC-6E587AA44E5B}"/>
            </a:ext>
          </a:extLst>
        </xdr:cNvPr>
        <xdr:cNvSpPr>
          <a:spLocks noChangeAspect="1" noChangeArrowheads="1"/>
        </xdr:cNvSpPr>
      </xdr:nvSpPr>
      <xdr:spPr bwMode="auto">
        <a:xfrm>
          <a:off x="0" y="25780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1272</xdr:row>
      <xdr:rowOff>0</xdr:rowOff>
    </xdr:from>
    <xdr:to>
      <xdr:col>0</xdr:col>
      <xdr:colOff>304800</xdr:colOff>
      <xdr:row>1273</xdr:row>
      <xdr:rowOff>114300</xdr:rowOff>
    </xdr:to>
    <xdr:sp macro="" textlink="">
      <xdr:nvSpPr>
        <xdr:cNvPr id="3253" name="AutoShape 181">
          <a:extLst>
            <a:ext uri="{FF2B5EF4-FFF2-40B4-BE49-F238E27FC236}">
              <a16:creationId xmlns:a16="http://schemas.microsoft.com/office/drawing/2014/main" id="{7D9635F6-3C43-2F1A-FE15-9FE2DF9BBE15}"/>
            </a:ext>
          </a:extLst>
        </xdr:cNvPr>
        <xdr:cNvSpPr>
          <a:spLocks noChangeAspect="1" noChangeArrowheads="1"/>
        </xdr:cNvSpPr>
      </xdr:nvSpPr>
      <xdr:spPr bwMode="auto">
        <a:xfrm>
          <a:off x="0" y="25923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1279</xdr:row>
      <xdr:rowOff>0</xdr:rowOff>
    </xdr:from>
    <xdr:to>
      <xdr:col>0</xdr:col>
      <xdr:colOff>304800</xdr:colOff>
      <xdr:row>1280</xdr:row>
      <xdr:rowOff>114300</xdr:rowOff>
    </xdr:to>
    <xdr:sp macro="" textlink="">
      <xdr:nvSpPr>
        <xdr:cNvPr id="3254" name="AutoShape 182">
          <a:extLst>
            <a:ext uri="{FF2B5EF4-FFF2-40B4-BE49-F238E27FC236}">
              <a16:creationId xmlns:a16="http://schemas.microsoft.com/office/drawing/2014/main" id="{9B1F27D5-1496-88BC-4FCC-C28ABBC577C5}"/>
            </a:ext>
          </a:extLst>
        </xdr:cNvPr>
        <xdr:cNvSpPr>
          <a:spLocks noChangeAspect="1" noChangeArrowheads="1"/>
        </xdr:cNvSpPr>
      </xdr:nvSpPr>
      <xdr:spPr bwMode="auto">
        <a:xfrm>
          <a:off x="0" y="26066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1287</xdr:row>
      <xdr:rowOff>0</xdr:rowOff>
    </xdr:from>
    <xdr:to>
      <xdr:col>0</xdr:col>
      <xdr:colOff>304800</xdr:colOff>
      <xdr:row>1288</xdr:row>
      <xdr:rowOff>114300</xdr:rowOff>
    </xdr:to>
    <xdr:sp macro="" textlink="">
      <xdr:nvSpPr>
        <xdr:cNvPr id="3255" name="AutoShape 183">
          <a:extLst>
            <a:ext uri="{FF2B5EF4-FFF2-40B4-BE49-F238E27FC236}">
              <a16:creationId xmlns:a16="http://schemas.microsoft.com/office/drawing/2014/main" id="{135DD902-51D3-2173-8B84-F3DC514AE033}"/>
            </a:ext>
          </a:extLst>
        </xdr:cNvPr>
        <xdr:cNvSpPr>
          <a:spLocks noChangeAspect="1" noChangeArrowheads="1"/>
        </xdr:cNvSpPr>
      </xdr:nvSpPr>
      <xdr:spPr bwMode="auto">
        <a:xfrm>
          <a:off x="0" y="26229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1294</xdr:row>
      <xdr:rowOff>0</xdr:rowOff>
    </xdr:from>
    <xdr:to>
      <xdr:col>0</xdr:col>
      <xdr:colOff>304800</xdr:colOff>
      <xdr:row>1295</xdr:row>
      <xdr:rowOff>114300</xdr:rowOff>
    </xdr:to>
    <xdr:sp macro="" textlink="">
      <xdr:nvSpPr>
        <xdr:cNvPr id="3256" name="AutoShape 184">
          <a:extLst>
            <a:ext uri="{FF2B5EF4-FFF2-40B4-BE49-F238E27FC236}">
              <a16:creationId xmlns:a16="http://schemas.microsoft.com/office/drawing/2014/main" id="{5A935401-0A43-F149-6D69-9084F88F6085}"/>
            </a:ext>
          </a:extLst>
        </xdr:cNvPr>
        <xdr:cNvSpPr>
          <a:spLocks noChangeAspect="1" noChangeArrowheads="1"/>
        </xdr:cNvSpPr>
      </xdr:nvSpPr>
      <xdr:spPr bwMode="auto">
        <a:xfrm>
          <a:off x="0" y="26372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1301</xdr:row>
      <xdr:rowOff>0</xdr:rowOff>
    </xdr:from>
    <xdr:to>
      <xdr:col>0</xdr:col>
      <xdr:colOff>304800</xdr:colOff>
      <xdr:row>1302</xdr:row>
      <xdr:rowOff>114300</xdr:rowOff>
    </xdr:to>
    <xdr:sp macro="" textlink="">
      <xdr:nvSpPr>
        <xdr:cNvPr id="3257" name="AutoShape 185">
          <a:extLst>
            <a:ext uri="{FF2B5EF4-FFF2-40B4-BE49-F238E27FC236}">
              <a16:creationId xmlns:a16="http://schemas.microsoft.com/office/drawing/2014/main" id="{E37623D7-2BF5-D640-24FE-7E68A7FF8969}"/>
            </a:ext>
          </a:extLst>
        </xdr:cNvPr>
        <xdr:cNvSpPr>
          <a:spLocks noChangeAspect="1" noChangeArrowheads="1"/>
        </xdr:cNvSpPr>
      </xdr:nvSpPr>
      <xdr:spPr bwMode="auto">
        <a:xfrm>
          <a:off x="0" y="26515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1308</xdr:row>
      <xdr:rowOff>0</xdr:rowOff>
    </xdr:from>
    <xdr:to>
      <xdr:col>0</xdr:col>
      <xdr:colOff>304800</xdr:colOff>
      <xdr:row>1309</xdr:row>
      <xdr:rowOff>114300</xdr:rowOff>
    </xdr:to>
    <xdr:sp macro="" textlink="">
      <xdr:nvSpPr>
        <xdr:cNvPr id="3258" name="AutoShape 186">
          <a:extLst>
            <a:ext uri="{FF2B5EF4-FFF2-40B4-BE49-F238E27FC236}">
              <a16:creationId xmlns:a16="http://schemas.microsoft.com/office/drawing/2014/main" id="{79B39D4B-99F8-A26B-5AE4-3ECD44363B97}"/>
            </a:ext>
          </a:extLst>
        </xdr:cNvPr>
        <xdr:cNvSpPr>
          <a:spLocks noChangeAspect="1" noChangeArrowheads="1"/>
        </xdr:cNvSpPr>
      </xdr:nvSpPr>
      <xdr:spPr bwMode="auto">
        <a:xfrm>
          <a:off x="0" y="26658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1315</xdr:row>
      <xdr:rowOff>0</xdr:rowOff>
    </xdr:from>
    <xdr:to>
      <xdr:col>0</xdr:col>
      <xdr:colOff>304800</xdr:colOff>
      <xdr:row>1316</xdr:row>
      <xdr:rowOff>114300</xdr:rowOff>
    </xdr:to>
    <xdr:sp macro="" textlink="">
      <xdr:nvSpPr>
        <xdr:cNvPr id="3259" name="AutoShape 187">
          <a:extLst>
            <a:ext uri="{FF2B5EF4-FFF2-40B4-BE49-F238E27FC236}">
              <a16:creationId xmlns:a16="http://schemas.microsoft.com/office/drawing/2014/main" id="{94690D23-4676-2076-0682-A2006D635260}"/>
            </a:ext>
          </a:extLst>
        </xdr:cNvPr>
        <xdr:cNvSpPr>
          <a:spLocks noChangeAspect="1" noChangeArrowheads="1"/>
        </xdr:cNvSpPr>
      </xdr:nvSpPr>
      <xdr:spPr bwMode="auto">
        <a:xfrm>
          <a:off x="0" y="26801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1322</xdr:row>
      <xdr:rowOff>0</xdr:rowOff>
    </xdr:from>
    <xdr:to>
      <xdr:col>0</xdr:col>
      <xdr:colOff>304800</xdr:colOff>
      <xdr:row>1323</xdr:row>
      <xdr:rowOff>114300</xdr:rowOff>
    </xdr:to>
    <xdr:sp macro="" textlink="">
      <xdr:nvSpPr>
        <xdr:cNvPr id="3260" name="AutoShape 188">
          <a:extLst>
            <a:ext uri="{FF2B5EF4-FFF2-40B4-BE49-F238E27FC236}">
              <a16:creationId xmlns:a16="http://schemas.microsoft.com/office/drawing/2014/main" id="{74843FCB-1EA6-0731-D4BD-684E5F72E6E6}"/>
            </a:ext>
          </a:extLst>
        </xdr:cNvPr>
        <xdr:cNvSpPr>
          <a:spLocks noChangeAspect="1" noChangeArrowheads="1"/>
        </xdr:cNvSpPr>
      </xdr:nvSpPr>
      <xdr:spPr bwMode="auto">
        <a:xfrm>
          <a:off x="0" y="26944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1329</xdr:row>
      <xdr:rowOff>0</xdr:rowOff>
    </xdr:from>
    <xdr:to>
      <xdr:col>0</xdr:col>
      <xdr:colOff>304800</xdr:colOff>
      <xdr:row>1330</xdr:row>
      <xdr:rowOff>114300</xdr:rowOff>
    </xdr:to>
    <xdr:sp macro="" textlink="">
      <xdr:nvSpPr>
        <xdr:cNvPr id="3261" name="AutoShape 189">
          <a:extLst>
            <a:ext uri="{FF2B5EF4-FFF2-40B4-BE49-F238E27FC236}">
              <a16:creationId xmlns:a16="http://schemas.microsoft.com/office/drawing/2014/main" id="{90B80F81-D6BD-C4AC-6247-8C5156EF7FE7}"/>
            </a:ext>
          </a:extLst>
        </xdr:cNvPr>
        <xdr:cNvSpPr>
          <a:spLocks noChangeAspect="1" noChangeArrowheads="1"/>
        </xdr:cNvSpPr>
      </xdr:nvSpPr>
      <xdr:spPr bwMode="auto">
        <a:xfrm>
          <a:off x="0" y="2708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1336</xdr:row>
      <xdr:rowOff>0</xdr:rowOff>
    </xdr:from>
    <xdr:to>
      <xdr:col>0</xdr:col>
      <xdr:colOff>304800</xdr:colOff>
      <xdr:row>1337</xdr:row>
      <xdr:rowOff>114300</xdr:rowOff>
    </xdr:to>
    <xdr:sp macro="" textlink="">
      <xdr:nvSpPr>
        <xdr:cNvPr id="3262" name="AutoShape 190">
          <a:extLst>
            <a:ext uri="{FF2B5EF4-FFF2-40B4-BE49-F238E27FC236}">
              <a16:creationId xmlns:a16="http://schemas.microsoft.com/office/drawing/2014/main" id="{5F0D0C34-EBEB-CDCF-5795-598544C60CA9}"/>
            </a:ext>
          </a:extLst>
        </xdr:cNvPr>
        <xdr:cNvSpPr>
          <a:spLocks noChangeAspect="1" noChangeArrowheads="1"/>
        </xdr:cNvSpPr>
      </xdr:nvSpPr>
      <xdr:spPr bwMode="auto">
        <a:xfrm>
          <a:off x="0" y="27230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1343</xdr:row>
      <xdr:rowOff>0</xdr:rowOff>
    </xdr:from>
    <xdr:to>
      <xdr:col>0</xdr:col>
      <xdr:colOff>304800</xdr:colOff>
      <xdr:row>1344</xdr:row>
      <xdr:rowOff>114300</xdr:rowOff>
    </xdr:to>
    <xdr:sp macro="" textlink="">
      <xdr:nvSpPr>
        <xdr:cNvPr id="3263" name="AutoShape 191">
          <a:extLst>
            <a:ext uri="{FF2B5EF4-FFF2-40B4-BE49-F238E27FC236}">
              <a16:creationId xmlns:a16="http://schemas.microsoft.com/office/drawing/2014/main" id="{531739C7-1DAC-A876-AB1D-668E96574FCA}"/>
            </a:ext>
          </a:extLst>
        </xdr:cNvPr>
        <xdr:cNvSpPr>
          <a:spLocks noChangeAspect="1" noChangeArrowheads="1"/>
        </xdr:cNvSpPr>
      </xdr:nvSpPr>
      <xdr:spPr bwMode="auto">
        <a:xfrm>
          <a:off x="0" y="27372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1350</xdr:row>
      <xdr:rowOff>0</xdr:rowOff>
    </xdr:from>
    <xdr:to>
      <xdr:col>0</xdr:col>
      <xdr:colOff>304800</xdr:colOff>
      <xdr:row>1351</xdr:row>
      <xdr:rowOff>114300</xdr:rowOff>
    </xdr:to>
    <xdr:sp macro="" textlink="">
      <xdr:nvSpPr>
        <xdr:cNvPr id="3264" name="AutoShape 192">
          <a:extLst>
            <a:ext uri="{FF2B5EF4-FFF2-40B4-BE49-F238E27FC236}">
              <a16:creationId xmlns:a16="http://schemas.microsoft.com/office/drawing/2014/main" id="{8633DE67-9A7C-A941-8B94-F40C4942E563}"/>
            </a:ext>
          </a:extLst>
        </xdr:cNvPr>
        <xdr:cNvSpPr>
          <a:spLocks noChangeAspect="1" noChangeArrowheads="1"/>
        </xdr:cNvSpPr>
      </xdr:nvSpPr>
      <xdr:spPr bwMode="auto">
        <a:xfrm>
          <a:off x="0" y="27515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1357</xdr:row>
      <xdr:rowOff>0</xdr:rowOff>
    </xdr:from>
    <xdr:to>
      <xdr:col>0</xdr:col>
      <xdr:colOff>304800</xdr:colOff>
      <xdr:row>1358</xdr:row>
      <xdr:rowOff>114300</xdr:rowOff>
    </xdr:to>
    <xdr:sp macro="" textlink="">
      <xdr:nvSpPr>
        <xdr:cNvPr id="3265" name="AutoShape 193">
          <a:extLst>
            <a:ext uri="{FF2B5EF4-FFF2-40B4-BE49-F238E27FC236}">
              <a16:creationId xmlns:a16="http://schemas.microsoft.com/office/drawing/2014/main" id="{D4020D01-F752-31EF-AE84-3A423E24C5A9}"/>
            </a:ext>
          </a:extLst>
        </xdr:cNvPr>
        <xdr:cNvSpPr>
          <a:spLocks noChangeAspect="1" noChangeArrowheads="1"/>
        </xdr:cNvSpPr>
      </xdr:nvSpPr>
      <xdr:spPr bwMode="auto">
        <a:xfrm>
          <a:off x="0" y="27658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1364</xdr:row>
      <xdr:rowOff>0</xdr:rowOff>
    </xdr:from>
    <xdr:to>
      <xdr:col>0</xdr:col>
      <xdr:colOff>304800</xdr:colOff>
      <xdr:row>1365</xdr:row>
      <xdr:rowOff>114300</xdr:rowOff>
    </xdr:to>
    <xdr:sp macro="" textlink="">
      <xdr:nvSpPr>
        <xdr:cNvPr id="3266" name="AutoShape 194">
          <a:extLst>
            <a:ext uri="{FF2B5EF4-FFF2-40B4-BE49-F238E27FC236}">
              <a16:creationId xmlns:a16="http://schemas.microsoft.com/office/drawing/2014/main" id="{7E823BD3-F0DC-44DB-0612-0544A7B646A4}"/>
            </a:ext>
          </a:extLst>
        </xdr:cNvPr>
        <xdr:cNvSpPr>
          <a:spLocks noChangeAspect="1" noChangeArrowheads="1"/>
        </xdr:cNvSpPr>
      </xdr:nvSpPr>
      <xdr:spPr bwMode="auto">
        <a:xfrm>
          <a:off x="0" y="2780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1371</xdr:row>
      <xdr:rowOff>0</xdr:rowOff>
    </xdr:from>
    <xdr:to>
      <xdr:col>0</xdr:col>
      <xdr:colOff>304800</xdr:colOff>
      <xdr:row>1372</xdr:row>
      <xdr:rowOff>114300</xdr:rowOff>
    </xdr:to>
    <xdr:sp macro="" textlink="">
      <xdr:nvSpPr>
        <xdr:cNvPr id="3267" name="AutoShape 195">
          <a:extLst>
            <a:ext uri="{FF2B5EF4-FFF2-40B4-BE49-F238E27FC236}">
              <a16:creationId xmlns:a16="http://schemas.microsoft.com/office/drawing/2014/main" id="{B4726F33-5DED-EE27-9FB1-08298E27F011}"/>
            </a:ext>
          </a:extLst>
        </xdr:cNvPr>
        <xdr:cNvSpPr>
          <a:spLocks noChangeAspect="1" noChangeArrowheads="1"/>
        </xdr:cNvSpPr>
      </xdr:nvSpPr>
      <xdr:spPr bwMode="auto">
        <a:xfrm>
          <a:off x="0" y="27944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1378</xdr:row>
      <xdr:rowOff>0</xdr:rowOff>
    </xdr:from>
    <xdr:to>
      <xdr:col>0</xdr:col>
      <xdr:colOff>304800</xdr:colOff>
      <xdr:row>1379</xdr:row>
      <xdr:rowOff>114300</xdr:rowOff>
    </xdr:to>
    <xdr:sp macro="" textlink="">
      <xdr:nvSpPr>
        <xdr:cNvPr id="3268" name="AutoShape 196">
          <a:extLst>
            <a:ext uri="{FF2B5EF4-FFF2-40B4-BE49-F238E27FC236}">
              <a16:creationId xmlns:a16="http://schemas.microsoft.com/office/drawing/2014/main" id="{7804E729-D3E1-E2F5-A20E-4567EB3CCF2E}"/>
            </a:ext>
          </a:extLst>
        </xdr:cNvPr>
        <xdr:cNvSpPr>
          <a:spLocks noChangeAspect="1" noChangeArrowheads="1"/>
        </xdr:cNvSpPr>
      </xdr:nvSpPr>
      <xdr:spPr bwMode="auto">
        <a:xfrm>
          <a:off x="0" y="28087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1385</xdr:row>
      <xdr:rowOff>0</xdr:rowOff>
    </xdr:from>
    <xdr:to>
      <xdr:col>0</xdr:col>
      <xdr:colOff>304800</xdr:colOff>
      <xdr:row>1386</xdr:row>
      <xdr:rowOff>114300</xdr:rowOff>
    </xdr:to>
    <xdr:sp macro="" textlink="">
      <xdr:nvSpPr>
        <xdr:cNvPr id="3269" name="AutoShape 197">
          <a:extLst>
            <a:ext uri="{FF2B5EF4-FFF2-40B4-BE49-F238E27FC236}">
              <a16:creationId xmlns:a16="http://schemas.microsoft.com/office/drawing/2014/main" id="{AB9060A7-7D64-2289-F701-AF522AD8AC95}"/>
            </a:ext>
          </a:extLst>
        </xdr:cNvPr>
        <xdr:cNvSpPr>
          <a:spLocks noChangeAspect="1" noChangeArrowheads="1"/>
        </xdr:cNvSpPr>
      </xdr:nvSpPr>
      <xdr:spPr bwMode="auto">
        <a:xfrm>
          <a:off x="0" y="28230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1392</xdr:row>
      <xdr:rowOff>0</xdr:rowOff>
    </xdr:from>
    <xdr:to>
      <xdr:col>0</xdr:col>
      <xdr:colOff>304800</xdr:colOff>
      <xdr:row>1393</xdr:row>
      <xdr:rowOff>114300</xdr:rowOff>
    </xdr:to>
    <xdr:sp macro="" textlink="">
      <xdr:nvSpPr>
        <xdr:cNvPr id="3270" name="AutoShape 198">
          <a:extLst>
            <a:ext uri="{FF2B5EF4-FFF2-40B4-BE49-F238E27FC236}">
              <a16:creationId xmlns:a16="http://schemas.microsoft.com/office/drawing/2014/main" id="{B699D10F-A550-C91B-7E1F-54B815E06E98}"/>
            </a:ext>
          </a:extLst>
        </xdr:cNvPr>
        <xdr:cNvSpPr>
          <a:spLocks noChangeAspect="1" noChangeArrowheads="1"/>
        </xdr:cNvSpPr>
      </xdr:nvSpPr>
      <xdr:spPr bwMode="auto">
        <a:xfrm>
          <a:off x="0" y="28373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1399</xdr:row>
      <xdr:rowOff>0</xdr:rowOff>
    </xdr:from>
    <xdr:to>
      <xdr:col>0</xdr:col>
      <xdr:colOff>304800</xdr:colOff>
      <xdr:row>1400</xdr:row>
      <xdr:rowOff>114300</xdr:rowOff>
    </xdr:to>
    <xdr:sp macro="" textlink="">
      <xdr:nvSpPr>
        <xdr:cNvPr id="3271" name="AutoShape 199">
          <a:extLst>
            <a:ext uri="{FF2B5EF4-FFF2-40B4-BE49-F238E27FC236}">
              <a16:creationId xmlns:a16="http://schemas.microsoft.com/office/drawing/2014/main" id="{DCB4052D-B64F-2B51-8076-E76FEA9C7224}"/>
            </a:ext>
          </a:extLst>
        </xdr:cNvPr>
        <xdr:cNvSpPr>
          <a:spLocks noChangeAspect="1" noChangeArrowheads="1"/>
        </xdr:cNvSpPr>
      </xdr:nvSpPr>
      <xdr:spPr bwMode="auto">
        <a:xfrm>
          <a:off x="0" y="28515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1406</xdr:row>
      <xdr:rowOff>0</xdr:rowOff>
    </xdr:from>
    <xdr:to>
      <xdr:col>0</xdr:col>
      <xdr:colOff>304800</xdr:colOff>
      <xdr:row>1407</xdr:row>
      <xdr:rowOff>114300</xdr:rowOff>
    </xdr:to>
    <xdr:sp macro="" textlink="">
      <xdr:nvSpPr>
        <xdr:cNvPr id="3272" name="AutoShape 200">
          <a:extLst>
            <a:ext uri="{FF2B5EF4-FFF2-40B4-BE49-F238E27FC236}">
              <a16:creationId xmlns:a16="http://schemas.microsoft.com/office/drawing/2014/main" id="{D2CC24E0-2736-1E6B-509E-D3F012D5A792}"/>
            </a:ext>
          </a:extLst>
        </xdr:cNvPr>
        <xdr:cNvSpPr>
          <a:spLocks noChangeAspect="1" noChangeArrowheads="1"/>
        </xdr:cNvSpPr>
      </xdr:nvSpPr>
      <xdr:spPr bwMode="auto">
        <a:xfrm>
          <a:off x="0" y="28658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1413</xdr:row>
      <xdr:rowOff>0</xdr:rowOff>
    </xdr:from>
    <xdr:to>
      <xdr:col>0</xdr:col>
      <xdr:colOff>304800</xdr:colOff>
      <xdr:row>1414</xdr:row>
      <xdr:rowOff>114300</xdr:rowOff>
    </xdr:to>
    <xdr:sp macro="" textlink="">
      <xdr:nvSpPr>
        <xdr:cNvPr id="3273" name="AutoShape 201">
          <a:extLst>
            <a:ext uri="{FF2B5EF4-FFF2-40B4-BE49-F238E27FC236}">
              <a16:creationId xmlns:a16="http://schemas.microsoft.com/office/drawing/2014/main" id="{04D74DA5-4B0F-5A91-12B1-3B165673AAE0}"/>
            </a:ext>
          </a:extLst>
        </xdr:cNvPr>
        <xdr:cNvSpPr>
          <a:spLocks noChangeAspect="1" noChangeArrowheads="1"/>
        </xdr:cNvSpPr>
      </xdr:nvSpPr>
      <xdr:spPr bwMode="auto">
        <a:xfrm>
          <a:off x="0" y="28801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1420</xdr:row>
      <xdr:rowOff>0</xdr:rowOff>
    </xdr:from>
    <xdr:to>
      <xdr:col>0</xdr:col>
      <xdr:colOff>304800</xdr:colOff>
      <xdr:row>1421</xdr:row>
      <xdr:rowOff>114300</xdr:rowOff>
    </xdr:to>
    <xdr:sp macro="" textlink="">
      <xdr:nvSpPr>
        <xdr:cNvPr id="3274" name="AutoShape 202">
          <a:extLst>
            <a:ext uri="{FF2B5EF4-FFF2-40B4-BE49-F238E27FC236}">
              <a16:creationId xmlns:a16="http://schemas.microsoft.com/office/drawing/2014/main" id="{628A175E-F650-51F4-9417-831B3489495F}"/>
            </a:ext>
          </a:extLst>
        </xdr:cNvPr>
        <xdr:cNvSpPr>
          <a:spLocks noChangeAspect="1" noChangeArrowheads="1"/>
        </xdr:cNvSpPr>
      </xdr:nvSpPr>
      <xdr:spPr bwMode="auto">
        <a:xfrm>
          <a:off x="0" y="28944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1427</xdr:row>
      <xdr:rowOff>0</xdr:rowOff>
    </xdr:from>
    <xdr:to>
      <xdr:col>0</xdr:col>
      <xdr:colOff>304800</xdr:colOff>
      <xdr:row>1428</xdr:row>
      <xdr:rowOff>114300</xdr:rowOff>
    </xdr:to>
    <xdr:sp macro="" textlink="">
      <xdr:nvSpPr>
        <xdr:cNvPr id="3275" name="AutoShape 203">
          <a:extLst>
            <a:ext uri="{FF2B5EF4-FFF2-40B4-BE49-F238E27FC236}">
              <a16:creationId xmlns:a16="http://schemas.microsoft.com/office/drawing/2014/main" id="{9A8177E5-78AC-D0FD-FE88-E64FECB4C8FD}"/>
            </a:ext>
          </a:extLst>
        </xdr:cNvPr>
        <xdr:cNvSpPr>
          <a:spLocks noChangeAspect="1" noChangeArrowheads="1"/>
        </xdr:cNvSpPr>
      </xdr:nvSpPr>
      <xdr:spPr bwMode="auto">
        <a:xfrm>
          <a:off x="0" y="29087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1434</xdr:row>
      <xdr:rowOff>0</xdr:rowOff>
    </xdr:from>
    <xdr:to>
      <xdr:col>0</xdr:col>
      <xdr:colOff>304800</xdr:colOff>
      <xdr:row>1435</xdr:row>
      <xdr:rowOff>114300</xdr:rowOff>
    </xdr:to>
    <xdr:sp macro="" textlink="">
      <xdr:nvSpPr>
        <xdr:cNvPr id="3276" name="AutoShape 204">
          <a:extLst>
            <a:ext uri="{FF2B5EF4-FFF2-40B4-BE49-F238E27FC236}">
              <a16:creationId xmlns:a16="http://schemas.microsoft.com/office/drawing/2014/main" id="{8BABE9AA-F21B-9937-5A79-E914E121DC7F}"/>
            </a:ext>
          </a:extLst>
        </xdr:cNvPr>
        <xdr:cNvSpPr>
          <a:spLocks noChangeAspect="1" noChangeArrowheads="1"/>
        </xdr:cNvSpPr>
      </xdr:nvSpPr>
      <xdr:spPr bwMode="auto">
        <a:xfrm>
          <a:off x="0" y="29230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1441</xdr:row>
      <xdr:rowOff>0</xdr:rowOff>
    </xdr:from>
    <xdr:to>
      <xdr:col>0</xdr:col>
      <xdr:colOff>304800</xdr:colOff>
      <xdr:row>1442</xdr:row>
      <xdr:rowOff>114300</xdr:rowOff>
    </xdr:to>
    <xdr:sp macro="" textlink="">
      <xdr:nvSpPr>
        <xdr:cNvPr id="3277" name="AutoShape 205">
          <a:extLst>
            <a:ext uri="{FF2B5EF4-FFF2-40B4-BE49-F238E27FC236}">
              <a16:creationId xmlns:a16="http://schemas.microsoft.com/office/drawing/2014/main" id="{E35A65B6-C353-9A4F-D9B5-6246AC69B3E9}"/>
            </a:ext>
          </a:extLst>
        </xdr:cNvPr>
        <xdr:cNvSpPr>
          <a:spLocks noChangeAspect="1" noChangeArrowheads="1"/>
        </xdr:cNvSpPr>
      </xdr:nvSpPr>
      <xdr:spPr bwMode="auto">
        <a:xfrm>
          <a:off x="0" y="2937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1448</xdr:row>
      <xdr:rowOff>0</xdr:rowOff>
    </xdr:from>
    <xdr:to>
      <xdr:col>0</xdr:col>
      <xdr:colOff>304800</xdr:colOff>
      <xdr:row>1449</xdr:row>
      <xdr:rowOff>114300</xdr:rowOff>
    </xdr:to>
    <xdr:sp macro="" textlink="">
      <xdr:nvSpPr>
        <xdr:cNvPr id="3278" name="AutoShape 206">
          <a:extLst>
            <a:ext uri="{FF2B5EF4-FFF2-40B4-BE49-F238E27FC236}">
              <a16:creationId xmlns:a16="http://schemas.microsoft.com/office/drawing/2014/main" id="{7BA37A75-A2C2-F5E8-4EB4-FDC17B85C69F}"/>
            </a:ext>
          </a:extLst>
        </xdr:cNvPr>
        <xdr:cNvSpPr>
          <a:spLocks noChangeAspect="1" noChangeArrowheads="1"/>
        </xdr:cNvSpPr>
      </xdr:nvSpPr>
      <xdr:spPr bwMode="auto">
        <a:xfrm>
          <a:off x="0" y="2951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1455</xdr:row>
      <xdr:rowOff>0</xdr:rowOff>
    </xdr:from>
    <xdr:to>
      <xdr:col>0</xdr:col>
      <xdr:colOff>304800</xdr:colOff>
      <xdr:row>1456</xdr:row>
      <xdr:rowOff>114300</xdr:rowOff>
    </xdr:to>
    <xdr:sp macro="" textlink="">
      <xdr:nvSpPr>
        <xdr:cNvPr id="3279" name="AutoShape 207">
          <a:extLst>
            <a:ext uri="{FF2B5EF4-FFF2-40B4-BE49-F238E27FC236}">
              <a16:creationId xmlns:a16="http://schemas.microsoft.com/office/drawing/2014/main" id="{8990436C-5066-D5E4-A035-CB81EF23E72F}"/>
            </a:ext>
          </a:extLst>
        </xdr:cNvPr>
        <xdr:cNvSpPr>
          <a:spLocks noChangeAspect="1" noChangeArrowheads="1"/>
        </xdr:cNvSpPr>
      </xdr:nvSpPr>
      <xdr:spPr bwMode="auto">
        <a:xfrm>
          <a:off x="0" y="29658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1462</xdr:row>
      <xdr:rowOff>0</xdr:rowOff>
    </xdr:from>
    <xdr:to>
      <xdr:col>0</xdr:col>
      <xdr:colOff>304800</xdr:colOff>
      <xdr:row>1463</xdr:row>
      <xdr:rowOff>114300</xdr:rowOff>
    </xdr:to>
    <xdr:sp macro="" textlink="">
      <xdr:nvSpPr>
        <xdr:cNvPr id="3280" name="AutoShape 208">
          <a:extLst>
            <a:ext uri="{FF2B5EF4-FFF2-40B4-BE49-F238E27FC236}">
              <a16:creationId xmlns:a16="http://schemas.microsoft.com/office/drawing/2014/main" id="{A1D14D84-8579-DF7C-5452-C34BD0C789AD}"/>
            </a:ext>
          </a:extLst>
        </xdr:cNvPr>
        <xdr:cNvSpPr>
          <a:spLocks noChangeAspect="1" noChangeArrowheads="1"/>
        </xdr:cNvSpPr>
      </xdr:nvSpPr>
      <xdr:spPr bwMode="auto">
        <a:xfrm>
          <a:off x="0" y="29801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1469</xdr:row>
      <xdr:rowOff>0</xdr:rowOff>
    </xdr:from>
    <xdr:to>
      <xdr:col>0</xdr:col>
      <xdr:colOff>304800</xdr:colOff>
      <xdr:row>1470</xdr:row>
      <xdr:rowOff>114300</xdr:rowOff>
    </xdr:to>
    <xdr:sp macro="" textlink="">
      <xdr:nvSpPr>
        <xdr:cNvPr id="3281" name="AutoShape 209">
          <a:extLst>
            <a:ext uri="{FF2B5EF4-FFF2-40B4-BE49-F238E27FC236}">
              <a16:creationId xmlns:a16="http://schemas.microsoft.com/office/drawing/2014/main" id="{F3BB2258-7A34-294B-7DD8-C16DEAA5245F}"/>
            </a:ext>
          </a:extLst>
        </xdr:cNvPr>
        <xdr:cNvSpPr>
          <a:spLocks noChangeAspect="1" noChangeArrowheads="1"/>
        </xdr:cNvSpPr>
      </xdr:nvSpPr>
      <xdr:spPr bwMode="auto">
        <a:xfrm>
          <a:off x="0" y="29944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1476</xdr:row>
      <xdr:rowOff>0</xdr:rowOff>
    </xdr:from>
    <xdr:to>
      <xdr:col>0</xdr:col>
      <xdr:colOff>304800</xdr:colOff>
      <xdr:row>1477</xdr:row>
      <xdr:rowOff>114300</xdr:rowOff>
    </xdr:to>
    <xdr:sp macro="" textlink="">
      <xdr:nvSpPr>
        <xdr:cNvPr id="3282" name="AutoShape 210">
          <a:extLst>
            <a:ext uri="{FF2B5EF4-FFF2-40B4-BE49-F238E27FC236}">
              <a16:creationId xmlns:a16="http://schemas.microsoft.com/office/drawing/2014/main" id="{CD5F3C20-DE67-55B9-C64D-B37D6EE867B7}"/>
            </a:ext>
          </a:extLst>
        </xdr:cNvPr>
        <xdr:cNvSpPr>
          <a:spLocks noChangeAspect="1" noChangeArrowheads="1"/>
        </xdr:cNvSpPr>
      </xdr:nvSpPr>
      <xdr:spPr bwMode="auto">
        <a:xfrm>
          <a:off x="0" y="30087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1483</xdr:row>
      <xdr:rowOff>0</xdr:rowOff>
    </xdr:from>
    <xdr:to>
      <xdr:col>0</xdr:col>
      <xdr:colOff>304800</xdr:colOff>
      <xdr:row>1484</xdr:row>
      <xdr:rowOff>114300</xdr:rowOff>
    </xdr:to>
    <xdr:sp macro="" textlink="">
      <xdr:nvSpPr>
        <xdr:cNvPr id="3283" name="AutoShape 211">
          <a:extLst>
            <a:ext uri="{FF2B5EF4-FFF2-40B4-BE49-F238E27FC236}">
              <a16:creationId xmlns:a16="http://schemas.microsoft.com/office/drawing/2014/main" id="{634A7F56-BC9E-956E-524C-524A44F0F566}"/>
            </a:ext>
          </a:extLst>
        </xdr:cNvPr>
        <xdr:cNvSpPr>
          <a:spLocks noChangeAspect="1" noChangeArrowheads="1"/>
        </xdr:cNvSpPr>
      </xdr:nvSpPr>
      <xdr:spPr bwMode="auto">
        <a:xfrm>
          <a:off x="0" y="30230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1490</xdr:row>
      <xdr:rowOff>0</xdr:rowOff>
    </xdr:from>
    <xdr:to>
      <xdr:col>0</xdr:col>
      <xdr:colOff>304800</xdr:colOff>
      <xdr:row>1491</xdr:row>
      <xdr:rowOff>114300</xdr:rowOff>
    </xdr:to>
    <xdr:sp macro="" textlink="">
      <xdr:nvSpPr>
        <xdr:cNvPr id="3284" name="AutoShape 212">
          <a:extLst>
            <a:ext uri="{FF2B5EF4-FFF2-40B4-BE49-F238E27FC236}">
              <a16:creationId xmlns:a16="http://schemas.microsoft.com/office/drawing/2014/main" id="{29D05FC2-9EF7-80C4-5DBD-6BF2FE898881}"/>
            </a:ext>
          </a:extLst>
        </xdr:cNvPr>
        <xdr:cNvSpPr>
          <a:spLocks noChangeAspect="1" noChangeArrowheads="1"/>
        </xdr:cNvSpPr>
      </xdr:nvSpPr>
      <xdr:spPr bwMode="auto">
        <a:xfrm>
          <a:off x="0" y="30373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1497</xdr:row>
      <xdr:rowOff>0</xdr:rowOff>
    </xdr:from>
    <xdr:to>
      <xdr:col>0</xdr:col>
      <xdr:colOff>304800</xdr:colOff>
      <xdr:row>1498</xdr:row>
      <xdr:rowOff>114300</xdr:rowOff>
    </xdr:to>
    <xdr:sp macro="" textlink="">
      <xdr:nvSpPr>
        <xdr:cNvPr id="3285" name="AutoShape 213">
          <a:extLst>
            <a:ext uri="{FF2B5EF4-FFF2-40B4-BE49-F238E27FC236}">
              <a16:creationId xmlns:a16="http://schemas.microsoft.com/office/drawing/2014/main" id="{63FB1608-1E55-12E2-60FF-BEA2DD235A1A}"/>
            </a:ext>
          </a:extLst>
        </xdr:cNvPr>
        <xdr:cNvSpPr>
          <a:spLocks noChangeAspect="1" noChangeArrowheads="1"/>
        </xdr:cNvSpPr>
      </xdr:nvSpPr>
      <xdr:spPr bwMode="auto">
        <a:xfrm>
          <a:off x="0" y="30516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1504</xdr:row>
      <xdr:rowOff>0</xdr:rowOff>
    </xdr:from>
    <xdr:to>
      <xdr:col>0</xdr:col>
      <xdr:colOff>304800</xdr:colOff>
      <xdr:row>1505</xdr:row>
      <xdr:rowOff>114300</xdr:rowOff>
    </xdr:to>
    <xdr:sp macro="" textlink="">
      <xdr:nvSpPr>
        <xdr:cNvPr id="3286" name="AutoShape 214">
          <a:extLst>
            <a:ext uri="{FF2B5EF4-FFF2-40B4-BE49-F238E27FC236}">
              <a16:creationId xmlns:a16="http://schemas.microsoft.com/office/drawing/2014/main" id="{2A1B6A36-65CE-46A2-B629-6B16FB74D081}"/>
            </a:ext>
          </a:extLst>
        </xdr:cNvPr>
        <xdr:cNvSpPr>
          <a:spLocks noChangeAspect="1" noChangeArrowheads="1"/>
        </xdr:cNvSpPr>
      </xdr:nvSpPr>
      <xdr:spPr bwMode="auto">
        <a:xfrm>
          <a:off x="0" y="30659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1511</xdr:row>
      <xdr:rowOff>0</xdr:rowOff>
    </xdr:from>
    <xdr:to>
      <xdr:col>0</xdr:col>
      <xdr:colOff>304800</xdr:colOff>
      <xdr:row>1512</xdr:row>
      <xdr:rowOff>114300</xdr:rowOff>
    </xdr:to>
    <xdr:sp macro="" textlink="">
      <xdr:nvSpPr>
        <xdr:cNvPr id="3287" name="AutoShape 215">
          <a:extLst>
            <a:ext uri="{FF2B5EF4-FFF2-40B4-BE49-F238E27FC236}">
              <a16:creationId xmlns:a16="http://schemas.microsoft.com/office/drawing/2014/main" id="{3CBD1D4F-9349-9E14-2DCA-6D6D64D3ADC2}"/>
            </a:ext>
          </a:extLst>
        </xdr:cNvPr>
        <xdr:cNvSpPr>
          <a:spLocks noChangeAspect="1" noChangeArrowheads="1"/>
        </xdr:cNvSpPr>
      </xdr:nvSpPr>
      <xdr:spPr bwMode="auto">
        <a:xfrm>
          <a:off x="0" y="30801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1518</xdr:row>
      <xdr:rowOff>0</xdr:rowOff>
    </xdr:from>
    <xdr:to>
      <xdr:col>0</xdr:col>
      <xdr:colOff>304800</xdr:colOff>
      <xdr:row>1519</xdr:row>
      <xdr:rowOff>114300</xdr:rowOff>
    </xdr:to>
    <xdr:sp macro="" textlink="">
      <xdr:nvSpPr>
        <xdr:cNvPr id="3288" name="AutoShape 216">
          <a:extLst>
            <a:ext uri="{FF2B5EF4-FFF2-40B4-BE49-F238E27FC236}">
              <a16:creationId xmlns:a16="http://schemas.microsoft.com/office/drawing/2014/main" id="{FACFF307-295E-8236-B896-635145233AEE}"/>
            </a:ext>
          </a:extLst>
        </xdr:cNvPr>
        <xdr:cNvSpPr>
          <a:spLocks noChangeAspect="1" noChangeArrowheads="1"/>
        </xdr:cNvSpPr>
      </xdr:nvSpPr>
      <xdr:spPr bwMode="auto">
        <a:xfrm>
          <a:off x="0" y="30944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1</xdr:col>
      <xdr:colOff>286871</xdr:colOff>
      <xdr:row>3</xdr:row>
      <xdr:rowOff>42920</xdr:rowOff>
    </xdr:from>
    <xdr:to>
      <xdr:col>5</xdr:col>
      <xdr:colOff>245857</xdr:colOff>
      <xdr:row>15</xdr:row>
      <xdr:rowOff>0</xdr:rowOff>
    </xdr:to>
    <xdr:graphicFrame macro="">
      <xdr:nvGraphicFramePr>
        <xdr:cNvPr id="2" name="Chart 1">
          <a:extLst>
            <a:ext uri="{FF2B5EF4-FFF2-40B4-BE49-F238E27FC236}">
              <a16:creationId xmlns:a16="http://schemas.microsoft.com/office/drawing/2014/main" id="{DE2A7584-6138-F48D-7481-FFC8E6735B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383466</xdr:colOff>
      <xdr:row>2</xdr:row>
      <xdr:rowOff>82587</xdr:rowOff>
    </xdr:from>
    <xdr:to>
      <xdr:col>12</xdr:col>
      <xdr:colOff>97269</xdr:colOff>
      <xdr:row>19</xdr:row>
      <xdr:rowOff>58941</xdr:rowOff>
    </xdr:to>
    <xdr:graphicFrame macro="">
      <xdr:nvGraphicFramePr>
        <xdr:cNvPr id="3" name="Chart 2">
          <a:extLst>
            <a:ext uri="{FF2B5EF4-FFF2-40B4-BE49-F238E27FC236}">
              <a16:creationId xmlns:a16="http://schemas.microsoft.com/office/drawing/2014/main" id="{7DC036DD-F71A-29D9-2055-4CF8B10F5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227928</xdr:colOff>
      <xdr:row>2</xdr:row>
      <xdr:rowOff>104328</xdr:rowOff>
    </xdr:from>
    <xdr:to>
      <xdr:col>16</xdr:col>
      <xdr:colOff>430305</xdr:colOff>
      <xdr:row>13</xdr:row>
      <xdr:rowOff>104327</xdr:rowOff>
    </xdr:to>
    <xdr:graphicFrame macro="">
      <xdr:nvGraphicFramePr>
        <xdr:cNvPr id="4" name="Chart 3">
          <a:extLst>
            <a:ext uri="{FF2B5EF4-FFF2-40B4-BE49-F238E27FC236}">
              <a16:creationId xmlns:a16="http://schemas.microsoft.com/office/drawing/2014/main" id="{5236D275-C9B0-4BB7-6100-DECB4AE7F4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595313</xdr:colOff>
      <xdr:row>4</xdr:row>
      <xdr:rowOff>-1</xdr:rowOff>
    </xdr:from>
    <xdr:to>
      <xdr:col>38</xdr:col>
      <xdr:colOff>214313</xdr:colOff>
      <xdr:row>30</xdr:row>
      <xdr:rowOff>119062</xdr:rowOff>
    </xdr:to>
    <xdr:graphicFrame macro="">
      <xdr:nvGraphicFramePr>
        <xdr:cNvPr id="7" name="Chart 6">
          <a:extLst>
            <a:ext uri="{FF2B5EF4-FFF2-40B4-BE49-F238E27FC236}">
              <a16:creationId xmlns:a16="http://schemas.microsoft.com/office/drawing/2014/main" id="{F3910614-2BA5-012D-16B9-93BBD04840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61</xdr:col>
      <xdr:colOff>87630</xdr:colOff>
      <xdr:row>5</xdr:row>
      <xdr:rowOff>20955</xdr:rowOff>
    </xdr:from>
    <xdr:to>
      <xdr:col>86</xdr:col>
      <xdr:colOff>579120</xdr:colOff>
      <xdr:row>38</xdr:row>
      <xdr:rowOff>59055</xdr:rowOff>
    </xdr:to>
    <xdr:graphicFrame macro="">
      <xdr:nvGraphicFramePr>
        <xdr:cNvPr id="8" name="Chart 7">
          <a:extLst>
            <a:ext uri="{FF2B5EF4-FFF2-40B4-BE49-F238E27FC236}">
              <a16:creationId xmlns:a16="http://schemas.microsoft.com/office/drawing/2014/main" id="{5A1ED471-41A0-DB91-FFC9-79E8BB0917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93</xdr:col>
      <xdr:colOff>1</xdr:colOff>
      <xdr:row>4</xdr:row>
      <xdr:rowOff>41910</xdr:rowOff>
    </xdr:from>
    <xdr:to>
      <xdr:col>128</xdr:col>
      <xdr:colOff>60960</xdr:colOff>
      <xdr:row>52</xdr:row>
      <xdr:rowOff>91440</xdr:rowOff>
    </xdr:to>
    <xdr:graphicFrame macro="">
      <xdr:nvGraphicFramePr>
        <xdr:cNvPr id="5" name="Chart 4">
          <a:extLst>
            <a:ext uri="{FF2B5EF4-FFF2-40B4-BE49-F238E27FC236}">
              <a16:creationId xmlns:a16="http://schemas.microsoft.com/office/drawing/2014/main" id="{52DBD90B-748B-2228-7C4B-4CBBD4FAB9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47</xdr:col>
      <xdr:colOff>323850</xdr:colOff>
      <xdr:row>10</xdr:row>
      <xdr:rowOff>104775</xdr:rowOff>
    </xdr:from>
    <xdr:to>
      <xdr:col>63</xdr:col>
      <xdr:colOff>419100</xdr:colOff>
      <xdr:row>37</xdr:row>
      <xdr:rowOff>142875</xdr:rowOff>
    </xdr:to>
    <xdr:graphicFrame macro="">
      <xdr:nvGraphicFramePr>
        <xdr:cNvPr id="4" name="Chart 3">
          <a:extLst>
            <a:ext uri="{FF2B5EF4-FFF2-40B4-BE49-F238E27FC236}">
              <a16:creationId xmlns:a16="http://schemas.microsoft.com/office/drawing/2014/main" id="{DB47FFDF-FD8B-CC94-9C1E-DA57C8F037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230505</xdr:colOff>
      <xdr:row>16</xdr:row>
      <xdr:rowOff>93172</xdr:rowOff>
    </xdr:from>
    <xdr:to>
      <xdr:col>48</xdr:col>
      <xdr:colOff>164349</xdr:colOff>
      <xdr:row>42</xdr:row>
      <xdr:rowOff>25804</xdr:rowOff>
    </xdr:to>
    <xdr:graphicFrame macro="">
      <xdr:nvGraphicFramePr>
        <xdr:cNvPr id="6" name="Chart 5">
          <a:extLst>
            <a:ext uri="{FF2B5EF4-FFF2-40B4-BE49-F238E27FC236}">
              <a16:creationId xmlns:a16="http://schemas.microsoft.com/office/drawing/2014/main" id="{4065E275-12E8-A904-CC7F-89EE2B9BF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PerformanceAssessments2026/PerfMon-6hr/PerfMon2026-JLCoreIT/0f3994q24393mr-03232026-csv.xlsx" TargetMode="External"/><Relationship Id="rId2" Type="http://schemas.openxmlformats.org/officeDocument/2006/relationships/externalLinkPath" Target="https://jacksonlewis-my.sharepoint.com/personal/dossr_jacksonlewis_com/Documents/Documents/Endpoint%20Analytics/Assessments/PerformanceAssessments2026/PerfMon-6hr/PerfMon2026-JLCoreIT/0f3994q24393mr-03232026-csv.xlsx" TargetMode="External"/><Relationship Id="rId1" Type="http://schemas.openxmlformats.org/officeDocument/2006/relationships/externalLinkPath" Target="/personal/dossr_jacksonlewis_com/Documents/Documents/Endpoint%20Analytics/Assessments/PerformanceAssessments2026/PerfMon-6hr/PerfMon2026-JLCoreIT/0f3994q24393mr-03232026-csv.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0f3994q24393mr-03232026-csv"/>
    </sheetNames>
    <sheetDataSet>
      <sheetData sheetId="0">
        <row r="724">
          <cell r="B724">
            <v>42872.528432732317</v>
          </cell>
          <cell r="C724">
            <v>14505.882037566327</v>
          </cell>
          <cell r="D724">
            <v>140.73086471934917</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032D6-9EB9-411F-A476-0F8549F3E165}">
  <dimension ref="A1:B23"/>
  <sheetViews>
    <sheetView workbookViewId="0">
      <selection activeCell="A23" sqref="A23"/>
    </sheetView>
  </sheetViews>
  <sheetFormatPr defaultRowHeight="15" x14ac:dyDescent="0.25"/>
  <cols>
    <col min="1" max="1" width="112.85546875" bestFit="1" customWidth="1"/>
    <col min="2" max="2" width="255.7109375" bestFit="1" customWidth="1"/>
  </cols>
  <sheetData>
    <row r="1" spans="1:2" x14ac:dyDescent="0.25">
      <c r="A1" s="4"/>
    </row>
    <row r="2" spans="1:2" x14ac:dyDescent="0.25">
      <c r="A2" s="1" t="s">
        <v>0</v>
      </c>
      <c r="B2" s="2"/>
    </row>
    <row r="3" spans="1:2" x14ac:dyDescent="0.25">
      <c r="A3" s="2" t="s">
        <v>1</v>
      </c>
      <c r="B3" s="2" t="s">
        <v>2</v>
      </c>
    </row>
    <row r="4" spans="1:2" x14ac:dyDescent="0.25">
      <c r="A4" s="2" t="s">
        <v>3</v>
      </c>
      <c r="B4" s="2" t="s">
        <v>4</v>
      </c>
    </row>
    <row r="5" spans="1:2" x14ac:dyDescent="0.25">
      <c r="A5" s="2" t="s">
        <v>5</v>
      </c>
      <c r="B5" s="2" t="s">
        <v>6</v>
      </c>
    </row>
    <row r="6" spans="1:2" x14ac:dyDescent="0.25">
      <c r="A6" s="2" t="s">
        <v>7</v>
      </c>
      <c r="B6" s="2" t="s">
        <v>8</v>
      </c>
    </row>
    <row r="7" spans="1:2" x14ac:dyDescent="0.25">
      <c r="A7" s="2" t="s">
        <v>9</v>
      </c>
      <c r="B7" s="2" t="s">
        <v>10</v>
      </c>
    </row>
    <row r="8" spans="1:2" x14ac:dyDescent="0.25">
      <c r="A8" s="2" t="s">
        <v>11</v>
      </c>
      <c r="B8" s="2" t="s">
        <v>12</v>
      </c>
    </row>
    <row r="9" spans="1:2" x14ac:dyDescent="0.25">
      <c r="A9" s="2" t="s">
        <v>13</v>
      </c>
      <c r="B9" s="2" t="s">
        <v>14</v>
      </c>
    </row>
    <row r="10" spans="1:2" x14ac:dyDescent="0.25">
      <c r="A10" s="3" t="s">
        <v>15</v>
      </c>
      <c r="B10" s="2" t="s">
        <v>16</v>
      </c>
    </row>
    <row r="11" spans="1:2" x14ac:dyDescent="0.25">
      <c r="A11" s="3" t="s">
        <v>17</v>
      </c>
      <c r="B11" s="2" t="s">
        <v>18</v>
      </c>
    </row>
    <row r="12" spans="1:2" x14ac:dyDescent="0.25">
      <c r="A12" s="3" t="s">
        <v>19</v>
      </c>
      <c r="B12" s="2" t="s">
        <v>20</v>
      </c>
    </row>
    <row r="13" spans="1:2" x14ac:dyDescent="0.25">
      <c r="A13" s="3" t="s">
        <v>21</v>
      </c>
      <c r="B13" s="2" t="s">
        <v>22</v>
      </c>
    </row>
    <row r="14" spans="1:2" x14ac:dyDescent="0.25">
      <c r="A14" s="3" t="s">
        <v>23</v>
      </c>
      <c r="B14" s="2" t="s">
        <v>24</v>
      </c>
    </row>
    <row r="15" spans="1:2" x14ac:dyDescent="0.25">
      <c r="A15" s="2" t="s">
        <v>25</v>
      </c>
      <c r="B15" s="2" t="s">
        <v>26</v>
      </c>
    </row>
    <row r="16" spans="1:2" x14ac:dyDescent="0.25">
      <c r="A16" s="2" t="s">
        <v>27</v>
      </c>
      <c r="B16" s="2"/>
    </row>
    <row r="17" spans="1:2" x14ac:dyDescent="0.25">
      <c r="A17" s="2" t="s">
        <v>40</v>
      </c>
      <c r="B17" s="2"/>
    </row>
    <row r="18" spans="1:2" x14ac:dyDescent="0.25">
      <c r="A18" s="2" t="s">
        <v>35</v>
      </c>
      <c r="B18" s="2"/>
    </row>
    <row r="19" spans="1:2" x14ac:dyDescent="0.25">
      <c r="A19" s="2" t="s">
        <v>36</v>
      </c>
      <c r="B19" s="2"/>
    </row>
    <row r="20" spans="1:2" x14ac:dyDescent="0.25">
      <c r="A20" s="2" t="s">
        <v>37</v>
      </c>
      <c r="B20" s="2"/>
    </row>
    <row r="21" spans="1:2" x14ac:dyDescent="0.25">
      <c r="A21" s="2" t="s">
        <v>38</v>
      </c>
      <c r="B21" s="2"/>
    </row>
    <row r="22" spans="1:2" x14ac:dyDescent="0.25">
      <c r="A22" s="2" t="s">
        <v>39</v>
      </c>
      <c r="B22" s="2"/>
    </row>
    <row r="23" spans="1:2" x14ac:dyDescent="0.25">
      <c r="A23" t="s">
        <v>44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BA858-6DFB-4939-8188-FE7B6D369EDE}">
  <dimension ref="A1:EP201"/>
  <sheetViews>
    <sheetView zoomScale="40" zoomScaleNormal="40" workbookViewId="0">
      <selection activeCell="J61" sqref="J61:L61"/>
    </sheetView>
  </sheetViews>
  <sheetFormatPr defaultRowHeight="15" x14ac:dyDescent="0.25"/>
  <cols>
    <col min="1" max="1" width="34.42578125" bestFit="1" customWidth="1"/>
    <col min="2" max="2" width="25.7109375" style="40" customWidth="1"/>
    <col min="3" max="3" width="12.42578125" style="14" customWidth="1"/>
    <col min="4" max="4" width="23.85546875" style="14" bestFit="1" customWidth="1"/>
    <col min="5" max="5" width="11.42578125" style="14" bestFit="1" customWidth="1"/>
    <col min="6" max="6" width="6.85546875" style="14" bestFit="1" customWidth="1"/>
    <col min="7" max="7" width="7.140625" style="14" bestFit="1" customWidth="1"/>
    <col min="8" max="8" width="17.42578125" style="34" bestFit="1" customWidth="1"/>
    <col min="9" max="9" width="19" style="34" bestFit="1" customWidth="1"/>
    <col min="10" max="10" width="18" customWidth="1"/>
    <col min="11" max="11" width="17" customWidth="1"/>
    <col min="12" max="12" width="20.140625" customWidth="1"/>
    <col min="13" max="13" width="5.5703125" customWidth="1"/>
    <col min="14" max="14" width="3.42578125" customWidth="1"/>
    <col min="15" max="15" width="9.5703125" customWidth="1"/>
    <col min="16" max="16" width="39.140625" customWidth="1"/>
    <col min="17" max="17" width="21" customWidth="1"/>
    <col min="18" max="18" width="23" customWidth="1"/>
    <col min="19" max="19" width="19.42578125" customWidth="1"/>
    <col min="20" max="20" width="23.5703125" customWidth="1"/>
    <col min="22" max="22" width="11.7109375" customWidth="1"/>
    <col min="23" max="23" width="6" customWidth="1"/>
    <col min="24" max="24" width="6.42578125" customWidth="1"/>
    <col min="26" max="26" width="21.7109375" customWidth="1"/>
    <col min="27" max="27" width="4.5703125" customWidth="1"/>
    <col min="28" max="28" width="5.42578125" customWidth="1"/>
    <col min="29" max="29" width="16.85546875" customWidth="1"/>
    <col min="30" max="30" width="11.7109375" customWidth="1"/>
    <col min="31" max="31" width="19.28515625" bestFit="1" customWidth="1"/>
    <col min="32" max="32" width="15.5703125" customWidth="1"/>
    <col min="33" max="33" width="14.28515625" customWidth="1"/>
    <col min="34" max="34" width="22.42578125" bestFit="1" customWidth="1"/>
    <col min="35" max="35" width="35.28515625" customWidth="1"/>
    <col min="36" max="36" width="29.28515625" bestFit="1" customWidth="1"/>
    <col min="37" max="37" width="17.85546875" customWidth="1"/>
    <col min="39" max="39" width="35.42578125" bestFit="1" customWidth="1"/>
    <col min="40" max="40" width="27.85546875" bestFit="1" customWidth="1"/>
    <col min="41" max="41" width="21.140625" customWidth="1"/>
    <col min="52" max="52" width="40.7109375" bestFit="1" customWidth="1"/>
    <col min="53" max="53" width="38.42578125" bestFit="1" customWidth="1"/>
    <col min="69" max="69" width="16.140625" customWidth="1"/>
    <col min="72" max="72" width="14.7109375" customWidth="1"/>
    <col min="73" max="73" width="27.85546875" bestFit="1" customWidth="1"/>
    <col min="74" max="74" width="17" customWidth="1"/>
    <col min="76" max="76" width="12.7109375" customWidth="1"/>
    <col min="77" max="77" width="17.5703125" customWidth="1"/>
    <col min="78" max="78" width="13.28515625" customWidth="1"/>
    <col min="79" max="79" width="13.85546875" customWidth="1"/>
    <col min="80" max="80" width="27.42578125" bestFit="1" customWidth="1"/>
    <col min="81" max="81" width="12.5703125" customWidth="1"/>
    <col min="82" max="82" width="25.85546875" bestFit="1" customWidth="1"/>
    <col min="83" max="83" width="14.7109375" customWidth="1"/>
    <col min="87" max="87" width="13.5703125" customWidth="1"/>
    <col min="93" max="93" width="11.7109375" customWidth="1"/>
    <col min="104" max="104" width="20.5703125" customWidth="1"/>
    <col min="105" max="105" width="25.85546875" customWidth="1"/>
    <col min="107" max="108" width="15.85546875" customWidth="1"/>
    <col min="109" max="109" width="13.85546875" customWidth="1"/>
    <col min="110" max="110" width="22.42578125" customWidth="1"/>
    <col min="111" max="111" width="15.28515625" customWidth="1"/>
    <col min="112" max="112" width="17.5703125" customWidth="1"/>
    <col min="113" max="113" width="15.5703125" customWidth="1"/>
    <col min="114" max="114" width="13" customWidth="1"/>
    <col min="115" max="115" width="14.28515625" customWidth="1"/>
    <col min="116" max="116" width="15.7109375" customWidth="1"/>
    <col min="117" max="117" width="13.140625" customWidth="1"/>
    <col min="118" max="118" width="13.85546875" customWidth="1"/>
    <col min="119" max="119" width="16.42578125" customWidth="1"/>
    <col min="120" max="120" width="16.140625" customWidth="1"/>
    <col min="121" max="121" width="18.5703125" customWidth="1"/>
    <col min="122" max="122" width="14.7109375" customWidth="1"/>
    <col min="123" max="123" width="15.42578125" customWidth="1"/>
    <col min="129" max="129" width="18.28515625" customWidth="1"/>
    <col min="130" max="130" width="13.7109375" customWidth="1"/>
    <col min="131" max="131" width="16.28515625" customWidth="1"/>
    <col min="132" max="132" width="19.28515625" customWidth="1"/>
    <col min="133" max="133" width="14.7109375" customWidth="1"/>
    <col min="134" max="134" width="16.28515625" customWidth="1"/>
    <col min="135" max="135" width="15.28515625" customWidth="1"/>
    <col min="137" max="137" width="19.42578125" customWidth="1"/>
    <col min="138" max="138" width="19.28515625" customWidth="1"/>
    <col min="139" max="139" width="22.140625" customWidth="1"/>
    <col min="140" max="140" width="22.85546875" customWidth="1"/>
    <col min="141" max="141" width="28" customWidth="1"/>
    <col min="142" max="142" width="25" customWidth="1"/>
    <col min="143" max="143" width="28" customWidth="1"/>
    <col min="144" max="144" width="67" bestFit="1" customWidth="1"/>
    <col min="145" max="145" width="53.28515625" bestFit="1" customWidth="1"/>
  </cols>
  <sheetData>
    <row r="1" spans="1:146" x14ac:dyDescent="0.25">
      <c r="A1" s="57"/>
      <c r="B1" s="58"/>
      <c r="C1" s="59"/>
      <c r="D1" s="59"/>
      <c r="E1" s="59"/>
      <c r="F1" s="59"/>
      <c r="G1" s="59"/>
      <c r="H1" s="60"/>
      <c r="I1" s="60"/>
      <c r="J1" s="57"/>
      <c r="K1" s="57"/>
      <c r="L1" s="57"/>
      <c r="M1" s="57"/>
      <c r="N1" s="57"/>
      <c r="O1" s="57"/>
      <c r="P1" s="57"/>
      <c r="Q1" s="57"/>
      <c r="R1" s="57"/>
      <c r="S1" s="57"/>
      <c r="T1" s="57"/>
      <c r="U1" s="57"/>
      <c r="V1" s="57"/>
      <c r="W1" s="57"/>
      <c r="X1" s="57"/>
      <c r="Y1" s="57"/>
      <c r="Z1" s="57"/>
      <c r="AA1" s="57"/>
      <c r="AB1" s="57"/>
      <c r="AC1" s="57"/>
      <c r="AD1" s="57"/>
      <c r="AE1" s="57"/>
      <c r="AF1" s="61"/>
      <c r="AG1" s="57"/>
      <c r="AH1" s="57"/>
      <c r="AI1" s="57"/>
      <c r="AJ1" s="57"/>
      <c r="AK1" s="57"/>
      <c r="AL1" s="57"/>
      <c r="AM1" s="57"/>
      <c r="AN1" s="57"/>
      <c r="AO1" s="57"/>
      <c r="AP1" s="57"/>
      <c r="AQ1" s="57"/>
      <c r="AR1" s="57"/>
      <c r="AS1" s="57"/>
      <c r="AT1" s="57"/>
      <c r="AU1" s="57"/>
      <c r="AV1" s="57"/>
      <c r="AW1" s="57"/>
      <c r="AX1" s="57"/>
      <c r="AY1" s="57"/>
      <c r="AZ1" s="57"/>
      <c r="BA1" s="57"/>
      <c r="BB1" s="57"/>
      <c r="BC1" s="57"/>
      <c r="BD1" s="57"/>
      <c r="BE1" s="57"/>
      <c r="BF1" s="57"/>
      <c r="BG1" s="57"/>
      <c r="BH1" s="57"/>
      <c r="BI1" s="57"/>
      <c r="BJ1" s="57"/>
      <c r="BK1" s="57"/>
      <c r="BL1" s="57"/>
      <c r="BM1" s="57"/>
      <c r="BN1" s="57"/>
      <c r="BO1" s="57"/>
      <c r="BP1" s="57"/>
      <c r="BQ1" s="57"/>
      <c r="BR1" s="57"/>
      <c r="BS1" s="57"/>
      <c r="BT1" s="57"/>
      <c r="BU1" s="57"/>
      <c r="BV1" s="57"/>
      <c r="BW1" s="57"/>
      <c r="BX1" s="57"/>
      <c r="BY1" s="57"/>
      <c r="BZ1" s="57"/>
      <c r="CA1" s="57"/>
      <c r="CB1" s="57"/>
      <c r="CC1" s="57"/>
      <c r="CD1" s="57"/>
      <c r="CE1" s="57"/>
      <c r="CF1" s="57"/>
      <c r="CG1" s="57"/>
      <c r="CH1" s="57"/>
      <c r="CI1" s="57"/>
      <c r="CJ1" s="57"/>
      <c r="CK1" s="57"/>
      <c r="CL1" s="57"/>
      <c r="CM1" s="57"/>
      <c r="CN1" s="57"/>
      <c r="CO1" s="57"/>
      <c r="CP1" s="57"/>
      <c r="CQ1" s="57"/>
      <c r="CR1" s="57"/>
      <c r="CS1" s="57"/>
      <c r="CT1" s="57"/>
      <c r="CU1" s="57"/>
      <c r="CV1" s="57"/>
      <c r="CW1" s="57"/>
      <c r="CX1" s="57"/>
      <c r="CY1" s="57"/>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c r="ED1" s="57"/>
      <c r="EE1" s="57"/>
      <c r="EF1" s="57"/>
      <c r="EG1" s="57"/>
      <c r="EH1" s="57"/>
      <c r="EI1" s="57"/>
      <c r="EJ1" s="57"/>
      <c r="EK1" s="57"/>
      <c r="EL1" s="57"/>
      <c r="EM1" s="57"/>
      <c r="EN1" s="57"/>
      <c r="EO1" s="57"/>
      <c r="EP1" s="57"/>
    </row>
    <row r="2" spans="1:146" x14ac:dyDescent="0.25">
      <c r="A2" s="10" t="s">
        <v>397</v>
      </c>
      <c r="B2" s="38"/>
      <c r="C2" s="23"/>
      <c r="D2" s="23"/>
      <c r="E2" s="23"/>
      <c r="F2" s="13"/>
      <c r="G2" s="13"/>
      <c r="H2" s="23"/>
      <c r="I2" s="23"/>
      <c r="J2" s="3" t="s">
        <v>52</v>
      </c>
      <c r="K2" s="3" t="s">
        <v>53</v>
      </c>
      <c r="L2" s="3" t="s">
        <v>54</v>
      </c>
      <c r="M2" s="6" t="s">
        <v>55</v>
      </c>
      <c r="N2" s="6" t="s">
        <v>56</v>
      </c>
      <c r="O2" s="6" t="s">
        <v>57</v>
      </c>
      <c r="P2" s="41" t="s">
        <v>58</v>
      </c>
      <c r="Q2" s="41" t="s">
        <v>59</v>
      </c>
      <c r="R2" s="41" t="s">
        <v>352</v>
      </c>
      <c r="S2" s="6" t="s">
        <v>60</v>
      </c>
      <c r="T2" s="41" t="s">
        <v>224</v>
      </c>
      <c r="U2" s="6" t="s">
        <v>61</v>
      </c>
      <c r="V2" s="6" t="s">
        <v>62</v>
      </c>
      <c r="W2" s="6" t="s">
        <v>63</v>
      </c>
      <c r="X2" s="6" t="s">
        <v>64</v>
      </c>
      <c r="Y2" s="6" t="s">
        <v>65</v>
      </c>
      <c r="Z2" s="41" t="s">
        <v>66</v>
      </c>
      <c r="AA2" s="6" t="s">
        <v>67</v>
      </c>
      <c r="AB2" s="6" t="s">
        <v>68</v>
      </c>
      <c r="AC2" s="6" t="s">
        <v>228</v>
      </c>
      <c r="AD2" s="7" t="s">
        <v>74</v>
      </c>
      <c r="AE2" s="7" t="s">
        <v>72</v>
      </c>
      <c r="AF2" s="7" t="s">
        <v>73</v>
      </c>
      <c r="AG2" s="8" t="s">
        <v>227</v>
      </c>
      <c r="AH2" s="8" t="s">
        <v>181</v>
      </c>
      <c r="AI2" s="8" t="s">
        <v>180</v>
      </c>
      <c r="AJ2" s="8" t="s">
        <v>75</v>
      </c>
      <c r="AK2" s="8" t="s">
        <v>76</v>
      </c>
      <c r="AL2" s="8" t="s">
        <v>77</v>
      </c>
      <c r="AM2" s="8" t="s">
        <v>78</v>
      </c>
      <c r="AN2" s="8" t="s">
        <v>79</v>
      </c>
      <c r="AO2" s="8" t="s">
        <v>80</v>
      </c>
      <c r="AP2" s="8" t="s">
        <v>81</v>
      </c>
      <c r="AQ2" s="8" t="s">
        <v>82</v>
      </c>
      <c r="AR2" s="8" t="s">
        <v>83</v>
      </c>
      <c r="AS2" s="9" t="s">
        <v>84</v>
      </c>
      <c r="AT2" s="9" t="s">
        <v>85</v>
      </c>
      <c r="AU2" s="9" t="s">
        <v>86</v>
      </c>
      <c r="AV2" s="9" t="s">
        <v>87</v>
      </c>
      <c r="AW2" s="9" t="s">
        <v>88</v>
      </c>
      <c r="AX2" s="9" t="s">
        <v>89</v>
      </c>
      <c r="AY2" s="9" t="s">
        <v>90</v>
      </c>
      <c r="AZ2" s="9" t="s">
        <v>91</v>
      </c>
      <c r="BA2" s="9" t="s">
        <v>92</v>
      </c>
      <c r="BB2" s="9" t="s">
        <v>93</v>
      </c>
      <c r="BC2" s="9" t="s">
        <v>94</v>
      </c>
      <c r="BD2" s="9" t="s">
        <v>95</v>
      </c>
      <c r="BE2" s="9" t="s">
        <v>96</v>
      </c>
      <c r="BF2" s="9" t="s">
        <v>97</v>
      </c>
      <c r="BG2" s="9" t="s">
        <v>98</v>
      </c>
      <c r="BH2" s="9" t="s">
        <v>99</v>
      </c>
      <c r="BI2" s="9" t="s">
        <v>100</v>
      </c>
      <c r="BJ2" s="9" t="s">
        <v>101</v>
      </c>
      <c r="BK2" s="9" t="s">
        <v>102</v>
      </c>
      <c r="BL2" s="9" t="s">
        <v>103</v>
      </c>
      <c r="BM2" s="9" t="s">
        <v>104</v>
      </c>
      <c r="BN2" s="9" t="s">
        <v>105</v>
      </c>
      <c r="BO2" s="9" t="s">
        <v>106</v>
      </c>
      <c r="BP2" s="9" t="s">
        <v>107</v>
      </c>
      <c r="BQ2" s="26" t="s">
        <v>108</v>
      </c>
      <c r="BR2" s="26" t="s">
        <v>109</v>
      </c>
      <c r="BS2" s="26" t="s">
        <v>110</v>
      </c>
      <c r="BT2" s="26" t="s">
        <v>111</v>
      </c>
      <c r="BU2" s="26" t="s">
        <v>112</v>
      </c>
      <c r="BV2" s="26" t="s">
        <v>113</v>
      </c>
      <c r="BW2" s="26" t="s">
        <v>114</v>
      </c>
      <c r="BX2" s="26" t="s">
        <v>115</v>
      </c>
      <c r="BY2" s="26" t="s">
        <v>116</v>
      </c>
      <c r="BZ2" s="26" t="s">
        <v>117</v>
      </c>
      <c r="CA2" s="26" t="s">
        <v>118</v>
      </c>
      <c r="CB2" s="26" t="s">
        <v>119</v>
      </c>
      <c r="CC2" s="26" t="s">
        <v>120</v>
      </c>
      <c r="CD2" s="26" t="s">
        <v>121</v>
      </c>
      <c r="CE2" s="26" t="s">
        <v>122</v>
      </c>
      <c r="CF2" s="26" t="s">
        <v>123</v>
      </c>
      <c r="CG2" s="26" t="s">
        <v>124</v>
      </c>
      <c r="CH2" s="26" t="s">
        <v>125</v>
      </c>
      <c r="CI2" s="26" t="s">
        <v>126</v>
      </c>
      <c r="CJ2" s="26" t="s">
        <v>127</v>
      </c>
      <c r="CK2" s="26" t="s">
        <v>128</v>
      </c>
      <c r="CL2" s="26" t="s">
        <v>129</v>
      </c>
      <c r="CM2" s="26" t="s">
        <v>130</v>
      </c>
      <c r="CN2" s="26" t="s">
        <v>131</v>
      </c>
      <c r="CO2" s="26" t="s">
        <v>132</v>
      </c>
      <c r="CP2" s="26" t="s">
        <v>133</v>
      </c>
      <c r="CQ2" s="26" t="s">
        <v>134</v>
      </c>
      <c r="CR2" s="26" t="s">
        <v>135</v>
      </c>
      <c r="CS2" s="26" t="s">
        <v>136</v>
      </c>
      <c r="CT2" s="26" t="s">
        <v>137</v>
      </c>
      <c r="CU2" s="26" t="s">
        <v>138</v>
      </c>
      <c r="CV2" s="26" t="s">
        <v>139</v>
      </c>
      <c r="CW2" s="26" t="s">
        <v>140</v>
      </c>
      <c r="CX2" s="26" t="s">
        <v>141</v>
      </c>
      <c r="CY2" s="26" t="s">
        <v>142</v>
      </c>
      <c r="CZ2" s="26" t="s">
        <v>143</v>
      </c>
      <c r="DA2" s="28" t="s">
        <v>144</v>
      </c>
      <c r="DB2" s="28" t="s">
        <v>145</v>
      </c>
      <c r="DC2" s="28" t="s">
        <v>146</v>
      </c>
      <c r="DD2" s="28" t="s">
        <v>147</v>
      </c>
      <c r="DE2" s="28" t="s">
        <v>148</v>
      </c>
      <c r="DF2" s="28" t="s">
        <v>149</v>
      </c>
      <c r="DG2" s="28" t="s">
        <v>150</v>
      </c>
      <c r="DH2" s="28" t="s">
        <v>151</v>
      </c>
      <c r="DI2" s="28" t="s">
        <v>152</v>
      </c>
      <c r="DJ2" s="28" t="s">
        <v>153</v>
      </c>
      <c r="DK2" s="28" t="s">
        <v>154</v>
      </c>
      <c r="DL2" s="28" t="s">
        <v>155</v>
      </c>
      <c r="DM2" s="28" t="s">
        <v>156</v>
      </c>
      <c r="DN2" s="28" t="s">
        <v>157</v>
      </c>
      <c r="DO2" s="28" t="s">
        <v>158</v>
      </c>
      <c r="DP2" s="28" t="s">
        <v>159</v>
      </c>
      <c r="DQ2" s="28" t="s">
        <v>160</v>
      </c>
      <c r="DR2" s="28" t="s">
        <v>161</v>
      </c>
      <c r="DS2" s="28" t="s">
        <v>162</v>
      </c>
      <c r="DT2" s="29" t="s">
        <v>163</v>
      </c>
      <c r="DU2" s="29" t="s">
        <v>164</v>
      </c>
      <c r="DV2" s="29" t="s">
        <v>165</v>
      </c>
      <c r="DW2" s="29" t="s">
        <v>166</v>
      </c>
      <c r="DX2" s="29" t="s">
        <v>167</v>
      </c>
      <c r="DY2" s="29" t="s">
        <v>168</v>
      </c>
      <c r="DZ2" s="29" t="s">
        <v>169</v>
      </c>
      <c r="EA2" s="29" t="s">
        <v>170</v>
      </c>
      <c r="EB2" s="29" t="s">
        <v>171</v>
      </c>
      <c r="EC2" s="29" t="s">
        <v>172</v>
      </c>
      <c r="ED2" s="29" t="s">
        <v>173</v>
      </c>
      <c r="EE2" s="29" t="s">
        <v>174</v>
      </c>
      <c r="EF2" s="29" t="s">
        <v>175</v>
      </c>
      <c r="EG2" s="29" t="s">
        <v>176</v>
      </c>
      <c r="EH2" s="29" t="s">
        <v>177</v>
      </c>
      <c r="EI2" s="29" t="s">
        <v>178</v>
      </c>
      <c r="EJ2" s="29" t="s">
        <v>179</v>
      </c>
      <c r="EK2" s="31" t="s">
        <v>41</v>
      </c>
      <c r="EL2" s="31" t="s">
        <v>42</v>
      </c>
      <c r="EM2" s="31" t="s">
        <v>43</v>
      </c>
      <c r="EN2" s="11" t="s">
        <v>69</v>
      </c>
      <c r="EO2" s="11" t="s">
        <v>70</v>
      </c>
      <c r="EP2" s="11"/>
    </row>
    <row r="3" spans="1:146" ht="15.75" x14ac:dyDescent="0.25">
      <c r="A3" s="15" t="s">
        <v>28</v>
      </c>
      <c r="B3" s="39" t="s">
        <v>49</v>
      </c>
      <c r="C3" s="24" t="s">
        <v>50</v>
      </c>
      <c r="D3" s="24" t="s">
        <v>29</v>
      </c>
      <c r="E3" s="24" t="s">
        <v>30</v>
      </c>
      <c r="F3" s="18" t="s">
        <v>32</v>
      </c>
      <c r="G3" s="5" t="s">
        <v>33</v>
      </c>
      <c r="H3" s="18" t="s">
        <v>34</v>
      </c>
      <c r="I3" s="5" t="s">
        <v>223</v>
      </c>
      <c r="J3" s="3"/>
      <c r="K3" s="65" t="s">
        <v>346</v>
      </c>
      <c r="L3" s="3"/>
      <c r="M3" s="6"/>
      <c r="N3" s="6"/>
      <c r="O3" s="6"/>
      <c r="P3" s="6"/>
      <c r="Q3" s="6"/>
      <c r="R3" s="6"/>
      <c r="S3" s="6"/>
      <c r="T3" s="66" t="s">
        <v>347</v>
      </c>
      <c r="U3" s="6"/>
      <c r="V3" s="6"/>
      <c r="W3" s="6"/>
      <c r="X3" s="6"/>
      <c r="Y3" s="6"/>
      <c r="Z3" s="6"/>
      <c r="AA3" s="6"/>
      <c r="AB3" s="6"/>
      <c r="AC3" s="6"/>
      <c r="AD3" s="7"/>
      <c r="AE3" s="48" t="s">
        <v>71</v>
      </c>
      <c r="AF3" s="7"/>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27"/>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30"/>
      <c r="DB3" s="30"/>
      <c r="DC3" s="30"/>
      <c r="DD3" s="30"/>
      <c r="DE3" s="30"/>
      <c r="DF3" s="30"/>
      <c r="DG3" s="30"/>
      <c r="DH3" s="30"/>
      <c r="DI3" s="30"/>
      <c r="DJ3" s="30"/>
      <c r="DK3" s="30"/>
      <c r="DL3" s="30"/>
      <c r="DM3" s="30"/>
      <c r="DN3" s="30"/>
      <c r="DO3" s="30"/>
      <c r="DP3" s="30"/>
      <c r="DQ3" s="29"/>
      <c r="DR3" s="29"/>
      <c r="DS3" s="29"/>
      <c r="DT3" s="29"/>
      <c r="DU3" s="29"/>
      <c r="DV3" s="29"/>
      <c r="DW3" s="29"/>
      <c r="DX3" s="29"/>
      <c r="DY3" s="29"/>
      <c r="DZ3" s="29"/>
      <c r="EA3" s="29"/>
      <c r="EB3" s="29"/>
      <c r="EC3" s="29"/>
      <c r="ED3" s="29"/>
      <c r="EE3" s="29"/>
      <c r="EF3" s="29"/>
      <c r="EG3" s="29"/>
      <c r="EH3" s="29"/>
      <c r="EI3" s="29"/>
      <c r="EJ3" s="29"/>
      <c r="EK3" s="31"/>
      <c r="EL3" s="31"/>
      <c r="EM3" s="31"/>
      <c r="EN3" s="11"/>
      <c r="EO3" s="11"/>
      <c r="EP3" s="11"/>
    </row>
    <row r="4" spans="1:146" x14ac:dyDescent="0.25">
      <c r="A4" s="52" t="s">
        <v>229</v>
      </c>
      <c r="B4" s="52" t="s">
        <v>230</v>
      </c>
      <c r="C4" s="55" t="s">
        <v>51</v>
      </c>
      <c r="D4" s="55" t="s">
        <v>46</v>
      </c>
      <c r="E4" s="55" t="s">
        <v>47</v>
      </c>
      <c r="F4" s="51">
        <v>64</v>
      </c>
      <c r="G4" s="51" t="s">
        <v>231</v>
      </c>
      <c r="H4" s="53" t="s">
        <v>232</v>
      </c>
      <c r="I4" s="53" t="s">
        <v>233</v>
      </c>
      <c r="J4" s="12">
        <f>'[1]0f3994q24393mr-03232026-csv'!B724</f>
        <v>42872.528432732317</v>
      </c>
      <c r="K4" s="12">
        <f>'[1]0f3994q24393mr-03232026-csv'!C724</f>
        <v>14505.882037566327</v>
      </c>
      <c r="L4" s="12">
        <f>'[1]0f3994q24393mr-03232026-csv'!D724</f>
        <v>140.73086471934917</v>
      </c>
      <c r="M4" s="12"/>
      <c r="N4" s="12"/>
      <c r="O4" s="12"/>
      <c r="P4" s="12"/>
      <c r="Q4" s="12">
        <v>57831.892518853645</v>
      </c>
      <c r="R4" s="12"/>
      <c r="S4" s="12"/>
      <c r="T4" s="12">
        <v>134324.60967842213</v>
      </c>
      <c r="U4" s="12"/>
      <c r="V4" s="12"/>
      <c r="W4" s="12"/>
      <c r="X4" s="12"/>
      <c r="Y4" s="12"/>
      <c r="Z4" s="12"/>
      <c r="AA4" s="12"/>
      <c r="AB4" s="12"/>
      <c r="AC4" s="12"/>
      <c r="AD4" s="12">
        <v>99.380591568338701</v>
      </c>
      <c r="AE4" s="12">
        <v>59685.888199140078</v>
      </c>
      <c r="AF4" s="12">
        <v>19416.031857688366</v>
      </c>
      <c r="AG4" s="12"/>
      <c r="AH4" s="12"/>
      <c r="AI4" s="12">
        <v>0.32002449007135431</v>
      </c>
      <c r="AJ4" s="12"/>
      <c r="AK4" s="12"/>
      <c r="AL4" s="12">
        <v>0.77857635140437031</v>
      </c>
      <c r="AM4" s="12"/>
      <c r="AN4" s="12"/>
      <c r="AO4" s="12">
        <v>0.68089325282535706</v>
      </c>
      <c r="AP4" s="12"/>
      <c r="AQ4" s="12">
        <v>0.66622887268050057</v>
      </c>
      <c r="AR4" s="12">
        <v>12.238088930749399</v>
      </c>
      <c r="AS4" s="12">
        <v>3.4722352087461446E-2</v>
      </c>
      <c r="AT4" s="12">
        <v>0.79750529319507402</v>
      </c>
      <c r="AU4" s="12">
        <v>0.79008411614322793</v>
      </c>
      <c r="AV4" s="12">
        <v>1.945812577277501E-2</v>
      </c>
      <c r="AW4" s="12"/>
      <c r="AX4" s="12">
        <v>3.5160537708287198E-2</v>
      </c>
      <c r="AY4" s="12">
        <v>2.6296274721170549</v>
      </c>
      <c r="AZ4" s="12"/>
      <c r="BA4" s="12"/>
      <c r="BB4" s="12"/>
      <c r="BC4" s="12"/>
      <c r="BD4" s="12"/>
      <c r="BE4" s="12"/>
      <c r="BF4" s="12"/>
      <c r="BG4" s="12"/>
      <c r="BH4" s="12"/>
      <c r="BI4" s="12"/>
      <c r="BJ4" s="12"/>
      <c r="BK4" s="12"/>
      <c r="BL4" s="12"/>
      <c r="BM4" s="12"/>
      <c r="BN4" s="12"/>
      <c r="BO4" s="12">
        <v>6.5251672444545439E-2</v>
      </c>
      <c r="BP4" s="12">
        <v>0.42526059453304355</v>
      </c>
      <c r="BQ4" s="12"/>
      <c r="BR4" s="12"/>
      <c r="BS4" s="12">
        <v>105.26107137497245</v>
      </c>
      <c r="BT4" s="12"/>
      <c r="BU4" s="12"/>
      <c r="BV4" s="12">
        <v>179.52442303718431</v>
      </c>
      <c r="BW4" s="12"/>
      <c r="BX4" s="12"/>
      <c r="BY4" s="12">
        <v>10239.275798115304</v>
      </c>
      <c r="BZ4" s="12"/>
      <c r="CA4" s="12">
        <v>21.966830418463591</v>
      </c>
      <c r="CB4" s="12">
        <v>886961.61802451441</v>
      </c>
      <c r="CC4" s="12">
        <v>295.46241352343799</v>
      </c>
      <c r="CD4" s="12">
        <v>64356.519307455645</v>
      </c>
      <c r="CE4" s="12">
        <v>16567.479719194096</v>
      </c>
      <c r="CF4" s="12">
        <v>396.28529862936347</v>
      </c>
      <c r="CG4" s="12"/>
      <c r="CH4" s="12">
        <v>127.31844405484787</v>
      </c>
      <c r="CI4" s="12">
        <v>75562.363668666818</v>
      </c>
      <c r="CJ4" s="12"/>
      <c r="CK4" s="12"/>
      <c r="CL4" s="12"/>
      <c r="CM4" s="12"/>
      <c r="CN4" s="12"/>
      <c r="CO4" s="12"/>
      <c r="CP4" s="12"/>
      <c r="CQ4" s="12"/>
      <c r="CR4" s="12"/>
      <c r="CS4" s="12"/>
      <c r="CT4" s="12"/>
      <c r="CU4" s="12"/>
      <c r="CV4" s="12"/>
      <c r="CW4" s="12"/>
      <c r="CX4" s="12"/>
      <c r="CY4" s="12">
        <v>25.647440298554613</v>
      </c>
      <c r="CZ4" s="12">
        <v>30.414218294926478</v>
      </c>
      <c r="DA4" s="12"/>
      <c r="DB4" s="12"/>
      <c r="DC4" s="12">
        <v>28681481.586685158</v>
      </c>
      <c r="DD4" s="12"/>
      <c r="DE4" s="12"/>
      <c r="DF4" s="12">
        <v>30339736.676837724</v>
      </c>
      <c r="DG4" s="12"/>
      <c r="DH4" s="12"/>
      <c r="DI4" s="12">
        <v>259473777.26490983</v>
      </c>
      <c r="DJ4" s="12"/>
      <c r="DK4" s="12">
        <v>181056692.37170595</v>
      </c>
      <c r="DL4" s="12">
        <v>414776986.09708738</v>
      </c>
      <c r="DM4" s="12">
        <v>49190534.213592231</v>
      </c>
      <c r="DN4" s="12">
        <v>164262632.21081832</v>
      </c>
      <c r="DO4" s="12">
        <v>102196466.8626907</v>
      </c>
      <c r="DP4" s="12">
        <v>97130993.087378636</v>
      </c>
      <c r="DQ4" s="12"/>
      <c r="DR4" s="12">
        <v>21529291.805825241</v>
      </c>
      <c r="DS4" s="12">
        <v>724016511.34358978</v>
      </c>
      <c r="DT4" s="12"/>
      <c r="DU4" s="12"/>
      <c r="DV4" s="12"/>
      <c r="DW4" s="12"/>
      <c r="DX4" s="12"/>
      <c r="DY4" s="12"/>
      <c r="DZ4" s="12"/>
      <c r="EA4" s="12"/>
      <c r="EB4" s="12"/>
      <c r="EC4" s="12"/>
      <c r="ED4" s="12"/>
      <c r="EE4" s="12"/>
      <c r="EF4" s="12"/>
      <c r="EG4" s="12"/>
      <c r="EH4" s="12"/>
      <c r="EI4" s="12">
        <v>66013652.682385579</v>
      </c>
      <c r="EJ4" s="12">
        <v>28348614.83495146</v>
      </c>
      <c r="EK4" s="12">
        <v>2.7000075203250424</v>
      </c>
      <c r="EL4" s="12">
        <v>6.3624913613135705</v>
      </c>
      <c r="EM4" s="12">
        <v>3.6624234047723645</v>
      </c>
      <c r="EN4" s="12"/>
      <c r="EO4" s="12"/>
      <c r="EP4" s="12"/>
    </row>
    <row r="5" spans="1:146" x14ac:dyDescent="0.25">
      <c r="A5" s="52" t="s">
        <v>234</v>
      </c>
      <c r="B5" s="52" t="s">
        <v>235</v>
      </c>
      <c r="C5" s="55" t="s">
        <v>51</v>
      </c>
      <c r="D5" s="55" t="s">
        <v>222</v>
      </c>
      <c r="E5" s="55" t="s">
        <v>196</v>
      </c>
      <c r="F5" s="50">
        <v>32</v>
      </c>
      <c r="G5" s="50">
        <v>512</v>
      </c>
      <c r="H5" s="53"/>
      <c r="I5" s="53" t="s">
        <v>233</v>
      </c>
      <c r="J5" s="12">
        <v>14938.527777777777</v>
      </c>
      <c r="K5" s="12">
        <v>16539.526934622321</v>
      </c>
      <c r="L5" s="12">
        <v>68.758094995358604</v>
      </c>
      <c r="M5" s="12"/>
      <c r="N5" s="12"/>
      <c r="O5" s="12"/>
      <c r="P5" s="12"/>
      <c r="Q5" s="12"/>
      <c r="R5" s="12"/>
      <c r="S5" s="12"/>
      <c r="T5" s="12"/>
      <c r="U5" s="12"/>
      <c r="V5" s="12"/>
      <c r="W5" s="12"/>
      <c r="X5" s="12"/>
      <c r="Y5" s="12"/>
      <c r="Z5" s="12"/>
      <c r="AA5" s="12"/>
      <c r="AB5" s="12"/>
      <c r="AC5" s="12">
        <v>30900.737626292441</v>
      </c>
      <c r="AD5" s="12">
        <v>96.23157463425791</v>
      </c>
      <c r="AE5" s="12">
        <v>34102.507061202909</v>
      </c>
      <c r="AF5" s="12">
        <v>44379.011303716223</v>
      </c>
      <c r="AG5" s="12"/>
      <c r="AH5" s="12"/>
      <c r="AI5" s="12">
        <v>3.7884375059556066E-2</v>
      </c>
      <c r="AJ5" s="12"/>
      <c r="AK5" s="12"/>
      <c r="AL5" s="12">
        <v>0.46442930156473555</v>
      </c>
      <c r="AM5" s="12"/>
      <c r="AN5" s="12">
        <v>1.0989482988450492</v>
      </c>
      <c r="AO5" s="12">
        <v>0.72679816329201019</v>
      </c>
      <c r="AP5" s="12">
        <v>9.4993833232589184E-2</v>
      </c>
      <c r="AQ5" s="12">
        <v>0.64160652047156996</v>
      </c>
      <c r="AR5" s="12">
        <v>9.5142168849145676</v>
      </c>
      <c r="AS5" s="12">
        <v>0.20368501115434812</v>
      </c>
      <c r="AT5" s="12">
        <v>0.19195377816932746</v>
      </c>
      <c r="AU5" s="12">
        <v>0.18831964444730404</v>
      </c>
      <c r="AV5" s="12">
        <v>4.3928060574579507E-3</v>
      </c>
      <c r="AW5" s="12">
        <v>0.38072404478259686</v>
      </c>
      <c r="AX5" s="12">
        <v>1.6984650823845388E-2</v>
      </c>
      <c r="AY5" s="12">
        <v>5.1075526973999663</v>
      </c>
      <c r="AZ5" s="12"/>
      <c r="BA5" s="12"/>
      <c r="BB5" s="12"/>
      <c r="BC5" s="12"/>
      <c r="BD5" s="12"/>
      <c r="BE5" s="12">
        <v>2.568672212870037</v>
      </c>
      <c r="BF5" s="12"/>
      <c r="BG5" s="12"/>
      <c r="BH5" s="12"/>
      <c r="BI5" s="12"/>
      <c r="BJ5" s="12"/>
      <c r="BK5" s="12"/>
      <c r="BL5" s="12"/>
      <c r="BM5" s="12"/>
      <c r="BN5" s="12"/>
      <c r="BO5" s="12">
        <v>2.6547295917392227E-2</v>
      </c>
      <c r="BP5" s="12">
        <v>0.25713803537866464</v>
      </c>
      <c r="BQ5" s="12"/>
      <c r="BR5" s="12"/>
      <c r="BS5" s="12">
        <v>90.294567782799291</v>
      </c>
      <c r="BT5" s="12"/>
      <c r="BU5" s="12"/>
      <c r="BV5" s="12">
        <v>457.74341232561994</v>
      </c>
      <c r="BW5" s="12"/>
      <c r="BX5" s="12">
        <v>9671.3446716135695</v>
      </c>
      <c r="BY5" s="12">
        <v>4019.3172140383554</v>
      </c>
      <c r="BZ5" s="12">
        <v>120.55727820975072</v>
      </c>
      <c r="CA5" s="12">
        <v>619.90791585583793</v>
      </c>
      <c r="CB5" s="12">
        <v>259214.11722266529</v>
      </c>
      <c r="CC5" s="12">
        <v>422.81600100180555</v>
      </c>
      <c r="CD5" s="12">
        <v>2678.3537905855756</v>
      </c>
      <c r="CE5" s="12">
        <v>10957.011136571078</v>
      </c>
      <c r="CF5" s="12">
        <v>0.10624126742432315</v>
      </c>
      <c r="CG5" s="12">
        <v>31.552673698449233</v>
      </c>
      <c r="CH5" s="12">
        <v>102.48942477165454</v>
      </c>
      <c r="CI5" s="12">
        <v>309452.21594169718</v>
      </c>
      <c r="CJ5" s="12"/>
      <c r="CK5" s="12"/>
      <c r="CL5" s="12"/>
      <c r="CM5" s="12"/>
      <c r="CN5" s="12"/>
      <c r="CO5" s="12">
        <v>334579.97838234517</v>
      </c>
      <c r="CP5" s="12"/>
      <c r="CQ5" s="12"/>
      <c r="CR5" s="12"/>
      <c r="CS5" s="12"/>
      <c r="CT5" s="12"/>
      <c r="CU5" s="12"/>
      <c r="CV5" s="12"/>
      <c r="CW5" s="12"/>
      <c r="CX5" s="12"/>
      <c r="CY5" s="12">
        <v>13.929036039194759</v>
      </c>
      <c r="CZ5" s="12">
        <v>12.339099998270282</v>
      </c>
      <c r="DA5" s="12"/>
      <c r="DB5" s="12"/>
      <c r="DC5" s="12">
        <v>22794124.619718309</v>
      </c>
      <c r="DD5" s="12"/>
      <c r="DE5" s="12"/>
      <c r="DF5" s="12">
        <v>36812913.777777776</v>
      </c>
      <c r="DG5" s="12"/>
      <c r="DH5" s="12">
        <v>932996052.73239434</v>
      </c>
      <c r="DI5" s="12">
        <v>122296002.70422535</v>
      </c>
      <c r="DJ5" s="12">
        <v>73108927.098591551</v>
      </c>
      <c r="DK5" s="12">
        <v>230768813.07042253</v>
      </c>
      <c r="DL5" s="12">
        <v>375132956.44444442</v>
      </c>
      <c r="DM5" s="12">
        <v>49745054.647887327</v>
      </c>
      <c r="DN5" s="12">
        <v>73774902.084507048</v>
      </c>
      <c r="DO5" s="12">
        <v>75002605.971830979</v>
      </c>
      <c r="DP5" s="12">
        <v>93121290.816901416</v>
      </c>
      <c r="DQ5" s="12">
        <v>111521849.69014084</v>
      </c>
      <c r="DR5" s="12">
        <v>21544846.222222224</v>
      </c>
      <c r="DS5" s="12">
        <v>344641536</v>
      </c>
      <c r="DT5" s="12"/>
      <c r="DU5" s="12"/>
      <c r="DV5" s="12"/>
      <c r="DW5" s="12"/>
      <c r="DX5" s="12"/>
      <c r="DY5" s="12">
        <v>103448576</v>
      </c>
      <c r="DZ5" s="12"/>
      <c r="EA5" s="12"/>
      <c r="EB5" s="12"/>
      <c r="EC5" s="12"/>
      <c r="ED5" s="12"/>
      <c r="EE5" s="12"/>
      <c r="EF5" s="12"/>
      <c r="EG5" s="12"/>
      <c r="EH5" s="12"/>
      <c r="EI5" s="12">
        <v>62488979.830985919</v>
      </c>
      <c r="EJ5" s="12">
        <v>27832092.444444444</v>
      </c>
      <c r="EK5" s="12">
        <v>69.383944367101961</v>
      </c>
      <c r="EL5" s="49">
        <v>89.236954046951922</v>
      </c>
      <c r="EM5" s="12">
        <v>19.708203901886076</v>
      </c>
      <c r="EN5" s="12"/>
      <c r="EO5" s="12"/>
      <c r="EP5" s="12"/>
    </row>
    <row r="6" spans="1:146" x14ac:dyDescent="0.25">
      <c r="A6" s="52" t="s">
        <v>236</v>
      </c>
      <c r="B6" s="52" t="s">
        <v>237</v>
      </c>
      <c r="C6" s="55" t="s">
        <v>51</v>
      </c>
      <c r="D6" s="55" t="s">
        <v>222</v>
      </c>
      <c r="E6" s="55" t="s">
        <v>196</v>
      </c>
      <c r="F6" s="50">
        <v>32</v>
      </c>
      <c r="G6" s="50">
        <v>512</v>
      </c>
      <c r="H6" s="53"/>
      <c r="I6" s="53" t="s">
        <v>233</v>
      </c>
      <c r="J6" s="12">
        <v>7812.2468793342578</v>
      </c>
      <c r="K6" s="12">
        <v>11936.005238636901</v>
      </c>
      <c r="L6" s="12">
        <v>265.34759925520257</v>
      </c>
      <c r="M6" s="12"/>
      <c r="N6" s="12"/>
      <c r="O6" s="12"/>
      <c r="P6" s="12"/>
      <c r="Q6" s="12">
        <v>140809.2772487289</v>
      </c>
      <c r="R6" s="12"/>
      <c r="S6" s="12"/>
      <c r="T6" s="12"/>
      <c r="U6" s="12"/>
      <c r="V6" s="12"/>
      <c r="W6" s="12"/>
      <c r="X6" s="12"/>
      <c r="Y6" s="12"/>
      <c r="Z6" s="12"/>
      <c r="AA6" s="12"/>
      <c r="AB6" s="12"/>
      <c r="AC6" s="12"/>
      <c r="AD6" s="12">
        <v>96.347999984077248</v>
      </c>
      <c r="AE6" s="12">
        <v>42129.003006116887</v>
      </c>
      <c r="AF6" s="12">
        <v>22275.313025903226</v>
      </c>
      <c r="AG6" s="12">
        <v>1.3174539471168913</v>
      </c>
      <c r="AH6" s="12"/>
      <c r="AI6" s="12">
        <v>4.1159172447425639E-2</v>
      </c>
      <c r="AJ6" s="12"/>
      <c r="AK6" s="12">
        <v>0.87211780161713193</v>
      </c>
      <c r="AL6" s="12">
        <v>0.83787643406344925</v>
      </c>
      <c r="AM6" s="12"/>
      <c r="AN6" s="12">
        <v>8.7718741440969641</v>
      </c>
      <c r="AO6" s="12">
        <v>1.4942419103496263</v>
      </c>
      <c r="AP6" s="12"/>
      <c r="AQ6" s="12">
        <v>0.28566427755512513</v>
      </c>
      <c r="AR6" s="12">
        <v>6.7275916968555913</v>
      </c>
      <c r="AS6" s="12">
        <v>0.10742418200827995</v>
      </c>
      <c r="AT6" s="12">
        <v>2.1812668854569237</v>
      </c>
      <c r="AU6" s="12">
        <v>0.55607855250989324</v>
      </c>
      <c r="AV6" s="12">
        <v>4.5930685057349568E-2</v>
      </c>
      <c r="AW6" s="12">
        <v>0.69807187900657264</v>
      </c>
      <c r="AX6" s="12">
        <v>2.1989697491071762E-2</v>
      </c>
      <c r="AY6" s="12">
        <v>0.57391370636468775</v>
      </c>
      <c r="AZ6" s="12"/>
      <c r="BA6" s="12"/>
      <c r="BB6" s="12"/>
      <c r="BC6" s="12"/>
      <c r="BD6" s="12"/>
      <c r="BE6" s="12"/>
      <c r="BF6" s="12"/>
      <c r="BG6" s="12"/>
      <c r="BH6" s="12"/>
      <c r="BI6" s="12"/>
      <c r="BJ6" s="12"/>
      <c r="BK6" s="12"/>
      <c r="BL6" s="12"/>
      <c r="BM6" s="12"/>
      <c r="BN6" s="12"/>
      <c r="BO6" s="12">
        <v>4.6004301757816765E-2</v>
      </c>
      <c r="BP6" s="12">
        <v>0.23673526072411211</v>
      </c>
      <c r="BQ6" s="12">
        <v>19054.274686753353</v>
      </c>
      <c r="BR6" s="12"/>
      <c r="BS6" s="12">
        <v>105.24277897275313</v>
      </c>
      <c r="BT6" s="12"/>
      <c r="BU6" s="12">
        <v>99.862203258832508</v>
      </c>
      <c r="BV6" s="12">
        <v>2747.4056639722608</v>
      </c>
      <c r="BW6" s="12"/>
      <c r="BX6" s="12">
        <v>35279.083005119683</v>
      </c>
      <c r="BY6" s="12">
        <v>76842.700425654621</v>
      </c>
      <c r="BZ6" s="12"/>
      <c r="CA6" s="12">
        <v>3.1799692107136308</v>
      </c>
      <c r="CB6" s="12">
        <v>577426.38361948857</v>
      </c>
      <c r="CC6" s="12">
        <v>641.92925091202665</v>
      </c>
      <c r="CD6" s="12">
        <v>81761.035873115718</v>
      </c>
      <c r="CE6" s="12">
        <v>14851.35813709697</v>
      </c>
      <c r="CF6" s="12">
        <v>58.062721266481397</v>
      </c>
      <c r="CG6" s="12">
        <v>96.800975907817332</v>
      </c>
      <c r="CH6" s="12">
        <v>127.34418549130845</v>
      </c>
      <c r="CI6" s="12">
        <v>29730.90787494024</v>
      </c>
      <c r="CJ6" s="12"/>
      <c r="CK6" s="12"/>
      <c r="CL6" s="12"/>
      <c r="CM6" s="12"/>
      <c r="CN6" s="12"/>
      <c r="CO6" s="12"/>
      <c r="CP6" s="12"/>
      <c r="CQ6" s="12"/>
      <c r="CR6" s="47"/>
      <c r="CS6" s="12"/>
      <c r="CT6" s="12"/>
      <c r="CU6" s="12"/>
      <c r="CV6" s="12"/>
      <c r="CW6" s="12"/>
      <c r="CX6" s="12"/>
      <c r="CY6" s="12">
        <v>13.259263312214074</v>
      </c>
      <c r="CZ6" s="12">
        <v>546.46559715065632</v>
      </c>
      <c r="DA6" s="12">
        <v>683242844.71351349</v>
      </c>
      <c r="DB6" s="12"/>
      <c r="DC6" s="12">
        <v>24003395.106796116</v>
      </c>
      <c r="DD6" s="12"/>
      <c r="DE6" s="12">
        <v>719435421.25181949</v>
      </c>
      <c r="DF6" s="12">
        <v>47048667.073509015</v>
      </c>
      <c r="DG6" s="12"/>
      <c r="DH6" s="12">
        <v>1259398878.1886792</v>
      </c>
      <c r="DI6" s="12">
        <v>135203540.32732317</v>
      </c>
      <c r="DJ6" s="12"/>
      <c r="DK6" s="12">
        <v>158920107.49514562</v>
      </c>
      <c r="DL6" s="12">
        <v>419135192.58807212</v>
      </c>
      <c r="DM6" s="12">
        <v>48418389.925104022</v>
      </c>
      <c r="DN6" s="12">
        <v>229309055.11234397</v>
      </c>
      <c r="DO6" s="12">
        <v>101206763.05131762</v>
      </c>
      <c r="DP6" s="12">
        <v>93040929.73092927</v>
      </c>
      <c r="DQ6" s="12">
        <v>110336923.16227461</v>
      </c>
      <c r="DR6" s="12">
        <v>20865995.450762831</v>
      </c>
      <c r="DS6" s="12">
        <v>523701255.60772657</v>
      </c>
      <c r="DT6" s="12"/>
      <c r="DU6" s="12"/>
      <c r="DV6" s="12"/>
      <c r="DW6" s="12"/>
      <c r="DX6" s="12"/>
      <c r="DY6" s="12"/>
      <c r="DZ6" s="12"/>
      <c r="EA6" s="12"/>
      <c r="EB6" s="12"/>
      <c r="EC6" s="12"/>
      <c r="ED6" s="12"/>
      <c r="EE6" s="12"/>
      <c r="EF6" s="12"/>
      <c r="EG6" s="12"/>
      <c r="EH6" s="12"/>
      <c r="EI6" s="12">
        <v>64588403.750346743</v>
      </c>
      <c r="EJ6" s="12">
        <v>26869811.128987517</v>
      </c>
      <c r="EK6" s="12">
        <v>8.7760737341088451</v>
      </c>
      <c r="EL6" s="12">
        <v>21.460578802900923</v>
      </c>
      <c r="EM6" s="12">
        <v>12.684522818619483</v>
      </c>
      <c r="EN6" s="12"/>
      <c r="EO6" s="12"/>
      <c r="EP6" s="12"/>
    </row>
    <row r="7" spans="1:146" x14ac:dyDescent="0.25">
      <c r="A7" s="52" t="s">
        <v>238</v>
      </c>
      <c r="B7" s="52" t="s">
        <v>239</v>
      </c>
      <c r="C7" s="55" t="s">
        <v>51</v>
      </c>
      <c r="D7" s="55" t="s">
        <v>222</v>
      </c>
      <c r="E7" s="55" t="s">
        <v>47</v>
      </c>
      <c r="F7" s="37">
        <v>16</v>
      </c>
      <c r="G7" s="37">
        <v>256</v>
      </c>
      <c r="H7" s="53"/>
      <c r="I7" s="53" t="s">
        <v>233</v>
      </c>
      <c r="J7" s="12">
        <v>3716.6754507628293</v>
      </c>
      <c r="K7" s="12">
        <v>3349.4065793624218</v>
      </c>
      <c r="L7" s="12">
        <v>76.848427384575487</v>
      </c>
      <c r="M7" s="12"/>
      <c r="N7" s="12"/>
      <c r="O7" s="12"/>
      <c r="P7" s="12"/>
      <c r="Q7" s="12">
        <v>3879.0911340541616</v>
      </c>
      <c r="R7" s="12"/>
      <c r="S7" s="12"/>
      <c r="T7" s="12">
        <v>7320.074622320014</v>
      </c>
      <c r="U7" s="12"/>
      <c r="V7" s="12"/>
      <c r="W7" s="12"/>
      <c r="X7" s="12"/>
      <c r="Y7" s="12"/>
      <c r="Z7" s="12"/>
      <c r="AA7" s="12"/>
      <c r="AB7" s="12"/>
      <c r="AC7" s="12"/>
      <c r="AD7" s="12">
        <v>97.957166252833687</v>
      </c>
      <c r="AE7" s="12">
        <v>16292.616831792242</v>
      </c>
      <c r="AF7" s="12">
        <v>15640.368627644048</v>
      </c>
      <c r="AG7" s="12"/>
      <c r="AH7" s="12"/>
      <c r="AI7" s="12">
        <v>0.22547296749887494</v>
      </c>
      <c r="AJ7" s="12"/>
      <c r="AK7" s="12"/>
      <c r="AL7" s="12">
        <v>0.71614968454148031</v>
      </c>
      <c r="AM7" s="12"/>
      <c r="AN7" s="12">
        <v>0.84266516617717346</v>
      </c>
      <c r="AO7" s="12">
        <v>2.488289554077831E-2</v>
      </c>
      <c r="AP7" s="12"/>
      <c r="AQ7" s="12"/>
      <c r="AR7" s="12">
        <v>4.2980336570603352</v>
      </c>
      <c r="AS7" s="12">
        <v>2.445010681690615E-2</v>
      </c>
      <c r="AT7" s="12">
        <v>0.16275221657708785</v>
      </c>
      <c r="AU7" s="12">
        <v>7.3640125306724036E-2</v>
      </c>
      <c r="AV7" s="12">
        <v>4.2681483858719085E-3</v>
      </c>
      <c r="AW7" s="12">
        <v>0.26960525288074288</v>
      </c>
      <c r="AX7" s="12">
        <v>3.5733474719789972E-2</v>
      </c>
      <c r="AY7" s="12"/>
      <c r="AZ7" s="12"/>
      <c r="BA7" s="12"/>
      <c r="BB7" s="12"/>
      <c r="BC7" s="12"/>
      <c r="BD7" s="12"/>
      <c r="BE7" s="12"/>
      <c r="BF7" s="12"/>
      <c r="BG7" s="12"/>
      <c r="BH7" s="12"/>
      <c r="BI7" s="12"/>
      <c r="BJ7" s="12"/>
      <c r="BK7" s="12"/>
      <c r="BL7" s="12"/>
      <c r="BM7" s="12"/>
      <c r="BN7" s="12"/>
      <c r="BO7" s="12"/>
      <c r="BP7" s="12">
        <v>0.43048263126131159</v>
      </c>
      <c r="BQ7" s="12"/>
      <c r="BR7" s="12"/>
      <c r="BS7" s="12">
        <v>105.26679107535762</v>
      </c>
      <c r="BT7" s="12"/>
      <c r="BU7" s="12"/>
      <c r="BV7" s="12">
        <v>53.67244255554462</v>
      </c>
      <c r="BW7" s="12"/>
      <c r="BX7" s="12">
        <v>5610.6253061871985</v>
      </c>
      <c r="BY7" s="12">
        <v>427.19354974366638</v>
      </c>
      <c r="BZ7" s="12"/>
      <c r="CA7" s="12"/>
      <c r="CB7" s="12">
        <v>117676.43228964298</v>
      </c>
      <c r="CC7" s="12">
        <v>92.429201249319888</v>
      </c>
      <c r="CD7" s="12">
        <v>6218.2925094916964</v>
      </c>
      <c r="CE7" s="12">
        <v>5077.6434234976914</v>
      </c>
      <c r="CF7" s="12">
        <v>6.2211579976221724E-2</v>
      </c>
      <c r="CG7" s="12">
        <v>187.29675162497543</v>
      </c>
      <c r="CH7" s="12">
        <v>133.57271045232406</v>
      </c>
      <c r="CI7" s="12"/>
      <c r="CJ7" s="12"/>
      <c r="CK7" s="12"/>
      <c r="CL7" s="12"/>
      <c r="CM7" s="12"/>
      <c r="CN7" s="12"/>
      <c r="CO7" s="12"/>
      <c r="CP7" s="12"/>
      <c r="CQ7" s="12"/>
      <c r="CR7" s="12"/>
      <c r="CS7" s="12"/>
      <c r="CT7" s="12"/>
      <c r="CU7" s="12"/>
      <c r="CV7" s="12"/>
      <c r="CW7" s="12"/>
      <c r="CX7" s="12"/>
      <c r="CY7" s="12"/>
      <c r="CZ7" s="12">
        <v>13.450185259406853</v>
      </c>
      <c r="DA7" s="12"/>
      <c r="DB7" s="12"/>
      <c r="DC7" s="12">
        <v>28209623.522884883</v>
      </c>
      <c r="DD7" s="12"/>
      <c r="DE7" s="12"/>
      <c r="DF7" s="12">
        <v>64598356.859916784</v>
      </c>
      <c r="DG7" s="12"/>
      <c r="DH7" s="12">
        <v>980256645.85852981</v>
      </c>
      <c r="DI7" s="12">
        <v>125365374.40221915</v>
      </c>
      <c r="DJ7" s="12"/>
      <c r="DK7" s="12"/>
      <c r="DL7" s="12">
        <v>380163428.48266298</v>
      </c>
      <c r="DM7" s="12">
        <v>45725607.944521494</v>
      </c>
      <c r="DN7" s="12">
        <v>114288120.1886269</v>
      </c>
      <c r="DO7" s="12">
        <v>100862062.77947295</v>
      </c>
      <c r="DP7" s="12">
        <v>97469478.346740633</v>
      </c>
      <c r="DQ7" s="12">
        <v>109372795.20665742</v>
      </c>
      <c r="DR7" s="12">
        <v>24484160.976421636</v>
      </c>
      <c r="DS7" s="12"/>
      <c r="DT7" s="12"/>
      <c r="DU7" s="12"/>
      <c r="DV7" s="12"/>
      <c r="DW7" s="12"/>
      <c r="DX7" s="12"/>
      <c r="DY7" s="12"/>
      <c r="DZ7" s="12"/>
      <c r="EA7" s="12"/>
      <c r="EB7" s="12"/>
      <c r="EC7" s="12"/>
      <c r="ED7" s="12"/>
      <c r="EE7" s="12"/>
      <c r="EF7" s="12"/>
      <c r="EG7" s="12"/>
      <c r="EH7" s="12"/>
      <c r="EI7" s="12"/>
      <c r="EJ7" s="12">
        <v>29530126.202496532</v>
      </c>
      <c r="EK7" s="12">
        <v>1.1551265063419938</v>
      </c>
      <c r="EL7" s="12">
        <v>1.9545284928218081</v>
      </c>
      <c r="EM7" s="12">
        <v>0.79135791787253185</v>
      </c>
      <c r="EN7" s="12"/>
      <c r="EO7" s="12"/>
      <c r="EP7" s="12"/>
    </row>
    <row r="8" spans="1:146" x14ac:dyDescent="0.25">
      <c r="A8" s="25" t="s">
        <v>240</v>
      </c>
      <c r="B8" s="25" t="s">
        <v>241</v>
      </c>
      <c r="C8" s="17" t="s">
        <v>51</v>
      </c>
      <c r="D8" s="17" t="s">
        <v>46</v>
      </c>
      <c r="E8" s="17" t="s">
        <v>48</v>
      </c>
      <c r="F8" s="37">
        <v>16</v>
      </c>
      <c r="G8" s="37">
        <v>256</v>
      </c>
      <c r="H8" s="32"/>
      <c r="I8" s="32" t="s">
        <v>242</v>
      </c>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c r="EH8" s="12"/>
      <c r="EI8" s="12"/>
      <c r="EJ8" s="12"/>
      <c r="EK8" s="12"/>
      <c r="EL8" s="12"/>
      <c r="EM8" s="12"/>
      <c r="EN8" s="12"/>
      <c r="EO8" s="12"/>
      <c r="EP8" s="12"/>
    </row>
    <row r="9" spans="1:146" x14ac:dyDescent="0.25">
      <c r="A9" s="52" t="s">
        <v>243</v>
      </c>
      <c r="B9" s="52" t="s">
        <v>244</v>
      </c>
      <c r="C9" s="55" t="s">
        <v>51</v>
      </c>
      <c r="D9" s="55" t="s">
        <v>192</v>
      </c>
      <c r="E9" s="55" t="s">
        <v>47</v>
      </c>
      <c r="F9" s="37">
        <v>16</v>
      </c>
      <c r="G9" s="37">
        <v>256</v>
      </c>
      <c r="H9" s="53"/>
      <c r="I9" s="53" t="s">
        <v>233</v>
      </c>
      <c r="J9" s="12">
        <v>2664.4160887656035</v>
      </c>
      <c r="K9" s="12">
        <v>34848.305243148636</v>
      </c>
      <c r="L9" s="12">
        <v>1763.2366520562302</v>
      </c>
      <c r="M9" s="12"/>
      <c r="N9" s="12"/>
      <c r="O9" s="12"/>
      <c r="P9" s="12"/>
      <c r="Q9" s="12">
        <v>42901.721183033595</v>
      </c>
      <c r="R9" s="12"/>
      <c r="S9" s="12"/>
      <c r="T9" s="12"/>
      <c r="U9" s="12">
        <v>4.5237662842871824</v>
      </c>
      <c r="V9" s="12"/>
      <c r="W9" s="12"/>
      <c r="X9" s="12"/>
      <c r="Y9" s="12"/>
      <c r="Z9" s="12"/>
      <c r="AA9" s="12"/>
      <c r="AB9" s="12"/>
      <c r="AC9" s="12"/>
      <c r="AD9" s="12">
        <v>95.362049329516353</v>
      </c>
      <c r="AE9" s="12">
        <v>43518.153937431431</v>
      </c>
      <c r="AF9" s="12">
        <v>34054.527607832257</v>
      </c>
      <c r="AG9" s="12"/>
      <c r="AH9" s="12"/>
      <c r="AI9" s="12">
        <v>0.17578371735711842</v>
      </c>
      <c r="AJ9" s="12"/>
      <c r="AK9" s="12"/>
      <c r="AL9" s="12">
        <v>0.63714148559871897</v>
      </c>
      <c r="AM9" s="12"/>
      <c r="AN9" s="12">
        <v>0.98222044326644875</v>
      </c>
      <c r="AO9" s="12">
        <v>2.1462500466498233</v>
      </c>
      <c r="AP9" s="12">
        <v>0.25130021119438983</v>
      </c>
      <c r="AQ9" s="12">
        <v>0.45619186441837895</v>
      </c>
      <c r="AR9" s="12">
        <v>13.748579747911537</v>
      </c>
      <c r="AS9" s="12">
        <v>8.0365065583954814E-2</v>
      </c>
      <c r="AT9" s="12">
        <v>1.6271055302860598</v>
      </c>
      <c r="AU9" s="12">
        <v>0.53995319926417884</v>
      </c>
      <c r="AV9" s="12">
        <v>1.7267971424825855E-2</v>
      </c>
      <c r="AW9" s="12">
        <v>0.393410499954989</v>
      </c>
      <c r="AX9" s="12">
        <v>4.0367045276493665E-2</v>
      </c>
      <c r="AY9" s="12"/>
      <c r="AZ9" s="12"/>
      <c r="BA9" s="12"/>
      <c r="BB9" s="12"/>
      <c r="BC9" s="12"/>
      <c r="BD9" s="12"/>
      <c r="BE9" s="12"/>
      <c r="BF9" s="12"/>
      <c r="BG9" s="12"/>
      <c r="BH9" s="12"/>
      <c r="BI9" s="12"/>
      <c r="BJ9" s="12"/>
      <c r="BK9" s="12"/>
      <c r="BL9" s="12"/>
      <c r="BM9" s="12"/>
      <c r="BN9" s="12"/>
      <c r="BO9" s="12"/>
      <c r="BP9" s="12">
        <v>0.38086278149680136</v>
      </c>
      <c r="BQ9" s="12"/>
      <c r="BR9" s="12"/>
      <c r="BS9" s="12">
        <v>94.63458449258809</v>
      </c>
      <c r="BT9" s="12"/>
      <c r="BU9" s="12"/>
      <c r="BV9" s="12">
        <v>201.21023700666362</v>
      </c>
      <c r="BW9" s="12"/>
      <c r="BX9" s="12">
        <v>5865.3855986426552</v>
      </c>
      <c r="BY9" s="12">
        <v>942577.73680613213</v>
      </c>
      <c r="BZ9" s="12">
        <v>7.0580371270882711</v>
      </c>
      <c r="CA9" s="12">
        <v>81.622597968908735</v>
      </c>
      <c r="CB9" s="12">
        <v>1367714.3176650468</v>
      </c>
      <c r="CC9" s="12">
        <v>616.3796702238435</v>
      </c>
      <c r="CD9" s="12">
        <v>101187.80510231065</v>
      </c>
      <c r="CE9" s="12">
        <v>9931.1233360903225</v>
      </c>
      <c r="CF9" s="12">
        <v>0.59704613427241271</v>
      </c>
      <c r="CG9" s="12">
        <v>1121.9456706677781</v>
      </c>
      <c r="CH9" s="12">
        <v>126.94402983523047</v>
      </c>
      <c r="CI9" s="12"/>
      <c r="CJ9" s="12"/>
      <c r="CK9" s="12"/>
      <c r="CL9" s="12"/>
      <c r="CM9" s="12"/>
      <c r="CN9" s="12"/>
      <c r="CO9" s="12"/>
      <c r="CP9" s="12"/>
      <c r="CQ9" s="12"/>
      <c r="CR9" s="12"/>
      <c r="CS9" s="12"/>
      <c r="CT9" s="12"/>
      <c r="CU9" s="12"/>
      <c r="CV9" s="12"/>
      <c r="CW9" s="12"/>
      <c r="CX9" s="12"/>
      <c r="CY9" s="12"/>
      <c r="CZ9" s="12">
        <v>20.476759998575844</v>
      </c>
      <c r="DA9" s="12"/>
      <c r="DB9" s="12"/>
      <c r="DC9" s="12">
        <v>26902051.854341738</v>
      </c>
      <c r="DD9" s="12"/>
      <c r="DE9" s="12"/>
      <c r="DF9" s="12">
        <v>89684186.718446597</v>
      </c>
      <c r="DG9" s="12"/>
      <c r="DH9" s="12">
        <v>855212134.972067</v>
      </c>
      <c r="DI9" s="12">
        <v>277324270.04768586</v>
      </c>
      <c r="DJ9" s="12">
        <v>73877524.33475177</v>
      </c>
      <c r="DK9" s="12">
        <v>148384590.65921786</v>
      </c>
      <c r="DL9" s="12">
        <v>444265027.46185851</v>
      </c>
      <c r="DM9" s="12">
        <v>45797661.634588562</v>
      </c>
      <c r="DN9" s="12">
        <v>153352982.35492957</v>
      </c>
      <c r="DO9" s="12">
        <v>100010699.08379889</v>
      </c>
      <c r="DP9" s="12">
        <v>95911600.613240421</v>
      </c>
      <c r="DQ9" s="12">
        <v>392232447.27169275</v>
      </c>
      <c r="DR9" s="12">
        <v>24125332.061026353</v>
      </c>
      <c r="DS9" s="12"/>
      <c r="DT9" s="12"/>
      <c r="DU9" s="12"/>
      <c r="DV9" s="12"/>
      <c r="DW9" s="12"/>
      <c r="DX9" s="12"/>
      <c r="DY9" s="12"/>
      <c r="DZ9" s="12"/>
      <c r="EA9" s="12"/>
      <c r="EB9" s="12"/>
      <c r="EC9" s="12"/>
      <c r="ED9" s="12"/>
      <c r="EE9" s="12"/>
      <c r="EF9" s="12"/>
      <c r="EG9" s="12"/>
      <c r="EH9" s="12"/>
      <c r="EI9" s="12"/>
      <c r="EJ9" s="12">
        <v>29868730.762829404</v>
      </c>
      <c r="EK9" s="12">
        <v>8.3423795948170252</v>
      </c>
      <c r="EL9" s="12">
        <v>11.24328861118245</v>
      </c>
      <c r="EM9" s="12">
        <v>2.7621730217964093</v>
      </c>
      <c r="EN9" s="12"/>
      <c r="EO9" s="12"/>
      <c r="EP9" s="12"/>
    </row>
    <row r="10" spans="1:146" x14ac:dyDescent="0.25">
      <c r="A10" s="52" t="s">
        <v>245</v>
      </c>
      <c r="B10" s="52" t="s">
        <v>246</v>
      </c>
      <c r="C10" s="55" t="s">
        <v>51</v>
      </c>
      <c r="D10" s="55" t="s">
        <v>247</v>
      </c>
      <c r="E10" s="55" t="s">
        <v>47</v>
      </c>
      <c r="F10" s="75">
        <v>32</v>
      </c>
      <c r="G10" s="75">
        <v>256</v>
      </c>
      <c r="H10" s="53"/>
      <c r="I10" s="53" t="s">
        <v>233</v>
      </c>
      <c r="J10" s="12">
        <v>10036.633841886269</v>
      </c>
      <c r="K10" s="12">
        <v>18173.929073438612</v>
      </c>
      <c r="L10" s="12">
        <v>197.97456174074833</v>
      </c>
      <c r="M10" s="12"/>
      <c r="N10" s="12"/>
      <c r="O10" s="12"/>
      <c r="P10" s="12">
        <v>0.10370857745700252</v>
      </c>
      <c r="Q10" s="12">
        <v>9145.0824216120018</v>
      </c>
      <c r="R10" s="12"/>
      <c r="S10" s="12"/>
      <c r="T10" s="12"/>
      <c r="U10" s="12"/>
      <c r="V10" s="12"/>
      <c r="W10" s="12"/>
      <c r="X10" s="12"/>
      <c r="Y10" s="12"/>
      <c r="Z10" s="12">
        <v>19811.303987614257</v>
      </c>
      <c r="AA10" s="12"/>
      <c r="AB10" s="12"/>
      <c r="AC10" s="12"/>
      <c r="AD10" s="12">
        <v>98.010320030710275</v>
      </c>
      <c r="AE10" s="12">
        <v>54708.943075303134</v>
      </c>
      <c r="AF10" s="12">
        <v>19898.305572370602</v>
      </c>
      <c r="AG10" s="12">
        <v>14.580885458949469</v>
      </c>
      <c r="AH10" s="12"/>
      <c r="AI10" s="12">
        <v>0.19855810031484802</v>
      </c>
      <c r="AJ10" s="12"/>
      <c r="AK10" s="12"/>
      <c r="AL10" s="12">
        <v>0.61879119815236949</v>
      </c>
      <c r="AM10" s="12">
        <v>3.3823458286342554</v>
      </c>
      <c r="AN10" s="12">
        <v>14.272930010082236</v>
      </c>
      <c r="AO10" s="12">
        <v>1.4650485242747424</v>
      </c>
      <c r="AP10" s="12">
        <v>0.24739727888795993</v>
      </c>
      <c r="AQ10" s="12">
        <v>0.60308494877749719</v>
      </c>
      <c r="AR10" s="12">
        <v>13.858087572311076</v>
      </c>
      <c r="AS10" s="12">
        <v>7.8258699003947489</v>
      </c>
      <c r="AT10" s="12">
        <v>4.292695258129541</v>
      </c>
      <c r="AU10" s="12">
        <v>0.36679651340241232</v>
      </c>
      <c r="AV10" s="12">
        <v>0.15578538524071994</v>
      </c>
      <c r="AW10" s="12">
        <v>0.65868994686631044</v>
      </c>
      <c r="AX10" s="12">
        <v>3.4283461849970748E-2</v>
      </c>
      <c r="AY10" s="12">
        <v>1.2942721754526467</v>
      </c>
      <c r="AZ10" s="12"/>
      <c r="BA10" s="12"/>
      <c r="BB10" s="12"/>
      <c r="BC10" s="12"/>
      <c r="BD10" s="12"/>
      <c r="BE10" s="12"/>
      <c r="BF10" s="12"/>
      <c r="BG10" s="12"/>
      <c r="BH10" s="12"/>
      <c r="BI10" s="12"/>
      <c r="BJ10" s="12"/>
      <c r="BK10" s="12"/>
      <c r="BL10" s="12"/>
      <c r="BM10" s="12"/>
      <c r="BN10" s="12"/>
      <c r="BO10" s="12">
        <v>6.693084693560343E-2</v>
      </c>
      <c r="BP10" s="12">
        <v>0.27328483803383552</v>
      </c>
      <c r="BQ10" s="12">
        <v>176851.75864509976</v>
      </c>
      <c r="BR10" s="12"/>
      <c r="BS10" s="12">
        <v>108.61497035878953</v>
      </c>
      <c r="BT10" s="12"/>
      <c r="BU10" s="12"/>
      <c r="BV10" s="12">
        <v>3645.1174955569795</v>
      </c>
      <c r="BW10" s="12">
        <v>537.35632511781978</v>
      </c>
      <c r="BX10" s="12">
        <v>33674.07882241629</v>
      </c>
      <c r="BY10" s="12">
        <v>3077.7309036119332</v>
      </c>
      <c r="BZ10" s="12">
        <v>90.595849045901758</v>
      </c>
      <c r="CA10" s="12">
        <v>65.144818116319328</v>
      </c>
      <c r="CB10" s="12">
        <v>450184.61886851571</v>
      </c>
      <c r="CC10" s="12">
        <v>1041142.9025374776</v>
      </c>
      <c r="CD10" s="12">
        <v>345379.56991841603</v>
      </c>
      <c r="CE10" s="12">
        <v>12566.266643116418</v>
      </c>
      <c r="CF10" s="12">
        <v>5816.0138548781379</v>
      </c>
      <c r="CG10" s="12">
        <v>1499.0539636109636</v>
      </c>
      <c r="CH10" s="12">
        <v>124.67158430036115</v>
      </c>
      <c r="CI10" s="12">
        <v>10561.758361993636</v>
      </c>
      <c r="CJ10" s="12"/>
      <c r="CK10" s="12"/>
      <c r="CL10" s="12"/>
      <c r="CM10" s="12"/>
      <c r="CN10" s="12"/>
      <c r="CO10" s="12"/>
      <c r="CP10" s="12"/>
      <c r="CQ10" s="12"/>
      <c r="CR10" s="12"/>
      <c r="CS10" s="12"/>
      <c r="CT10" s="12"/>
      <c r="CU10" s="12"/>
      <c r="CV10" s="12"/>
      <c r="CW10" s="12"/>
      <c r="CX10" s="12"/>
      <c r="CY10" s="12">
        <v>13.635109584991978</v>
      </c>
      <c r="CZ10" s="12">
        <v>26.376618630725801</v>
      </c>
      <c r="DA10" s="12">
        <v>545085952</v>
      </c>
      <c r="DB10" s="12"/>
      <c r="DC10" s="12">
        <v>27859225.209431347</v>
      </c>
      <c r="DD10" s="12"/>
      <c r="DE10" s="12"/>
      <c r="DF10" s="12">
        <v>26310471.367545076</v>
      </c>
      <c r="DG10" s="12">
        <v>382601485.8474341</v>
      </c>
      <c r="DH10" s="12">
        <v>1249328237.3592234</v>
      </c>
      <c r="DI10" s="12">
        <v>184711369.67545077</v>
      </c>
      <c r="DJ10" s="12">
        <v>93524138.429958388</v>
      </c>
      <c r="DK10" s="12">
        <v>185496523.45076284</v>
      </c>
      <c r="DL10" s="12">
        <v>423423846.61303747</v>
      </c>
      <c r="DM10" s="12">
        <v>82249191.145631075</v>
      </c>
      <c r="DN10" s="12">
        <v>250878312.74341193</v>
      </c>
      <c r="DO10" s="12">
        <v>101256341.1262136</v>
      </c>
      <c r="DP10" s="12">
        <v>98177053.257142857</v>
      </c>
      <c r="DQ10" s="12">
        <v>570237819.91678226</v>
      </c>
      <c r="DR10" s="12">
        <v>22018999.567267682</v>
      </c>
      <c r="DS10" s="12">
        <v>489095036.67786258</v>
      </c>
      <c r="DT10" s="12"/>
      <c r="DU10" s="12"/>
      <c r="DV10" s="12"/>
      <c r="DW10" s="12"/>
      <c r="DX10" s="12"/>
      <c r="DY10" s="12"/>
      <c r="DZ10" s="12"/>
      <c r="EA10" s="12"/>
      <c r="EB10" s="12"/>
      <c r="EC10" s="12"/>
      <c r="ED10" s="12"/>
      <c r="EE10" s="12" t="s">
        <v>225</v>
      </c>
      <c r="EF10" s="12" t="s">
        <v>225</v>
      </c>
      <c r="EG10" s="12" t="s">
        <v>225</v>
      </c>
      <c r="EH10" s="12" t="s">
        <v>225</v>
      </c>
      <c r="EI10" s="12">
        <v>67620864</v>
      </c>
      <c r="EJ10" s="12">
        <v>26980352</v>
      </c>
      <c r="EK10" s="12">
        <v>4.1512953230168996</v>
      </c>
      <c r="EL10" s="12">
        <v>6.5260784722233902</v>
      </c>
      <c r="EM10" s="12">
        <v>2.3039098229085999</v>
      </c>
      <c r="EN10" s="12" t="s">
        <v>225</v>
      </c>
      <c r="EO10" s="12" t="s">
        <v>225</v>
      </c>
      <c r="EP10" s="12"/>
    </row>
    <row r="11" spans="1:146" x14ac:dyDescent="0.25">
      <c r="A11" s="52" t="s">
        <v>248</v>
      </c>
      <c r="B11" s="52" t="s">
        <v>249</v>
      </c>
      <c r="C11" s="55" t="s">
        <v>51</v>
      </c>
      <c r="D11" s="55" t="s">
        <v>46</v>
      </c>
      <c r="E11" s="55" t="s">
        <v>196</v>
      </c>
      <c r="F11" s="50">
        <v>32</v>
      </c>
      <c r="G11" s="50">
        <v>512</v>
      </c>
      <c r="H11" s="53"/>
      <c r="I11" s="53" t="s">
        <v>233</v>
      </c>
      <c r="J11" s="12">
        <v>16602.528432732317</v>
      </c>
      <c r="K11" s="12">
        <v>12298.428440163792</v>
      </c>
      <c r="L11" s="12">
        <v>212.1778278330394</v>
      </c>
      <c r="M11" s="12"/>
      <c r="N11" s="12"/>
      <c r="O11" s="12"/>
      <c r="P11" s="12"/>
      <c r="Q11" s="12"/>
      <c r="R11" s="12">
        <v>93303.605388292999</v>
      </c>
      <c r="S11" s="12"/>
      <c r="T11" s="12"/>
      <c r="U11" s="12"/>
      <c r="V11" s="12"/>
      <c r="W11" s="12"/>
      <c r="X11" s="12"/>
      <c r="Y11" s="12"/>
      <c r="Z11" s="12"/>
      <c r="AA11" s="12"/>
      <c r="AB11" s="12"/>
      <c r="AC11" s="12">
        <v>1.6538161825306121E-2</v>
      </c>
      <c r="AD11" s="12">
        <v>98.129085356917983</v>
      </c>
      <c r="AE11" s="12">
        <v>53951.086008255617</v>
      </c>
      <c r="AF11" s="12">
        <v>31075.444357399731</v>
      </c>
      <c r="AG11" s="12"/>
      <c r="AH11" s="12"/>
      <c r="AI11" s="12">
        <v>3.3985945372687336E-2</v>
      </c>
      <c r="AJ11" s="12"/>
      <c r="AK11" s="12"/>
      <c r="AL11" s="12">
        <v>4.53300354262735E-2</v>
      </c>
      <c r="AM11" s="12" t="s">
        <v>225</v>
      </c>
      <c r="AN11" s="12">
        <v>9.7786184612545259</v>
      </c>
      <c r="AO11" s="12">
        <v>0.90122029269320769</v>
      </c>
      <c r="AP11" s="12">
        <v>6.6397401673781803E-2</v>
      </c>
      <c r="AQ11" s="12">
        <v>0.29352510370369095</v>
      </c>
      <c r="AR11" s="12">
        <v>5.3300173173617162</v>
      </c>
      <c r="AS11" s="12">
        <v>7.378356246966411E-2</v>
      </c>
      <c r="AT11" s="12">
        <v>3.053396298379266</v>
      </c>
      <c r="AU11" s="12">
        <v>0.32127711007029353</v>
      </c>
      <c r="AV11" s="12">
        <v>2.5038890250608712E-2</v>
      </c>
      <c r="AW11" s="12" t="s">
        <v>225</v>
      </c>
      <c r="AX11" s="12">
        <v>1.1564981602160677E-2</v>
      </c>
      <c r="AY11" s="12" t="s">
        <v>225</v>
      </c>
      <c r="AZ11" s="12" t="s">
        <v>225</v>
      </c>
      <c r="BA11" s="12" t="s">
        <v>225</v>
      </c>
      <c r="BB11" s="12" t="s">
        <v>225</v>
      </c>
      <c r="BC11" s="12" t="s">
        <v>225</v>
      </c>
      <c r="BD11" s="12" t="s">
        <v>225</v>
      </c>
      <c r="BE11" s="12" t="s">
        <v>225</v>
      </c>
      <c r="BF11" s="12" t="s">
        <v>225</v>
      </c>
      <c r="BG11" s="12" t="s">
        <v>225</v>
      </c>
      <c r="BH11" s="12" t="s">
        <v>225</v>
      </c>
      <c r="BI11" s="12" t="s">
        <v>225</v>
      </c>
      <c r="BJ11" s="12" t="s">
        <v>225</v>
      </c>
      <c r="BK11" s="12" t="s">
        <v>225</v>
      </c>
      <c r="BL11" s="12" t="s">
        <v>225</v>
      </c>
      <c r="BM11" s="12" t="s">
        <v>225</v>
      </c>
      <c r="BN11" s="12" t="s">
        <v>225</v>
      </c>
      <c r="BO11" s="12">
        <v>5.0887081699901304E-2</v>
      </c>
      <c r="BP11" s="12">
        <v>0.14921537087251679</v>
      </c>
      <c r="BQ11" s="12" t="s">
        <v>225</v>
      </c>
      <c r="BR11" s="12" t="s">
        <v>225</v>
      </c>
      <c r="BS11" s="12">
        <v>104.33330350096202</v>
      </c>
      <c r="BT11" s="12" t="s">
        <v>225</v>
      </c>
      <c r="BU11" s="12" t="s">
        <v>225</v>
      </c>
      <c r="BV11" s="12">
        <v>32.118707825029361</v>
      </c>
      <c r="BW11" s="12" t="s">
        <v>225</v>
      </c>
      <c r="BX11" s="12">
        <v>71788.913078236306</v>
      </c>
      <c r="BY11" s="12">
        <v>8319.0385117178539</v>
      </c>
      <c r="BZ11" s="12">
        <v>0</v>
      </c>
      <c r="CA11" s="12">
        <v>30.754794285219852</v>
      </c>
      <c r="CB11" s="12">
        <v>384395.26185967936</v>
      </c>
      <c r="CC11" s="12">
        <v>1161.3519234718742</v>
      </c>
      <c r="CD11" s="12">
        <v>366753.53954523063</v>
      </c>
      <c r="CE11" s="12">
        <v>7226.1298575594265</v>
      </c>
      <c r="CF11" s="12">
        <v>423.92127602781977</v>
      </c>
      <c r="CG11" s="12" t="s">
        <v>225</v>
      </c>
      <c r="CH11" s="12">
        <v>706.27898962631537</v>
      </c>
      <c r="CI11" s="12" t="s">
        <v>225</v>
      </c>
      <c r="CJ11" s="12" t="s">
        <v>225</v>
      </c>
      <c r="CK11" s="12" t="s">
        <v>225</v>
      </c>
      <c r="CL11" s="12" t="s">
        <v>225</v>
      </c>
      <c r="CM11" s="12" t="s">
        <v>225</v>
      </c>
      <c r="CN11" s="12" t="s">
        <v>225</v>
      </c>
      <c r="CO11" s="12" t="s">
        <v>225</v>
      </c>
      <c r="CP11" s="12" t="s">
        <v>225</v>
      </c>
      <c r="CQ11" s="12" t="s">
        <v>225</v>
      </c>
      <c r="CR11" s="12" t="s">
        <v>225</v>
      </c>
      <c r="CS11" s="12" t="s">
        <v>225</v>
      </c>
      <c r="CT11" s="12" t="s">
        <v>225</v>
      </c>
      <c r="CU11" s="12" t="s">
        <v>225</v>
      </c>
      <c r="CV11" s="12" t="s">
        <v>225</v>
      </c>
      <c r="CW11" s="12" t="s">
        <v>225</v>
      </c>
      <c r="CX11" s="12" t="s">
        <v>225</v>
      </c>
      <c r="CY11" s="12">
        <v>13.285669321952939</v>
      </c>
      <c r="CZ11" s="12">
        <v>1.1844769624698159</v>
      </c>
      <c r="DA11" s="12" t="s">
        <v>225</v>
      </c>
      <c r="DB11" s="12" t="s">
        <v>225</v>
      </c>
      <c r="DC11" s="12">
        <v>21348137.674418606</v>
      </c>
      <c r="DD11" s="12" t="s">
        <v>225</v>
      </c>
      <c r="DE11" s="12">
        <v>288112640</v>
      </c>
      <c r="DF11" s="12">
        <v>18748834.97364771</v>
      </c>
      <c r="DG11" s="12" t="s">
        <v>225</v>
      </c>
      <c r="DH11" s="12">
        <v>1660014740.1910274</v>
      </c>
      <c r="DI11" s="12">
        <v>189706234.0378457</v>
      </c>
      <c r="DJ11" s="12">
        <v>72433886.217008799</v>
      </c>
      <c r="DK11" s="12">
        <v>184941424.25470334</v>
      </c>
      <c r="DL11" s="12">
        <v>401330715.69486827</v>
      </c>
      <c r="DM11" s="12">
        <v>48233438.014430016</v>
      </c>
      <c r="DN11" s="12">
        <v>248912630.2973761</v>
      </c>
      <c r="DO11" s="12">
        <v>97626494.332850948</v>
      </c>
      <c r="DP11" s="12">
        <v>94333517.150684938</v>
      </c>
      <c r="DQ11" s="12" t="s">
        <v>225</v>
      </c>
      <c r="DR11" s="12">
        <v>21139115.140083216</v>
      </c>
      <c r="DS11" s="12" t="s">
        <v>225</v>
      </c>
      <c r="DT11" s="12" t="s">
        <v>225</v>
      </c>
      <c r="DU11" s="12" t="s">
        <v>225</v>
      </c>
      <c r="DV11" s="12" t="s">
        <v>225</v>
      </c>
      <c r="DW11" s="12" t="s">
        <v>225</v>
      </c>
      <c r="DX11" s="12" t="s">
        <v>225</v>
      </c>
      <c r="DY11" s="12" t="s">
        <v>225</v>
      </c>
      <c r="DZ11" s="12" t="s">
        <v>225</v>
      </c>
      <c r="EA11" s="12" t="s">
        <v>225</v>
      </c>
      <c r="EB11" s="12" t="s">
        <v>225</v>
      </c>
      <c r="EC11" s="12" t="s">
        <v>225</v>
      </c>
      <c r="ED11" s="12" t="s">
        <v>225</v>
      </c>
      <c r="EE11" s="12" t="s">
        <v>225</v>
      </c>
      <c r="EF11" s="12" t="s">
        <v>225</v>
      </c>
      <c r="EG11" s="12" t="s">
        <v>225</v>
      </c>
      <c r="EH11" s="12" t="s">
        <v>225</v>
      </c>
      <c r="EI11" s="12">
        <v>63173146.635838151</v>
      </c>
      <c r="EJ11" s="12">
        <v>24105414.479889043</v>
      </c>
      <c r="EK11" s="12">
        <v>6.5161700175183901</v>
      </c>
      <c r="EL11" s="12">
        <v>13.211223305993737</v>
      </c>
      <c r="EM11" s="12">
        <v>6.5560720003475064</v>
      </c>
      <c r="EN11" s="12"/>
      <c r="EO11" s="12"/>
      <c r="EP11" s="12"/>
    </row>
    <row r="12" spans="1:146" x14ac:dyDescent="0.25">
      <c r="A12" s="52" t="s">
        <v>250</v>
      </c>
      <c r="B12" s="52" t="s">
        <v>251</v>
      </c>
      <c r="C12" s="55" t="s">
        <v>51</v>
      </c>
      <c r="D12" s="55" t="s">
        <v>46</v>
      </c>
      <c r="E12" s="55" t="s">
        <v>196</v>
      </c>
      <c r="F12" s="50">
        <v>32</v>
      </c>
      <c r="G12" s="50">
        <v>512</v>
      </c>
      <c r="H12" s="53"/>
      <c r="I12" s="53" t="s">
        <v>233</v>
      </c>
      <c r="J12" s="12">
        <v>14757.214979195562</v>
      </c>
      <c r="K12" s="12">
        <v>4096.9155837105991</v>
      </c>
      <c r="L12" s="12">
        <v>26.924608319739107</v>
      </c>
      <c r="M12" s="12"/>
      <c r="N12" s="12"/>
      <c r="O12" s="12"/>
      <c r="P12" s="12"/>
      <c r="Q12" s="12">
        <v>3154.0918570738668</v>
      </c>
      <c r="R12" s="12"/>
      <c r="S12" s="12"/>
      <c r="T12" s="12"/>
      <c r="U12" s="12"/>
      <c r="V12" s="12"/>
      <c r="W12" s="12"/>
      <c r="X12" s="12"/>
      <c r="Y12" s="12"/>
      <c r="Z12" s="12"/>
      <c r="AA12" s="12"/>
      <c r="AB12" s="12"/>
      <c r="AC12" s="12">
        <v>11290.55960329638</v>
      </c>
      <c r="AD12" s="12">
        <v>99.336253291882201</v>
      </c>
      <c r="AE12" s="12">
        <v>30379.921226605537</v>
      </c>
      <c r="AF12" s="12">
        <v>13052.660062579091</v>
      </c>
      <c r="AG12" s="12"/>
      <c r="AH12" s="12"/>
      <c r="AI12" s="12">
        <v>3.2982199477500064E-2</v>
      </c>
      <c r="AJ12" s="12"/>
      <c r="AK12" s="12"/>
      <c r="AL12" s="12">
        <v>0.4906295721151408</v>
      </c>
      <c r="AM12" s="12"/>
      <c r="AN12" s="12">
        <v>17.674563250312332</v>
      </c>
      <c r="AO12" s="12">
        <v>2.5821251878962038E-2</v>
      </c>
      <c r="AP12" s="12">
        <v>6.6766143114492138E-2</v>
      </c>
      <c r="AQ12" s="12">
        <v>0.29989917667622179</v>
      </c>
      <c r="AR12" s="12">
        <v>3.8656448862229871</v>
      </c>
      <c r="AS12" s="12">
        <v>2.1773650556264217E-2</v>
      </c>
      <c r="AT12" s="12">
        <v>0.26111442511997623</v>
      </c>
      <c r="AU12" s="12">
        <v>8.7732849566617338E-2</v>
      </c>
      <c r="AV12" s="12">
        <v>1.4324187963693875E-2</v>
      </c>
      <c r="AW12" s="12">
        <v>0.22278829071922648</v>
      </c>
      <c r="AX12" s="12">
        <v>3.3567369596904338E-2</v>
      </c>
      <c r="AY12" s="12">
        <v>0.1021232167523583</v>
      </c>
      <c r="AZ12" s="12"/>
      <c r="BA12" s="12"/>
      <c r="BB12" s="12"/>
      <c r="BC12" s="12"/>
      <c r="BD12" s="12"/>
      <c r="BE12" s="12"/>
      <c r="BF12" s="12"/>
      <c r="BG12" s="12"/>
      <c r="BH12" s="12"/>
      <c r="BI12" s="12"/>
      <c r="BJ12" s="12"/>
      <c r="BK12" s="12"/>
      <c r="BL12" s="12"/>
      <c r="BM12" s="12"/>
      <c r="BN12" s="12"/>
      <c r="BO12" s="12">
        <v>4.3473795031000025E-2</v>
      </c>
      <c r="BP12" s="12">
        <v>0.2905530235210782</v>
      </c>
      <c r="BQ12" s="12"/>
      <c r="BR12" s="12"/>
      <c r="BS12" s="12">
        <v>105.27903057177957</v>
      </c>
      <c r="BT12" s="12"/>
      <c r="BU12" s="12"/>
      <c r="BV12" s="12">
        <v>99.322297763477678</v>
      </c>
      <c r="BW12" s="12"/>
      <c r="BX12" s="12">
        <v>6791.6500666180846</v>
      </c>
      <c r="BY12" s="12">
        <v>232.60755875259298</v>
      </c>
      <c r="BZ12" s="12">
        <v>16.622734281036607</v>
      </c>
      <c r="CA12" s="12">
        <v>12.463010825995914</v>
      </c>
      <c r="CB12" s="12">
        <v>110647.0549419563</v>
      </c>
      <c r="CC12" s="12">
        <v>741.17555706970359</v>
      </c>
      <c r="CD12" s="12">
        <v>23463.985619133873</v>
      </c>
      <c r="CE12" s="12">
        <v>7538.0465102554608</v>
      </c>
      <c r="CF12" s="12">
        <v>17.587193562276973</v>
      </c>
      <c r="CG12" s="12">
        <v>23.685717366074019</v>
      </c>
      <c r="CH12" s="12">
        <v>133.83664355726737</v>
      </c>
      <c r="CI12" s="12">
        <v>199.53774799727711</v>
      </c>
      <c r="CJ12" s="12"/>
      <c r="CK12" s="12"/>
      <c r="CL12" s="12"/>
      <c r="CM12" s="12"/>
      <c r="CN12" s="12"/>
      <c r="CO12" s="12"/>
      <c r="CP12" s="12"/>
      <c r="CQ12" s="12"/>
      <c r="CR12" s="12"/>
      <c r="CS12" s="12"/>
      <c r="CT12" s="12"/>
      <c r="CU12" s="12"/>
      <c r="CV12" s="12"/>
      <c r="CW12" s="12"/>
      <c r="CX12" s="12"/>
      <c r="CY12" s="12">
        <v>13.233488230555025</v>
      </c>
      <c r="CZ12" s="12">
        <v>11.976584065314544</v>
      </c>
      <c r="DA12" s="12"/>
      <c r="DB12" s="12"/>
      <c r="DC12" s="12">
        <v>23652547.994452149</v>
      </c>
      <c r="DD12" s="12"/>
      <c r="DE12" s="12"/>
      <c r="DF12" s="12">
        <v>55749031.234396674</v>
      </c>
      <c r="DG12" s="12"/>
      <c r="DH12" s="12">
        <v>1726986737.0873787</v>
      </c>
      <c r="DI12" s="12">
        <v>120484845.5367545</v>
      </c>
      <c r="DJ12" s="12">
        <v>86995580.271844655</v>
      </c>
      <c r="DK12" s="12">
        <v>213566689.81969488</v>
      </c>
      <c r="DL12" s="12">
        <v>364476373.39251041</v>
      </c>
      <c r="DM12" s="12">
        <v>47679945.320388347</v>
      </c>
      <c r="DN12" s="12">
        <v>121219444.10540916</v>
      </c>
      <c r="DO12" s="12">
        <v>106110663.54507628</v>
      </c>
      <c r="DP12" s="12">
        <v>95599486.757281557</v>
      </c>
      <c r="DQ12" s="12">
        <v>115541467.78363384</v>
      </c>
      <c r="DR12" s="12">
        <v>21976227.328710124</v>
      </c>
      <c r="DS12" s="12">
        <v>404876755.26213592</v>
      </c>
      <c r="DT12" s="12"/>
      <c r="DU12" s="12"/>
      <c r="DV12" s="12"/>
      <c r="DW12" s="12"/>
      <c r="DX12" s="12"/>
      <c r="DY12" s="12"/>
      <c r="DZ12" s="12"/>
      <c r="EA12" s="12"/>
      <c r="EB12" s="12"/>
      <c r="EC12" s="12"/>
      <c r="ED12" s="12"/>
      <c r="EE12" s="12"/>
      <c r="EF12" s="12"/>
      <c r="EG12" s="12"/>
      <c r="EH12" s="12"/>
      <c r="EI12" s="12">
        <v>64989408.399445213</v>
      </c>
      <c r="EJ12" s="12">
        <v>27209426.48888889</v>
      </c>
      <c r="EK12" s="12">
        <v>3.8280908530038036</v>
      </c>
      <c r="EL12" s="12">
        <v>6.9788304641575447</v>
      </c>
      <c r="EM12" s="12">
        <v>3.1418776571742519</v>
      </c>
      <c r="EN12" s="12"/>
      <c r="EO12" s="12"/>
      <c r="EP12" s="12"/>
    </row>
    <row r="13" spans="1:146" x14ac:dyDescent="0.25">
      <c r="A13" s="52" t="s">
        <v>252</v>
      </c>
      <c r="B13" s="52" t="s">
        <v>253</v>
      </c>
      <c r="C13" s="55" t="s">
        <v>51</v>
      </c>
      <c r="D13" s="55" t="s">
        <v>46</v>
      </c>
      <c r="E13" s="55" t="s">
        <v>196</v>
      </c>
      <c r="F13" s="50">
        <v>32</v>
      </c>
      <c r="G13" s="50">
        <v>512</v>
      </c>
      <c r="H13" s="53"/>
      <c r="I13" s="53" t="s">
        <v>233</v>
      </c>
      <c r="J13" s="12">
        <v>14943.350901525659</v>
      </c>
      <c r="K13" s="12">
        <v>6102.3146487642425</v>
      </c>
      <c r="L13" s="12">
        <v>25.933938749323762</v>
      </c>
      <c r="M13" s="12"/>
      <c r="N13" s="12"/>
      <c r="O13" s="12"/>
      <c r="P13" s="12"/>
      <c r="Q13" s="12">
        <v>6122.3354411764522</v>
      </c>
      <c r="R13" s="12"/>
      <c r="S13" s="12"/>
      <c r="T13" s="12"/>
      <c r="U13" s="12"/>
      <c r="V13" s="12"/>
      <c r="W13" s="12"/>
      <c r="X13" s="12"/>
      <c r="Y13" s="12"/>
      <c r="Z13" s="12"/>
      <c r="AA13" s="12"/>
      <c r="AB13" s="12"/>
      <c r="AC13" s="12">
        <v>140664.3412697711</v>
      </c>
      <c r="AD13" s="12">
        <v>99.399848345894256</v>
      </c>
      <c r="AE13" s="12">
        <v>26779.502554961935</v>
      </c>
      <c r="AF13" s="12">
        <v>12984.540373117168</v>
      </c>
      <c r="AG13" s="12"/>
      <c r="AH13" s="12"/>
      <c r="AI13" s="12">
        <v>3.8884695209107166E-2</v>
      </c>
      <c r="AJ13" s="12"/>
      <c r="AK13" s="12"/>
      <c r="AL13" s="12">
        <v>0.436153051385124</v>
      </c>
      <c r="AM13" s="12"/>
      <c r="AN13" s="12">
        <v>2.1928188665591448</v>
      </c>
      <c r="AO13" s="12">
        <v>0.78844289979669968</v>
      </c>
      <c r="AP13" s="12">
        <v>7.9619806343384669E-2</v>
      </c>
      <c r="AQ13" s="12">
        <v>0.35318568270274858</v>
      </c>
      <c r="AR13" s="12">
        <v>3.7619279792401472</v>
      </c>
      <c r="AS13" s="12">
        <v>0.68569766170046975</v>
      </c>
      <c r="AT13" s="12">
        <v>0.743396596749896</v>
      </c>
      <c r="AU13" s="12">
        <v>0.2845589512745319</v>
      </c>
      <c r="AV13" s="12">
        <v>3.8301122008008275E-3</v>
      </c>
      <c r="AW13" s="12">
        <v>0.33278463723132973</v>
      </c>
      <c r="AX13" s="12">
        <v>1.1357266371205446E-2</v>
      </c>
      <c r="AY13" s="12"/>
      <c r="AZ13" s="12"/>
      <c r="BA13" s="12"/>
      <c r="BB13" s="12"/>
      <c r="BC13" s="12"/>
      <c r="BD13" s="12"/>
      <c r="BE13" s="12"/>
      <c r="BF13" s="12"/>
      <c r="BG13" s="12"/>
      <c r="BH13" s="12"/>
      <c r="BI13" s="12"/>
      <c r="BJ13" s="12"/>
      <c r="BK13" s="12"/>
      <c r="BL13" s="12"/>
      <c r="BM13" s="12"/>
      <c r="BN13" s="12"/>
      <c r="BO13" s="12">
        <v>4.2660154081785813E-2</v>
      </c>
      <c r="BP13" s="12">
        <v>0.27223771533354024</v>
      </c>
      <c r="BQ13" s="12"/>
      <c r="BR13" s="12"/>
      <c r="BS13" s="12">
        <v>105.27665828533343</v>
      </c>
      <c r="BT13" s="12"/>
      <c r="BU13" s="12"/>
      <c r="BV13" s="12">
        <v>89.94483403931963</v>
      </c>
      <c r="BW13" s="12"/>
      <c r="BX13" s="12">
        <v>25734.458020839924</v>
      </c>
      <c r="BY13" s="12">
        <v>8853.8724885376487</v>
      </c>
      <c r="BZ13" s="12">
        <v>6.8937931703058553</v>
      </c>
      <c r="CA13" s="12">
        <v>19.354977056890942</v>
      </c>
      <c r="CB13" s="12">
        <v>97748.701522854695</v>
      </c>
      <c r="CC13" s="12">
        <v>131434.96213097216</v>
      </c>
      <c r="CD13" s="12">
        <v>50979.077579486999</v>
      </c>
      <c r="CE13" s="12">
        <v>10503.766316540594</v>
      </c>
      <c r="CF13" s="12">
        <v>0.14386346855693818</v>
      </c>
      <c r="CG13" s="12">
        <v>23.756968464828393</v>
      </c>
      <c r="CH13" s="12">
        <v>126.12174564697762</v>
      </c>
      <c r="CI13" s="12"/>
      <c r="CJ13" s="12"/>
      <c r="CK13" s="12"/>
      <c r="CL13" s="12"/>
      <c r="CM13" s="12"/>
      <c r="CN13" s="12"/>
      <c r="CO13" s="12"/>
      <c r="CP13" s="12"/>
      <c r="CQ13" s="12"/>
      <c r="CR13" s="12"/>
      <c r="CS13" s="12"/>
      <c r="CT13" s="12"/>
      <c r="CU13" s="12"/>
      <c r="CV13" s="12"/>
      <c r="CW13" s="12"/>
      <c r="CX13" s="12"/>
      <c r="CY13" s="12">
        <v>13.23899461356992</v>
      </c>
      <c r="CZ13" s="12">
        <v>11.716780242033966</v>
      </c>
      <c r="DA13" s="12"/>
      <c r="DB13" s="12"/>
      <c r="DC13" s="12">
        <v>23105564.404993065</v>
      </c>
      <c r="DD13" s="12"/>
      <c r="DE13" s="12">
        <v>198905856</v>
      </c>
      <c r="DF13" s="12">
        <v>34389618.330097087</v>
      </c>
      <c r="DG13" s="12"/>
      <c r="DH13" s="12">
        <v>981381960.78779471</v>
      </c>
      <c r="DI13" s="12">
        <v>130125977.38696255</v>
      </c>
      <c r="DJ13" s="12">
        <v>70901464.588072121</v>
      </c>
      <c r="DK13" s="12">
        <v>153023588.83772537</v>
      </c>
      <c r="DL13" s="12">
        <v>376600203.89459085</v>
      </c>
      <c r="DM13" s="12">
        <v>107933889.15395284</v>
      </c>
      <c r="DN13" s="12">
        <v>144333336.85436893</v>
      </c>
      <c r="DO13" s="12">
        <v>99275598.468793347</v>
      </c>
      <c r="DP13" s="12">
        <v>92794414.158113733</v>
      </c>
      <c r="DQ13" s="12">
        <v>109217999.35644938</v>
      </c>
      <c r="DR13" s="12">
        <v>22034241.686546464</v>
      </c>
      <c r="DS13" s="12"/>
      <c r="DT13" s="12"/>
      <c r="DU13" s="12"/>
      <c r="DV13" s="12"/>
      <c r="DW13" s="12"/>
      <c r="DX13" s="12"/>
      <c r="DY13" s="12"/>
      <c r="DZ13" s="12"/>
      <c r="EA13" s="12"/>
      <c r="EB13" s="12"/>
      <c r="EC13" s="12"/>
      <c r="ED13" s="12"/>
      <c r="EE13" s="12"/>
      <c r="EF13" s="12"/>
      <c r="EG13" s="12"/>
      <c r="EH13" s="12"/>
      <c r="EI13" s="12">
        <v>64796322.618585296</v>
      </c>
      <c r="EJ13" s="12">
        <v>27020130.352288488</v>
      </c>
      <c r="EK13" s="12">
        <v>4.9074784532456039</v>
      </c>
      <c r="EL13" s="12">
        <v>10.724998559305117</v>
      </c>
      <c r="EM13" s="12">
        <v>5.8174338679634756</v>
      </c>
      <c r="EN13" s="12"/>
      <c r="EO13" s="12"/>
      <c r="EP13" s="12"/>
    </row>
    <row r="14" spans="1:146" x14ac:dyDescent="0.25">
      <c r="A14" s="52" t="s">
        <v>254</v>
      </c>
      <c r="B14" s="52" t="s">
        <v>255</v>
      </c>
      <c r="C14" s="55" t="s">
        <v>51</v>
      </c>
      <c r="D14" s="55" t="s">
        <v>46</v>
      </c>
      <c r="E14" s="55" t="s">
        <v>196</v>
      </c>
      <c r="F14" s="50">
        <v>32</v>
      </c>
      <c r="G14" s="50">
        <v>512</v>
      </c>
      <c r="H14" s="53"/>
      <c r="I14" s="53" t="s">
        <v>233</v>
      </c>
      <c r="J14" s="12">
        <v>8834.9181692094317</v>
      </c>
      <c r="K14" s="12">
        <v>14277.699451417149</v>
      </c>
      <c r="L14" s="12">
        <v>89.982934167955918</v>
      </c>
      <c r="M14" s="12"/>
      <c r="N14" s="12"/>
      <c r="O14" s="12"/>
      <c r="P14" s="12"/>
      <c r="Q14" s="12">
        <v>4498.0439981590762</v>
      </c>
      <c r="R14" s="12"/>
      <c r="S14" s="12"/>
      <c r="T14" s="12"/>
      <c r="U14" s="12"/>
      <c r="V14" s="12"/>
      <c r="W14" s="12"/>
      <c r="X14" s="12"/>
      <c r="Y14" s="12"/>
      <c r="Z14" s="12"/>
      <c r="AA14" s="12"/>
      <c r="AB14" s="12"/>
      <c r="AC14" s="12">
        <v>13476.022633817831</v>
      </c>
      <c r="AD14" s="12">
        <v>99.125368899972429</v>
      </c>
      <c r="AE14" s="12">
        <v>31638.8368489106</v>
      </c>
      <c r="AF14" s="12">
        <v>13860.611726667757</v>
      </c>
      <c r="AG14" s="12">
        <v>0.20100886791925685</v>
      </c>
      <c r="AH14" s="12"/>
      <c r="AI14" s="12">
        <v>3.5225733227523995E-2</v>
      </c>
      <c r="AJ14" s="12"/>
      <c r="AK14" s="12"/>
      <c r="AL14" s="12">
        <v>0.47157938507389263</v>
      </c>
      <c r="AM14" s="12"/>
      <c r="AN14" s="12">
        <v>4.8375416037433228</v>
      </c>
      <c r="AO14" s="12">
        <v>0.46997636941731258</v>
      </c>
      <c r="AP14" s="12">
        <v>8.354011705849064E-2</v>
      </c>
      <c r="AQ14" s="12">
        <v>0.30620473750688582</v>
      </c>
      <c r="AR14" s="12">
        <v>3.4336995074254015</v>
      </c>
      <c r="AS14" s="12">
        <v>6.4094236098296245E-2</v>
      </c>
      <c r="AT14" s="12">
        <v>1.1482667663614958</v>
      </c>
      <c r="AU14" s="12">
        <v>0.35216167302921769</v>
      </c>
      <c r="AV14" s="12">
        <v>9.9136962382502056E-3</v>
      </c>
      <c r="AW14" s="12"/>
      <c r="AX14" s="12">
        <v>2.1854727497701145E-2</v>
      </c>
      <c r="AY14" s="12">
        <v>0.21488952309167572</v>
      </c>
      <c r="AZ14" s="12"/>
      <c r="BA14" s="12"/>
      <c r="BB14" s="12"/>
      <c r="BC14" s="12"/>
      <c r="BD14" s="12"/>
      <c r="BE14" s="12">
        <v>0.22179725695894009</v>
      </c>
      <c r="BF14" s="12"/>
      <c r="BG14" s="12"/>
      <c r="BH14" s="12"/>
      <c r="BI14" s="12"/>
      <c r="BJ14" s="12"/>
      <c r="BK14" s="12"/>
      <c r="BL14" s="12"/>
      <c r="BM14" s="12"/>
      <c r="BN14" s="12"/>
      <c r="BO14" s="12">
        <v>3.753726866519385E-2</v>
      </c>
      <c r="BP14" s="12">
        <v>0.20242335600054109</v>
      </c>
      <c r="BQ14" s="12">
        <v>1631.7096289965054</v>
      </c>
      <c r="BR14" s="12"/>
      <c r="BS14" s="12">
        <v>105.15272418980058</v>
      </c>
      <c r="BT14" s="12"/>
      <c r="BU14" s="12"/>
      <c r="BV14" s="12">
        <v>66.471627853686059</v>
      </c>
      <c r="BW14" s="12"/>
      <c r="BX14" s="12">
        <v>7644.7685828459516</v>
      </c>
      <c r="BY14" s="12">
        <v>669.2805570618707</v>
      </c>
      <c r="BZ14" s="12">
        <v>6.8597218937744664</v>
      </c>
      <c r="CA14" s="12">
        <v>35.755307176215119</v>
      </c>
      <c r="CB14" s="12">
        <v>248010.23928986493</v>
      </c>
      <c r="CC14" s="12">
        <v>83.126431533197874</v>
      </c>
      <c r="CD14" s="12">
        <v>29663.650475321891</v>
      </c>
      <c r="CE14" s="12">
        <v>6336.1859550938889</v>
      </c>
      <c r="CF14" s="12">
        <v>17.969601864963114</v>
      </c>
      <c r="CG14" s="12"/>
      <c r="CH14" s="12">
        <v>126.75550188926398</v>
      </c>
      <c r="CI14" s="12">
        <v>785.91802894228101</v>
      </c>
      <c r="CJ14" s="12"/>
      <c r="CK14" s="12"/>
      <c r="CL14" s="12"/>
      <c r="CM14" s="12"/>
      <c r="CN14" s="12"/>
      <c r="CO14" s="12">
        <v>12193.29847278604</v>
      </c>
      <c r="CP14" s="12"/>
      <c r="CQ14" s="12"/>
      <c r="CR14" s="12"/>
      <c r="CS14" s="12"/>
      <c r="CT14" s="12"/>
      <c r="CU14" s="12"/>
      <c r="CV14" s="12"/>
      <c r="CW14" s="12"/>
      <c r="CX14" s="12"/>
      <c r="CY14" s="12">
        <v>13.326970549303329</v>
      </c>
      <c r="CZ14" s="12">
        <v>23.593837511266198</v>
      </c>
      <c r="DA14" s="12">
        <v>314319053.65690374</v>
      </c>
      <c r="DB14" s="12"/>
      <c r="DC14" s="12">
        <v>24781260.160887655</v>
      </c>
      <c r="DD14" s="12"/>
      <c r="DE14" s="12"/>
      <c r="DF14" s="12">
        <v>104529209.87517338</v>
      </c>
      <c r="DG14" s="12"/>
      <c r="DH14" s="12">
        <v>1295865847.4309623</v>
      </c>
      <c r="DI14" s="12">
        <v>123913038.46879335</v>
      </c>
      <c r="DJ14" s="12">
        <v>78912990.624133155</v>
      </c>
      <c r="DK14" s="12">
        <v>185959195.33980581</v>
      </c>
      <c r="DL14" s="12">
        <v>387786448.06657422</v>
      </c>
      <c r="DM14" s="12">
        <v>41998952.388349518</v>
      </c>
      <c r="DN14" s="12">
        <v>194312410.71844661</v>
      </c>
      <c r="DO14" s="12">
        <v>101397729.81969486</v>
      </c>
      <c r="DP14" s="12">
        <v>93837422.779472947</v>
      </c>
      <c r="DQ14" s="12"/>
      <c r="DR14" s="12">
        <v>24454983.367545076</v>
      </c>
      <c r="DS14" s="12">
        <v>416598704.37935841</v>
      </c>
      <c r="DT14" s="12"/>
      <c r="DU14" s="12"/>
      <c r="DV14" s="12"/>
      <c r="DW14" s="12"/>
      <c r="DX14" s="12"/>
      <c r="DY14" s="12">
        <v>81587479.789181694</v>
      </c>
      <c r="DZ14" s="12"/>
      <c r="EA14" s="12"/>
      <c r="EB14" s="12"/>
      <c r="EC14" s="12"/>
      <c r="ED14" s="12"/>
      <c r="EE14" s="12"/>
      <c r="EF14" s="12"/>
      <c r="EG14" s="12"/>
      <c r="EH14" s="12"/>
      <c r="EI14" s="12">
        <v>64588625.309292652</v>
      </c>
      <c r="EJ14" s="12">
        <v>28652258.529819693</v>
      </c>
      <c r="EK14" s="12">
        <v>6.7306588402826328</v>
      </c>
      <c r="EL14" s="12">
        <v>14.990416318960847</v>
      </c>
      <c r="EM14" s="12">
        <v>8.2581237820737741</v>
      </c>
      <c r="EN14" s="12"/>
      <c r="EO14" s="12"/>
      <c r="EP14" s="12"/>
    </row>
    <row r="15" spans="1:146" x14ac:dyDescent="0.25">
      <c r="A15" s="52" t="s">
        <v>256</v>
      </c>
      <c r="B15" s="52" t="s">
        <v>257</v>
      </c>
      <c r="C15" s="55" t="s">
        <v>344</v>
      </c>
      <c r="D15" s="55" t="s">
        <v>46</v>
      </c>
      <c r="E15" s="55" t="s">
        <v>196</v>
      </c>
      <c r="F15" s="50">
        <v>32</v>
      </c>
      <c r="G15" s="50">
        <v>512</v>
      </c>
      <c r="H15" s="53"/>
      <c r="I15" s="53" t="s">
        <v>233</v>
      </c>
      <c r="J15" s="12">
        <v>18254.271844660194</v>
      </c>
      <c r="K15" s="12">
        <v>6901.6924254847363</v>
      </c>
      <c r="L15" s="12">
        <v>121.5052128806076</v>
      </c>
      <c r="M15" s="12"/>
      <c r="N15" s="12"/>
      <c r="O15" s="12"/>
      <c r="P15" s="12"/>
      <c r="Q15" s="12">
        <v>33703.160032019958</v>
      </c>
      <c r="R15" s="12"/>
      <c r="S15" s="12"/>
      <c r="T15" s="12"/>
      <c r="U15" s="12"/>
      <c r="V15" s="12"/>
      <c r="W15" s="12"/>
      <c r="X15" s="12"/>
      <c r="Y15" s="12"/>
      <c r="Z15" s="12"/>
      <c r="AA15" s="12"/>
      <c r="AB15" s="12"/>
      <c r="AC15" s="12">
        <v>109025.4423697006</v>
      </c>
      <c r="AD15" s="12">
        <v>95.660780855774775</v>
      </c>
      <c r="AE15" s="12">
        <v>30260.923289326489</v>
      </c>
      <c r="AF15" s="12">
        <v>19679.158325222565</v>
      </c>
      <c r="AG15" s="12"/>
      <c r="AH15" s="12"/>
      <c r="AI15" s="12">
        <v>4.3362040912929931E-2</v>
      </c>
      <c r="AJ15" s="12"/>
      <c r="AK15" s="12"/>
      <c r="AL15" s="12">
        <v>0.98298837390049476</v>
      </c>
      <c r="AM15" s="12"/>
      <c r="AN15" s="12"/>
      <c r="AO15" s="12">
        <v>3.6977833591598695E-2</v>
      </c>
      <c r="AP15" s="12">
        <v>8.866240540276242E-2</v>
      </c>
      <c r="AQ15" s="12">
        <v>0.32837562705148921</v>
      </c>
      <c r="AR15" s="12">
        <v>7.9705616031144144</v>
      </c>
      <c r="AS15" s="12">
        <v>7.7911221106455958E-2</v>
      </c>
      <c r="AT15" s="12"/>
      <c r="AU15" s="12">
        <v>0.70765091468889185</v>
      </c>
      <c r="AV15" s="12">
        <v>1.7629408682257611E-2</v>
      </c>
      <c r="AW15" s="12">
        <v>0.30886742414625268</v>
      </c>
      <c r="AX15" s="12">
        <v>4.4198642575653396E-2</v>
      </c>
      <c r="AY15" s="12"/>
      <c r="AZ15" s="12"/>
      <c r="BA15" s="12"/>
      <c r="BB15" s="12"/>
      <c r="BC15" s="12"/>
      <c r="BD15" s="12"/>
      <c r="BE15" s="12">
        <v>1.157138192278711</v>
      </c>
      <c r="BF15" s="12"/>
      <c r="BG15" s="12"/>
      <c r="BH15" s="12"/>
      <c r="BI15" s="12"/>
      <c r="BJ15" s="12"/>
      <c r="BK15" s="12"/>
      <c r="BL15" s="12"/>
      <c r="BM15" s="12"/>
      <c r="BN15" s="12"/>
      <c r="BO15" s="12">
        <v>4.9704309888055333E-2</v>
      </c>
      <c r="BP15" s="12">
        <v>0.85054182262795541</v>
      </c>
      <c r="BQ15" s="12"/>
      <c r="BR15" s="12"/>
      <c r="BS15" s="12">
        <v>104.90055764298963</v>
      </c>
      <c r="BT15" s="12"/>
      <c r="BU15" s="12"/>
      <c r="BV15" s="12">
        <v>260.9087302235863</v>
      </c>
      <c r="BW15" s="12"/>
      <c r="BX15" s="12"/>
      <c r="BY15" s="12">
        <v>865.61488072448913</v>
      </c>
      <c r="BZ15" s="12">
        <v>0</v>
      </c>
      <c r="CA15" s="12">
        <v>7.0232755081162974</v>
      </c>
      <c r="CB15" s="12">
        <v>278528.41968865233</v>
      </c>
      <c r="CC15" s="12">
        <v>114.31488766414576</v>
      </c>
      <c r="CD15" s="12"/>
      <c r="CE15" s="12">
        <v>8645.6471198618201</v>
      </c>
      <c r="CF15" s="12">
        <v>329.34200501918497</v>
      </c>
      <c r="CG15" s="12">
        <v>21.511949822782775</v>
      </c>
      <c r="CH15" s="12">
        <v>1633.838300437651</v>
      </c>
      <c r="CI15" s="12"/>
      <c r="CJ15" s="12"/>
      <c r="CK15" s="12"/>
      <c r="CL15" s="12"/>
      <c r="CM15" s="12"/>
      <c r="CN15" s="12"/>
      <c r="CO15" s="12">
        <v>106947.27192398647</v>
      </c>
      <c r="CP15" s="12"/>
      <c r="CQ15" s="12"/>
      <c r="CR15" s="12"/>
      <c r="CS15" s="12"/>
      <c r="CT15" s="12"/>
      <c r="CU15" s="12"/>
      <c r="CV15" s="12"/>
      <c r="CW15" s="12"/>
      <c r="CX15" s="12"/>
      <c r="CY15" s="12">
        <v>13.227560071363637</v>
      </c>
      <c r="CZ15" s="12">
        <v>21.552454445390101</v>
      </c>
      <c r="DA15" s="12"/>
      <c r="DB15" s="12"/>
      <c r="DC15" s="12">
        <v>21549703.633841887</v>
      </c>
      <c r="DD15" s="12"/>
      <c r="DE15" s="12"/>
      <c r="DF15" s="12">
        <v>28161590.679611649</v>
      </c>
      <c r="DG15" s="12"/>
      <c r="DH15" s="12"/>
      <c r="DI15" s="12">
        <v>112818678.76837726</v>
      </c>
      <c r="DJ15" s="12">
        <v>68930640.954230234</v>
      </c>
      <c r="DK15" s="12">
        <v>136246293.30374479</v>
      </c>
      <c r="DL15" s="12">
        <v>452767056.59916782</v>
      </c>
      <c r="DM15" s="12">
        <v>45099027.883495145</v>
      </c>
      <c r="DN15" s="12"/>
      <c r="DO15" s="12">
        <v>98556827.162274614</v>
      </c>
      <c r="DP15" s="12">
        <v>90784158.712898746</v>
      </c>
      <c r="DQ15" s="12">
        <v>104281614.91262136</v>
      </c>
      <c r="DR15" s="12">
        <v>20651452.53814147</v>
      </c>
      <c r="DS15" s="12"/>
      <c r="DT15" s="12"/>
      <c r="DU15" s="12"/>
      <c r="DV15" s="12"/>
      <c r="DW15" s="12"/>
      <c r="DX15" s="12"/>
      <c r="DY15" s="12">
        <v>152108217.2678822</v>
      </c>
      <c r="DZ15" s="12"/>
      <c r="EA15" s="12"/>
      <c r="EB15" s="12"/>
      <c r="EC15" s="12"/>
      <c r="ED15" s="12"/>
      <c r="EE15" s="12"/>
      <c r="EF15" s="12"/>
      <c r="EG15" s="12"/>
      <c r="EH15" s="12"/>
      <c r="EI15" s="12">
        <v>64801747.972260751</v>
      </c>
      <c r="EJ15" s="12">
        <v>25688123.650485437</v>
      </c>
      <c r="EK15" s="12">
        <v>6.7297391630886114</v>
      </c>
      <c r="EL15" s="12">
        <v>12.497930788748063</v>
      </c>
      <c r="EM15" s="12">
        <v>5.7656299951076964</v>
      </c>
      <c r="EN15" s="12"/>
      <c r="EO15" s="12"/>
      <c r="EP15" s="12"/>
    </row>
    <row r="16" spans="1:146" x14ac:dyDescent="0.25">
      <c r="A16" s="52" t="s">
        <v>258</v>
      </c>
      <c r="B16" s="52" t="s">
        <v>259</v>
      </c>
      <c r="C16" s="55" t="s">
        <v>51</v>
      </c>
      <c r="D16" s="55" t="s">
        <v>186</v>
      </c>
      <c r="E16" s="55" t="s">
        <v>196</v>
      </c>
      <c r="F16" s="50">
        <v>32</v>
      </c>
      <c r="G16" s="50">
        <v>512</v>
      </c>
      <c r="H16" s="53"/>
      <c r="I16" s="53" t="s">
        <v>233</v>
      </c>
      <c r="J16" s="12">
        <v>13662.176144244106</v>
      </c>
      <c r="K16" s="12">
        <v>9579.2001454094498</v>
      </c>
      <c r="L16" s="12">
        <v>146.37437366156649</v>
      </c>
      <c r="M16" s="12"/>
      <c r="N16" s="12"/>
      <c r="O16" s="12"/>
      <c r="P16" s="12"/>
      <c r="Q16" s="12">
        <v>34079.18656565078</v>
      </c>
      <c r="R16" s="12"/>
      <c r="S16" s="12"/>
      <c r="T16" s="12">
        <v>105679.95412963003</v>
      </c>
      <c r="U16" s="12"/>
      <c r="V16" s="12"/>
      <c r="W16" s="12"/>
      <c r="X16" s="12"/>
      <c r="Y16" s="12"/>
      <c r="Z16" s="12"/>
      <c r="AA16" s="12"/>
      <c r="AB16" s="12"/>
      <c r="AC16" s="12"/>
      <c r="AD16" s="12">
        <v>98.115707130783818</v>
      </c>
      <c r="AE16" s="12">
        <v>44520.583668341453</v>
      </c>
      <c r="AF16" s="12">
        <v>15523.229139476869</v>
      </c>
      <c r="AG16" s="12"/>
      <c r="AH16" s="12"/>
      <c r="AI16" s="12">
        <v>3.5664919886417262E-2</v>
      </c>
      <c r="AJ16" s="12"/>
      <c r="AK16" s="12"/>
      <c r="AL16" s="12">
        <v>0.57435401485160464</v>
      </c>
      <c r="AM16" s="12"/>
      <c r="AN16" s="12">
        <v>6.5634079678721138</v>
      </c>
      <c r="AO16" s="12">
        <v>1.5581128667963002</v>
      </c>
      <c r="AP16" s="12">
        <v>6.7928695085372484E-2</v>
      </c>
      <c r="AQ16" s="12">
        <v>0.30288962871104419</v>
      </c>
      <c r="AR16" s="12">
        <v>6.7667045200463143</v>
      </c>
      <c r="AS16" s="12">
        <v>3.7289253448314345E-2</v>
      </c>
      <c r="AT16" s="12">
        <v>1.7307532118941225</v>
      </c>
      <c r="AU16" s="12">
        <v>0.19981153021524309</v>
      </c>
      <c r="AV16" s="12"/>
      <c r="AW16" s="12">
        <v>0.22713809001577023</v>
      </c>
      <c r="AX16" s="12">
        <v>2.524782717770949E-2</v>
      </c>
      <c r="AY16" s="12">
        <v>2.8074725914065857</v>
      </c>
      <c r="AZ16" s="12">
        <v>7.7402749765096415E-3</v>
      </c>
      <c r="BA16" s="12">
        <v>0.13982315572450257</v>
      </c>
      <c r="BB16" s="12">
        <v>0.30099326115482333</v>
      </c>
      <c r="BC16" s="12">
        <v>0.23845391006572064</v>
      </c>
      <c r="BD16" s="12"/>
      <c r="BE16" s="12">
        <v>7.0062285466767085</v>
      </c>
      <c r="BF16" s="12">
        <v>0</v>
      </c>
      <c r="BG16" s="12">
        <v>0</v>
      </c>
      <c r="BH16" s="12">
        <v>8.1776877996883185E-3</v>
      </c>
      <c r="BI16" s="12">
        <v>0</v>
      </c>
      <c r="BJ16" s="12">
        <v>0.21864326596281913</v>
      </c>
      <c r="BK16" s="12">
        <v>0</v>
      </c>
      <c r="BL16" s="12"/>
      <c r="BM16" s="12"/>
      <c r="BN16" s="12"/>
      <c r="BO16" s="12">
        <v>3.8556313054033842E-2</v>
      </c>
      <c r="BP16" s="12">
        <v>0.27785445914956419</v>
      </c>
      <c r="BQ16" s="12"/>
      <c r="BR16" s="12"/>
      <c r="BS16" s="12">
        <v>105.26274723195814</v>
      </c>
      <c r="BT16" s="12"/>
      <c r="BU16" s="12"/>
      <c r="BV16" s="12">
        <v>163.50690800812148</v>
      </c>
      <c r="BW16" s="12"/>
      <c r="BX16" s="12">
        <v>10723.238818651482</v>
      </c>
      <c r="BY16" s="12">
        <v>88702.937834020267</v>
      </c>
      <c r="BZ16" s="12">
        <v>6.8920380281820588</v>
      </c>
      <c r="CA16" s="12">
        <v>38.985001104432641</v>
      </c>
      <c r="CB16" s="12">
        <v>751250.39755652309</v>
      </c>
      <c r="CC16" s="12">
        <v>675.30669769250551</v>
      </c>
      <c r="CD16" s="12">
        <v>137033.20227643053</v>
      </c>
      <c r="CE16" s="12">
        <v>11640.521473086024</v>
      </c>
      <c r="CF16" s="12"/>
      <c r="CG16" s="12">
        <v>20.234924452530876</v>
      </c>
      <c r="CH16" s="12">
        <v>117.35065771056146</v>
      </c>
      <c r="CI16" s="12">
        <v>36718.68664226804</v>
      </c>
      <c r="CJ16" s="12">
        <v>0.12518794354056945</v>
      </c>
      <c r="CK16" s="12">
        <v>2559.295939630224</v>
      </c>
      <c r="CL16" s="12">
        <v>9343.4048651700577</v>
      </c>
      <c r="CM16" s="12">
        <v>3062.1356309607477</v>
      </c>
      <c r="CN16" s="12"/>
      <c r="CO16" s="12">
        <v>787349.7737047259</v>
      </c>
      <c r="CP16" s="12">
        <v>0</v>
      </c>
      <c r="CQ16" s="12">
        <v>0</v>
      </c>
      <c r="CR16" s="12">
        <v>1.0233824243292986</v>
      </c>
      <c r="CS16" s="12">
        <v>0</v>
      </c>
      <c r="CT16" s="12">
        <v>18357.867564377746</v>
      </c>
      <c r="CU16" s="12">
        <v>4.4471521547721861E-2</v>
      </c>
      <c r="CV16" s="12"/>
      <c r="CW16" s="12"/>
      <c r="CX16" s="12"/>
      <c r="CY16" s="12">
        <v>13.313420593441517</v>
      </c>
      <c r="CZ16" s="12">
        <v>21.77385087348576</v>
      </c>
      <c r="DA16" s="12"/>
      <c r="DB16" s="12"/>
      <c r="DC16" s="12">
        <v>23268086.413314842</v>
      </c>
      <c r="DD16" s="12"/>
      <c r="DE16" s="12"/>
      <c r="DF16" s="12">
        <v>192080709.94729543</v>
      </c>
      <c r="DG16" s="12"/>
      <c r="DH16" s="12">
        <v>979783668.63800275</v>
      </c>
      <c r="DI16" s="12">
        <v>145442091.67267683</v>
      </c>
      <c r="DJ16" s="12">
        <v>70424482.263522878</v>
      </c>
      <c r="DK16" s="12">
        <v>153863496.07766989</v>
      </c>
      <c r="DL16" s="12">
        <v>392842343.67822468</v>
      </c>
      <c r="DM16" s="12">
        <v>45446046.002773926</v>
      </c>
      <c r="DN16" s="12">
        <v>140382230.72399446</v>
      </c>
      <c r="DO16" s="12">
        <v>98107829.43689321</v>
      </c>
      <c r="DP16" s="12"/>
      <c r="DQ16" s="12">
        <v>103678815.51178919</v>
      </c>
      <c r="DR16" s="12">
        <v>21536154.452149794</v>
      </c>
      <c r="DS16" s="12">
        <v>800802789.17030573</v>
      </c>
      <c r="DT16" s="12">
        <v>132385350.30235784</v>
      </c>
      <c r="DU16" s="12">
        <v>13446060.205270458</v>
      </c>
      <c r="DV16" s="12">
        <v>47113072.554785021</v>
      </c>
      <c r="DW16" s="12">
        <v>29517622.324549235</v>
      </c>
      <c r="DX16" s="12"/>
      <c r="DY16" s="12">
        <v>74824908.799999997</v>
      </c>
      <c r="DZ16" s="12">
        <v>606208</v>
      </c>
      <c r="EA16" s="12">
        <v>618496</v>
      </c>
      <c r="EB16" s="12">
        <v>2992636.4493758669</v>
      </c>
      <c r="EC16" s="12">
        <v>32759808</v>
      </c>
      <c r="ED16" s="12">
        <v>6430049.6421636613</v>
      </c>
      <c r="EE16" s="12">
        <v>8859477.5700416081</v>
      </c>
      <c r="EF16" s="12"/>
      <c r="EG16" s="12"/>
      <c r="EH16" s="12"/>
      <c r="EI16" s="12">
        <v>63784712.87656033</v>
      </c>
      <c r="EJ16" s="12">
        <v>27297652.815533981</v>
      </c>
      <c r="EK16" s="12">
        <v>6.6912862688282999</v>
      </c>
      <c r="EL16" s="12">
        <v>13.270546554891009</v>
      </c>
      <c r="EM16" s="12">
        <v>6.577693055564243</v>
      </c>
      <c r="EN16" s="12"/>
      <c r="EO16" s="12"/>
      <c r="EP16" s="12"/>
    </row>
    <row r="17" spans="1:146" x14ac:dyDescent="0.25">
      <c r="A17" s="52" t="s">
        <v>260</v>
      </c>
      <c r="B17" s="52" t="s">
        <v>261</v>
      </c>
      <c r="C17" s="55" t="s">
        <v>51</v>
      </c>
      <c r="D17" s="55" t="s">
        <v>46</v>
      </c>
      <c r="E17" s="55" t="s">
        <v>196</v>
      </c>
      <c r="F17" s="50">
        <v>32</v>
      </c>
      <c r="G17" s="50">
        <v>512</v>
      </c>
      <c r="H17" s="53"/>
      <c r="I17" s="53" t="s">
        <v>233</v>
      </c>
      <c r="J17" s="12">
        <v>15991.769764216366</v>
      </c>
      <c r="K17" s="12">
        <v>11763.779006854804</v>
      </c>
      <c r="L17" s="12">
        <v>347.49831338606663</v>
      </c>
      <c r="M17" s="12"/>
      <c r="N17" s="12"/>
      <c r="O17" s="12"/>
      <c r="P17" s="12"/>
      <c r="Q17" s="12">
        <v>116065.84654070114</v>
      </c>
      <c r="R17" s="12"/>
      <c r="S17" s="12"/>
      <c r="T17" s="12"/>
      <c r="U17" s="12"/>
      <c r="V17" s="12"/>
      <c r="W17" s="12"/>
      <c r="X17" s="12"/>
      <c r="Y17" s="12"/>
      <c r="Z17" s="12"/>
      <c r="AA17" s="12"/>
      <c r="AB17" s="12"/>
      <c r="AC17" s="12">
        <v>176887.24814285105</v>
      </c>
      <c r="AD17" s="12">
        <v>96.130993311646264</v>
      </c>
      <c r="AE17" s="12">
        <v>37462.875394413219</v>
      </c>
      <c r="AF17" s="12">
        <v>33057.902808497754</v>
      </c>
      <c r="AG17" s="12">
        <v>1.4496360411296367</v>
      </c>
      <c r="AH17" s="12"/>
      <c r="AI17" s="12">
        <v>4.3866940979595037E-2</v>
      </c>
      <c r="AJ17" s="12"/>
      <c r="AK17" s="12"/>
      <c r="AL17" s="12">
        <v>0.96041087938218161</v>
      </c>
      <c r="AM17" s="12"/>
      <c r="AN17" s="12">
        <v>0.80109747352919003</v>
      </c>
      <c r="AO17" s="12">
        <v>0.8274508594561697</v>
      </c>
      <c r="AP17" s="12">
        <v>8.8169658099766221E-2</v>
      </c>
      <c r="AQ17" s="12">
        <v>0.41641138157118657</v>
      </c>
      <c r="AR17" s="12">
        <v>7.6960075256420293</v>
      </c>
      <c r="AS17" s="12">
        <v>6.7755464549450986E-2</v>
      </c>
      <c r="AT17" s="12">
        <v>1.3305027796700932</v>
      </c>
      <c r="AU17" s="12">
        <v>0.26390272206026411</v>
      </c>
      <c r="AV17" s="12">
        <v>1.5698726270684134E-2</v>
      </c>
      <c r="AW17" s="12">
        <v>0.41136004976193224</v>
      </c>
      <c r="AX17" s="12">
        <v>1.7808552561596823E-2</v>
      </c>
      <c r="AY17" s="12"/>
      <c r="AZ17" s="12"/>
      <c r="BA17" s="12"/>
      <c r="BB17" s="12"/>
      <c r="BC17" s="12"/>
      <c r="BD17" s="12"/>
      <c r="BE17" s="12"/>
      <c r="BF17" s="12"/>
      <c r="BG17" s="12"/>
      <c r="BH17" s="12"/>
      <c r="BI17" s="12"/>
      <c r="BJ17" s="12"/>
      <c r="BK17" s="12"/>
      <c r="BL17" s="12"/>
      <c r="BM17" s="12"/>
      <c r="BN17" s="12"/>
      <c r="BO17" s="12">
        <v>4.9130533171657942E-2</v>
      </c>
      <c r="BP17" s="12">
        <v>0.51493616536905429</v>
      </c>
      <c r="BQ17" s="12">
        <v>15369.550772932183</v>
      </c>
      <c r="BR17" s="12"/>
      <c r="BS17" s="12">
        <v>105.27029640738127</v>
      </c>
      <c r="BT17" s="12"/>
      <c r="BU17" s="12"/>
      <c r="BV17" s="12">
        <v>169.6278619190247</v>
      </c>
      <c r="BW17" s="12"/>
      <c r="BX17" s="12">
        <v>4814.7862166139184</v>
      </c>
      <c r="BY17" s="12">
        <v>1600.3561010613992</v>
      </c>
      <c r="BZ17" s="12">
        <v>6.8913383727918811</v>
      </c>
      <c r="CA17" s="12">
        <v>37.31145455927016</v>
      </c>
      <c r="CB17" s="12">
        <v>655984.24816331011</v>
      </c>
      <c r="CC17" s="12">
        <v>638.53079813272564</v>
      </c>
      <c r="CD17" s="12">
        <v>65817.343614000885</v>
      </c>
      <c r="CE17" s="12">
        <v>8698.2307669034126</v>
      </c>
      <c r="CF17" s="12">
        <v>500.73281321080162</v>
      </c>
      <c r="CG17" s="12">
        <v>3663.6241595763927</v>
      </c>
      <c r="CH17" s="12">
        <v>112.8272065032813</v>
      </c>
      <c r="CI17" s="12"/>
      <c r="CJ17" s="12"/>
      <c r="CK17" s="12"/>
      <c r="CL17" s="12"/>
      <c r="CM17" s="12"/>
      <c r="CN17" s="12"/>
      <c r="CO17" s="12"/>
      <c r="CP17" s="12"/>
      <c r="CQ17" s="12"/>
      <c r="CR17" s="12"/>
      <c r="CS17" s="12"/>
      <c r="CT17" s="12"/>
      <c r="CU17" s="12"/>
      <c r="CV17" s="12"/>
      <c r="CW17" s="12"/>
      <c r="CX17" s="12"/>
      <c r="CY17" s="12">
        <v>13.244588151602844</v>
      </c>
      <c r="CZ17" s="12">
        <v>14.132320983685357</v>
      </c>
      <c r="DA17" s="12">
        <v>489379754.66666669</v>
      </c>
      <c r="DB17" s="12"/>
      <c r="DC17" s="12">
        <v>22978531.595006935</v>
      </c>
      <c r="DD17" s="12"/>
      <c r="DE17" s="12"/>
      <c r="DF17" s="12">
        <v>26235334.479889043</v>
      </c>
      <c r="DG17" s="12"/>
      <c r="DH17" s="12">
        <v>770424445.69209433</v>
      </c>
      <c r="DI17" s="12">
        <v>117348332.11650485</v>
      </c>
      <c r="DJ17" s="12">
        <v>70475810.085991681</v>
      </c>
      <c r="DK17" s="12">
        <v>138119801.43134534</v>
      </c>
      <c r="DL17" s="12">
        <v>418719553.68654644</v>
      </c>
      <c r="DM17" s="12">
        <v>46661541.10402219</v>
      </c>
      <c r="DN17" s="12">
        <v>150527704.58807212</v>
      </c>
      <c r="DO17" s="12">
        <v>95159232.088765606</v>
      </c>
      <c r="DP17" s="12">
        <v>92829017.120665744</v>
      </c>
      <c r="DQ17" s="12">
        <v>110380837.2815534</v>
      </c>
      <c r="DR17" s="12">
        <v>20161750.457697641</v>
      </c>
      <c r="DS17" s="12"/>
      <c r="DT17" s="12"/>
      <c r="DU17" s="12"/>
      <c r="DV17" s="12"/>
      <c r="DW17" s="12"/>
      <c r="DX17" s="12"/>
      <c r="DY17" s="12"/>
      <c r="DZ17" s="12"/>
      <c r="EA17" s="12"/>
      <c r="EB17" s="12"/>
      <c r="EC17" s="12"/>
      <c r="ED17" s="12"/>
      <c r="EE17" s="12"/>
      <c r="EF17" s="12"/>
      <c r="EG17" s="12"/>
      <c r="EH17" s="12"/>
      <c r="EI17" s="12">
        <v>63963226.89597781</v>
      </c>
      <c r="EJ17" s="12">
        <v>25994244.26074896</v>
      </c>
      <c r="EK17" s="12">
        <v>8.4901691794116214</v>
      </c>
      <c r="EL17" s="12">
        <v>17.393525852432234</v>
      </c>
      <c r="EM17" s="12">
        <v>8.9012241411235014</v>
      </c>
      <c r="EN17" s="12"/>
      <c r="EO17" s="12"/>
      <c r="EP17" s="12"/>
    </row>
    <row r="18" spans="1:146" x14ac:dyDescent="0.25">
      <c r="A18" s="25" t="s">
        <v>45</v>
      </c>
      <c r="B18" s="25" t="s">
        <v>345</v>
      </c>
      <c r="C18" s="17"/>
      <c r="D18" s="17"/>
      <c r="E18" s="17" t="s">
        <v>196</v>
      </c>
      <c r="F18" s="50">
        <v>32</v>
      </c>
      <c r="G18" s="50">
        <v>512</v>
      </c>
      <c r="H18" s="32"/>
      <c r="I18" s="32" t="s">
        <v>242</v>
      </c>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2"/>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2"/>
      <c r="CX18" s="12"/>
      <c r="CY18" s="12"/>
      <c r="CZ18" s="12"/>
      <c r="DA18" s="12"/>
      <c r="DB18" s="12"/>
      <c r="DC18" s="12"/>
      <c r="DD18" s="12"/>
      <c r="DE18" s="12"/>
      <c r="DF18" s="12"/>
      <c r="DG18" s="12"/>
      <c r="DH18" s="12"/>
      <c r="DI18" s="12"/>
      <c r="DJ18" s="12"/>
      <c r="DK18" s="12"/>
      <c r="DL18" s="12"/>
      <c r="DM18" s="12"/>
      <c r="DN18" s="12"/>
      <c r="DO18" s="12"/>
      <c r="DP18" s="12"/>
      <c r="DQ18" s="12"/>
      <c r="DR18" s="12"/>
      <c r="DS18" s="12"/>
      <c r="DT18" s="12"/>
      <c r="DU18" s="12"/>
      <c r="DV18" s="12"/>
      <c r="DW18" s="12"/>
      <c r="DX18" s="12"/>
      <c r="DY18" s="12"/>
      <c r="DZ18" s="12"/>
      <c r="EA18" s="12"/>
      <c r="EB18" s="12"/>
      <c r="EC18" s="12"/>
      <c r="ED18" s="12"/>
      <c r="EE18" s="12"/>
      <c r="EF18" s="12"/>
      <c r="EG18" s="12"/>
      <c r="EH18" s="12"/>
      <c r="EI18" s="12"/>
      <c r="EJ18" s="12"/>
      <c r="EK18" s="12"/>
      <c r="EL18" s="12"/>
      <c r="EM18" s="12"/>
      <c r="EN18" s="12"/>
      <c r="EO18" s="12"/>
      <c r="EP18" s="12"/>
    </row>
    <row r="19" spans="1:146" x14ac:dyDescent="0.25">
      <c r="A19" s="52" t="s">
        <v>263</v>
      </c>
      <c r="B19" s="52" t="s">
        <v>264</v>
      </c>
      <c r="C19" s="55"/>
      <c r="D19" s="55"/>
      <c r="E19" s="55" t="s">
        <v>196</v>
      </c>
      <c r="F19" s="50">
        <v>32</v>
      </c>
      <c r="G19" s="50">
        <v>512</v>
      </c>
      <c r="H19" s="53"/>
      <c r="I19" s="53" t="s">
        <v>233</v>
      </c>
      <c r="J19" s="12">
        <v>8223.4757281553393</v>
      </c>
      <c r="K19" s="12">
        <v>6101.0324782743519</v>
      </c>
      <c r="L19" s="12">
        <v>95.826293272793194</v>
      </c>
      <c r="M19" s="12"/>
      <c r="N19" s="12"/>
      <c r="O19" s="12"/>
      <c r="P19" s="12"/>
      <c r="Q19" s="12">
        <v>13631.50718040611</v>
      </c>
      <c r="R19" s="12"/>
      <c r="S19" s="12"/>
      <c r="T19" s="12"/>
      <c r="U19" s="12"/>
      <c r="V19" s="12"/>
      <c r="W19" s="12"/>
      <c r="X19" s="12"/>
      <c r="Y19" s="12"/>
      <c r="Z19" s="12"/>
      <c r="AA19" s="12"/>
      <c r="AB19" s="12"/>
      <c r="AC19" s="12">
        <v>30417.750296558999</v>
      </c>
      <c r="AD19" s="12">
        <v>99.810280927916693</v>
      </c>
      <c r="AE19" s="12">
        <v>11759.869050902438</v>
      </c>
      <c r="AF19" s="12">
        <v>18090.264180367951</v>
      </c>
      <c r="AG19" s="12">
        <v>3.1980119990523526</v>
      </c>
      <c r="AH19" s="12"/>
      <c r="AI19" s="12">
        <v>2.509847815691026E-2</v>
      </c>
      <c r="AJ19" s="12">
        <v>0.18958135257926398</v>
      </c>
      <c r="AK19" s="12"/>
      <c r="AL19" s="12">
        <v>2.005370576643156</v>
      </c>
      <c r="AM19" s="12"/>
      <c r="AN19" s="12">
        <v>5.9006118067356104</v>
      </c>
      <c r="AO19" s="12">
        <v>1.6812329826075767</v>
      </c>
      <c r="AP19" s="12">
        <v>1.939159253376533E-2</v>
      </c>
      <c r="AQ19" s="12">
        <v>9.7148846366805777E-2</v>
      </c>
      <c r="AR19" s="12">
        <v>4.5842525229358131</v>
      </c>
      <c r="AS19" s="12">
        <v>3.9176804708208959E-2</v>
      </c>
      <c r="AT19" s="12">
        <v>0.52112257736831225</v>
      </c>
      <c r="AU19" s="12">
        <v>0.96824964332180197</v>
      </c>
      <c r="AV19" s="12"/>
      <c r="AW19" s="12">
        <v>0.31831825190339608</v>
      </c>
      <c r="AX19" s="12">
        <v>1.5914425423599856E-2</v>
      </c>
      <c r="AY19" s="12">
        <v>0.49087819482832784</v>
      </c>
      <c r="AZ19" s="12"/>
      <c r="BA19" s="12"/>
      <c r="BB19" s="12"/>
      <c r="BC19" s="12"/>
      <c r="BD19" s="12"/>
      <c r="BE19" s="12"/>
      <c r="BF19" s="12"/>
      <c r="BG19" s="12"/>
      <c r="BH19" s="12"/>
      <c r="BI19" s="12"/>
      <c r="BJ19" s="12"/>
      <c r="BK19" s="12"/>
      <c r="BL19" s="12"/>
      <c r="BM19" s="12"/>
      <c r="BN19" s="12"/>
      <c r="BO19" s="12">
        <v>7.1548299927803483E-2</v>
      </c>
      <c r="BP19" s="12">
        <v>0.36770476371831545</v>
      </c>
      <c r="BQ19" s="12">
        <v>7063.8460360923928</v>
      </c>
      <c r="BR19" s="12"/>
      <c r="BS19" s="12">
        <v>105.25402583225926</v>
      </c>
      <c r="BT19" s="12">
        <v>73828.380816435994</v>
      </c>
      <c r="BU19" s="12"/>
      <c r="BV19" s="12">
        <v>85.645651675862155</v>
      </c>
      <c r="BW19" s="12"/>
      <c r="BX19" s="12">
        <v>10906.9969528493</v>
      </c>
      <c r="BY19" s="12">
        <v>3903.8594185135325</v>
      </c>
      <c r="BZ19" s="12">
        <v>6.9025839020717878</v>
      </c>
      <c r="CA19" s="12">
        <v>799.77566858837804</v>
      </c>
      <c r="CB19" s="12">
        <v>230282.8799161879</v>
      </c>
      <c r="CC19" s="12">
        <v>282.74732896419425</v>
      </c>
      <c r="CD19" s="12">
        <v>48235.724170410518</v>
      </c>
      <c r="CE19" s="12">
        <v>4970.8127823564855</v>
      </c>
      <c r="CF19" s="12"/>
      <c r="CG19" s="12">
        <v>23.652973627893005</v>
      </c>
      <c r="CH19" s="12">
        <v>119.48320203084353</v>
      </c>
      <c r="CI19" s="12">
        <v>1166.8599165453247</v>
      </c>
      <c r="CJ19" s="12"/>
      <c r="CK19" s="12"/>
      <c r="CL19" s="12"/>
      <c r="CM19" s="12"/>
      <c r="CN19" s="12"/>
      <c r="CO19" s="12"/>
      <c r="CP19" s="12"/>
      <c r="CQ19" s="12"/>
      <c r="CR19" s="12"/>
      <c r="CS19" s="12"/>
      <c r="CT19" s="12"/>
      <c r="CU19" s="12"/>
      <c r="CV19" s="12"/>
      <c r="CW19" s="12"/>
      <c r="CX19" s="12"/>
      <c r="CY19" s="12">
        <v>13.24308801316859</v>
      </c>
      <c r="CZ19" s="12">
        <v>12.07966754924067</v>
      </c>
      <c r="DA19" s="12">
        <v>1084556178.6407766</v>
      </c>
      <c r="DB19" s="12"/>
      <c r="DC19" s="12">
        <v>23702750.979195561</v>
      </c>
      <c r="DD19" s="12">
        <v>697221335.87794733</v>
      </c>
      <c r="DE19" s="12"/>
      <c r="DF19" s="12">
        <v>41770025.187239945</v>
      </c>
      <c r="DG19" s="12"/>
      <c r="DH19" s="12">
        <v>1305855519.9556172</v>
      </c>
      <c r="DI19" s="12">
        <v>178292540.00554785</v>
      </c>
      <c r="DJ19" s="12">
        <v>77185006.95700416</v>
      </c>
      <c r="DK19" s="12">
        <v>226322855.23439667</v>
      </c>
      <c r="DL19" s="12">
        <v>375184731.96116507</v>
      </c>
      <c r="DM19" s="12">
        <v>50116162.041608877</v>
      </c>
      <c r="DN19" s="12">
        <v>214110105.74202496</v>
      </c>
      <c r="DO19" s="12">
        <v>109869786.00832178</v>
      </c>
      <c r="DP19" s="12"/>
      <c r="DQ19" s="12">
        <v>114539487.33425798</v>
      </c>
      <c r="DR19" s="12">
        <v>22024396.515950069</v>
      </c>
      <c r="DS19" s="12">
        <v>878406185.89736474</v>
      </c>
      <c r="DT19" s="12"/>
      <c r="DU19" s="12"/>
      <c r="DV19" s="12"/>
      <c r="DW19" s="12"/>
      <c r="DX19" s="12"/>
      <c r="DY19" s="12"/>
      <c r="DZ19" s="12"/>
      <c r="EA19" s="12"/>
      <c r="EB19" s="12"/>
      <c r="EC19" s="12"/>
      <c r="ED19" s="12"/>
      <c r="EE19" s="12"/>
      <c r="EF19" s="12"/>
      <c r="EG19" s="12"/>
      <c r="EH19" s="12"/>
      <c r="EI19" s="12">
        <v>129353747.88349515</v>
      </c>
      <c r="EJ19" s="12">
        <v>27338368.532593619</v>
      </c>
      <c r="EK19" s="12">
        <v>5.8413769976352077</v>
      </c>
      <c r="EL19" s="12">
        <v>11.745458111891068</v>
      </c>
      <c r="EM19" s="12">
        <v>5.9025992113840209</v>
      </c>
      <c r="EN19" s="12"/>
      <c r="EO19" s="12"/>
      <c r="EP19" s="12"/>
    </row>
    <row r="20" spans="1:146" x14ac:dyDescent="0.25">
      <c r="A20" s="62" t="s">
        <v>265</v>
      </c>
      <c r="B20" s="52" t="s">
        <v>266</v>
      </c>
      <c r="C20" s="55"/>
      <c r="D20" s="55"/>
      <c r="E20" s="55" t="s">
        <v>31</v>
      </c>
      <c r="F20" s="37">
        <v>16</v>
      </c>
      <c r="G20" s="37">
        <v>256</v>
      </c>
      <c r="H20" s="53"/>
      <c r="I20" s="53" t="s">
        <v>233</v>
      </c>
      <c r="J20" s="12">
        <v>7794.484049930652</v>
      </c>
      <c r="K20" s="12">
        <v>1770.5534161265844</v>
      </c>
      <c r="L20" s="12">
        <v>33.704458831187758</v>
      </c>
      <c r="M20" s="12"/>
      <c r="N20" s="12"/>
      <c r="O20" s="12"/>
      <c r="P20" s="12">
        <v>2.3814803115429921</v>
      </c>
      <c r="Q20" s="12"/>
      <c r="R20" s="12"/>
      <c r="S20" s="12"/>
      <c r="T20" s="12">
        <v>12689.589423873096</v>
      </c>
      <c r="U20" s="12"/>
      <c r="V20" s="12"/>
      <c r="W20" s="12"/>
      <c r="X20" s="12"/>
      <c r="Y20" s="12"/>
      <c r="Z20" s="12"/>
      <c r="AA20" s="12"/>
      <c r="AB20" s="12"/>
      <c r="AC20" s="12"/>
      <c r="AD20" s="12">
        <v>99.581783013176235</v>
      </c>
      <c r="AE20" s="12">
        <v>17957.281890739934</v>
      </c>
      <c r="AF20" s="12">
        <v>12312.231573479925</v>
      </c>
      <c r="AG20" s="12" t="s">
        <v>225</v>
      </c>
      <c r="AH20" s="12" t="s">
        <v>225</v>
      </c>
      <c r="AI20" s="12">
        <v>5.9388758292014926E-2</v>
      </c>
      <c r="AJ20" s="12" t="s">
        <v>225</v>
      </c>
      <c r="AK20" s="12" t="s">
        <v>225</v>
      </c>
      <c r="AL20" s="12">
        <v>7.4797605248105192E-2</v>
      </c>
      <c r="AM20" s="12" t="s">
        <v>225</v>
      </c>
      <c r="AN20" s="12" t="s">
        <v>225</v>
      </c>
      <c r="AO20" s="12">
        <v>3.5450135339049824E-2</v>
      </c>
      <c r="AP20" s="12">
        <v>8.3769729855772621E-2</v>
      </c>
      <c r="AQ20" s="12">
        <v>0.27691368049496834</v>
      </c>
      <c r="AR20" s="12">
        <v>2.5047228134741024</v>
      </c>
      <c r="AS20" s="12">
        <v>6.0408198747037359E-2</v>
      </c>
      <c r="AT20" s="12">
        <v>0.12927497136337299</v>
      </c>
      <c r="AU20" s="12" t="s">
        <v>225</v>
      </c>
      <c r="AV20" s="12" t="s">
        <v>225</v>
      </c>
      <c r="AW20" s="12" t="s">
        <v>225</v>
      </c>
      <c r="AX20" s="12">
        <v>1.9097303007140496E-2</v>
      </c>
      <c r="AY20" s="12" t="s">
        <v>225</v>
      </c>
      <c r="AZ20" s="12" t="s">
        <v>225</v>
      </c>
      <c r="BA20" s="12" t="s">
        <v>225</v>
      </c>
      <c r="BB20" s="12" t="s">
        <v>225</v>
      </c>
      <c r="BC20" s="12" t="s">
        <v>225</v>
      </c>
      <c r="BD20" s="12" t="s">
        <v>225</v>
      </c>
      <c r="BE20" s="12" t="s">
        <v>225</v>
      </c>
      <c r="BF20" s="12" t="s">
        <v>225</v>
      </c>
      <c r="BG20" s="12" t="s">
        <v>225</v>
      </c>
      <c r="BH20" s="12" t="s">
        <v>225</v>
      </c>
      <c r="BI20" s="12" t="s">
        <v>225</v>
      </c>
      <c r="BJ20" s="12" t="s">
        <v>225</v>
      </c>
      <c r="BK20" s="12" t="s">
        <v>225</v>
      </c>
      <c r="BL20" s="12" t="s">
        <v>225</v>
      </c>
      <c r="BM20" s="12" t="s">
        <v>225</v>
      </c>
      <c r="BN20" s="12" t="s">
        <v>225</v>
      </c>
      <c r="BO20" s="12" t="s">
        <v>225</v>
      </c>
      <c r="BP20" s="12">
        <v>0.18308825968690717</v>
      </c>
      <c r="BQ20" s="12" t="s">
        <v>225</v>
      </c>
      <c r="BR20" s="12" t="s">
        <v>225</v>
      </c>
      <c r="BS20" s="12">
        <v>102.35241427441775</v>
      </c>
      <c r="BT20" s="12" t="s">
        <v>225</v>
      </c>
      <c r="BU20" s="12" t="s">
        <v>225</v>
      </c>
      <c r="BV20" s="12">
        <v>0.20976301075878737</v>
      </c>
      <c r="BW20" s="12" t="s">
        <v>225</v>
      </c>
      <c r="BX20" s="12" t="s">
        <v>225</v>
      </c>
      <c r="BY20" s="12">
        <v>586.27751107061408</v>
      </c>
      <c r="BZ20" s="12">
        <v>0</v>
      </c>
      <c r="CA20" s="12">
        <v>0.83923303304959851</v>
      </c>
      <c r="CB20" s="12">
        <v>190461.45113290276</v>
      </c>
      <c r="CC20" s="12">
        <v>108.78805547679171</v>
      </c>
      <c r="CD20" s="12">
        <v>20313.600277869336</v>
      </c>
      <c r="CE20" s="12" t="s">
        <v>225</v>
      </c>
      <c r="CF20" s="12" t="s">
        <v>225</v>
      </c>
      <c r="CG20" s="12" t="s">
        <v>225</v>
      </c>
      <c r="CH20" s="12">
        <v>119.22853034171791</v>
      </c>
      <c r="CI20" s="12" t="s">
        <v>225</v>
      </c>
      <c r="CJ20" s="12" t="s">
        <v>225</v>
      </c>
      <c r="CK20" s="12" t="s">
        <v>225</v>
      </c>
      <c r="CL20" s="12" t="s">
        <v>225</v>
      </c>
      <c r="CM20" s="12" t="s">
        <v>225</v>
      </c>
      <c r="CN20" s="12" t="s">
        <v>225</v>
      </c>
      <c r="CO20" s="12" t="s">
        <v>225</v>
      </c>
      <c r="CP20" s="12" t="s">
        <v>225</v>
      </c>
      <c r="CQ20" s="12" t="s">
        <v>225</v>
      </c>
      <c r="CR20" s="12" t="s">
        <v>225</v>
      </c>
      <c r="CS20" s="12" t="s">
        <v>225</v>
      </c>
      <c r="CT20" s="12" t="s">
        <v>225</v>
      </c>
      <c r="CU20" s="12" t="s">
        <v>225</v>
      </c>
      <c r="CV20" s="12" t="s">
        <v>225</v>
      </c>
      <c r="CW20" s="12" t="s">
        <v>225</v>
      </c>
      <c r="CX20" s="12" t="s">
        <v>225</v>
      </c>
      <c r="CY20" s="12" t="s">
        <v>225</v>
      </c>
      <c r="CZ20" s="12">
        <v>1.1614831755692925</v>
      </c>
      <c r="DA20" s="12" t="s">
        <v>225</v>
      </c>
      <c r="DB20" s="12" t="s">
        <v>225</v>
      </c>
      <c r="DC20" s="12">
        <v>24711713.375866853</v>
      </c>
      <c r="DD20" s="12" t="s">
        <v>225</v>
      </c>
      <c r="DE20" s="12" t="s">
        <v>225</v>
      </c>
      <c r="DF20" s="12">
        <v>13591380.149791956</v>
      </c>
      <c r="DG20" s="12" t="s">
        <v>225</v>
      </c>
      <c r="DH20" s="12" t="s">
        <v>225</v>
      </c>
      <c r="DI20" s="12">
        <v>197264126.93481275</v>
      </c>
      <c r="DJ20" s="12">
        <v>54821574.124826632</v>
      </c>
      <c r="DK20" s="12">
        <v>132969396.72676837</v>
      </c>
      <c r="DL20" s="12">
        <v>364471050.29680997</v>
      </c>
      <c r="DM20" s="12">
        <v>43529924.704576977</v>
      </c>
      <c r="DN20" s="12">
        <v>88140074.252427191</v>
      </c>
      <c r="DO20" s="12" t="s">
        <v>225</v>
      </c>
      <c r="DP20" s="12" t="s">
        <v>225</v>
      </c>
      <c r="DQ20" s="12" t="s">
        <v>225</v>
      </c>
      <c r="DR20" s="12">
        <v>22483256.454923715</v>
      </c>
      <c r="DS20" s="12" t="s">
        <v>225</v>
      </c>
      <c r="DT20" s="12" t="s">
        <v>225</v>
      </c>
      <c r="DU20" s="12" t="s">
        <v>225</v>
      </c>
      <c r="DV20" s="12" t="s">
        <v>225</v>
      </c>
      <c r="DW20" s="12" t="s">
        <v>225</v>
      </c>
      <c r="DX20" s="12" t="s">
        <v>225</v>
      </c>
      <c r="DY20" s="12" t="s">
        <v>225</v>
      </c>
      <c r="DZ20" s="12" t="s">
        <v>225</v>
      </c>
      <c r="EA20" s="12" t="s">
        <v>225</v>
      </c>
      <c r="EB20" s="12" t="s">
        <v>225</v>
      </c>
      <c r="EC20" s="12" t="s">
        <v>225</v>
      </c>
      <c r="ED20" s="12" t="s">
        <v>225</v>
      </c>
      <c r="EE20" s="12" t="s">
        <v>225</v>
      </c>
      <c r="EF20" s="12" t="s">
        <v>225</v>
      </c>
      <c r="EG20" s="12" t="s">
        <v>225</v>
      </c>
      <c r="EH20" s="12" t="s">
        <v>225</v>
      </c>
      <c r="EI20" s="12" t="s">
        <v>225</v>
      </c>
      <c r="EJ20" s="12">
        <v>25173169.531206656</v>
      </c>
      <c r="EK20" s="12">
        <v>1.7978737155835312</v>
      </c>
      <c r="EL20" s="12">
        <v>3.1268076241171445</v>
      </c>
      <c r="EM20" s="12">
        <v>1.3291923546123854</v>
      </c>
      <c r="EN20" s="12" t="s">
        <v>225</v>
      </c>
      <c r="EO20" s="12" t="s">
        <v>225</v>
      </c>
      <c r="EP20" s="12"/>
    </row>
    <row r="21" spans="1:146" x14ac:dyDescent="0.25">
      <c r="A21" s="62" t="s">
        <v>267</v>
      </c>
      <c r="B21" s="52" t="s">
        <v>268</v>
      </c>
      <c r="C21" s="55"/>
      <c r="D21" s="55"/>
      <c r="E21" s="55" t="s">
        <v>31</v>
      </c>
      <c r="F21" s="37">
        <v>16</v>
      </c>
      <c r="G21" s="37">
        <v>256</v>
      </c>
      <c r="H21" s="53"/>
      <c r="I21" s="53" t="s">
        <v>233</v>
      </c>
      <c r="J21" s="12">
        <v>3280.0214723926379</v>
      </c>
      <c r="K21" s="12">
        <v>10011.08018355373</v>
      </c>
      <c r="L21" s="12">
        <v>428.39440763558594</v>
      </c>
      <c r="M21" s="12"/>
      <c r="N21" s="12"/>
      <c r="O21" s="12"/>
      <c r="P21" s="12">
        <v>4.8550720489427563</v>
      </c>
      <c r="Q21" s="12">
        <v>259.88538338375338</v>
      </c>
      <c r="R21" s="12"/>
      <c r="S21" s="12"/>
      <c r="T21" s="12">
        <v>127394.85397701286</v>
      </c>
      <c r="U21" s="12"/>
      <c r="V21" s="12"/>
      <c r="W21" s="12"/>
      <c r="X21" s="12"/>
      <c r="Y21" s="12"/>
      <c r="Z21" s="12">
        <v>1344.3430945606024</v>
      </c>
      <c r="AA21" s="12"/>
      <c r="AB21" s="12"/>
      <c r="AC21" s="12"/>
      <c r="AD21" s="12">
        <v>97.534506129799098</v>
      </c>
      <c r="AE21" s="12">
        <v>34699.181061445008</v>
      </c>
      <c r="AF21" s="12">
        <v>17372.237191623582</v>
      </c>
      <c r="AG21" s="12">
        <v>1.743119096788966</v>
      </c>
      <c r="AH21" s="12"/>
      <c r="AI21" s="12">
        <v>5.7855087849569893E-2</v>
      </c>
      <c r="AJ21" s="12"/>
      <c r="AK21" s="12"/>
      <c r="AL21" s="12">
        <v>8.0537250403849694E-2</v>
      </c>
      <c r="AM21" s="12">
        <v>2.7385062728372356</v>
      </c>
      <c r="AN21" s="12">
        <v>1.358507500040709</v>
      </c>
      <c r="AO21" s="12">
        <v>2.9567607949857973E-2</v>
      </c>
      <c r="AP21" s="12">
        <v>9.8463576980760303E-2</v>
      </c>
      <c r="AQ21" s="12">
        <v>0.87827089518010881</v>
      </c>
      <c r="AR21" s="12">
        <v>5.3301938651756355</v>
      </c>
      <c r="AS21" s="12">
        <v>0.12235916371845974</v>
      </c>
      <c r="AT21" s="12">
        <v>16.014565763779139</v>
      </c>
      <c r="AU21" s="12">
        <v>0.20039036342755329</v>
      </c>
      <c r="AV21" s="12">
        <v>1.1904602443221833E-2</v>
      </c>
      <c r="AW21" s="12">
        <v>0.64942247982911239</v>
      </c>
      <c r="AX21" s="12">
        <v>3.9590822889584661E-2</v>
      </c>
      <c r="AY21" s="12"/>
      <c r="AZ21" s="12"/>
      <c r="BA21" s="12"/>
      <c r="BB21" s="12"/>
      <c r="BC21" s="12"/>
      <c r="BD21" s="12"/>
      <c r="BE21" s="12"/>
      <c r="BF21" s="12"/>
      <c r="BG21" s="12"/>
      <c r="BH21" s="12"/>
      <c r="BI21" s="12"/>
      <c r="BJ21" s="12"/>
      <c r="BK21" s="12">
        <v>1.8646751672796056E-3</v>
      </c>
      <c r="BL21" s="12"/>
      <c r="BM21" s="12"/>
      <c r="BN21" s="12"/>
      <c r="BO21" s="12">
        <v>5.8845631930448949E-2</v>
      </c>
      <c r="BP21" s="12">
        <v>0.23723680793268465</v>
      </c>
      <c r="BQ21" s="12">
        <v>204.35182182304928</v>
      </c>
      <c r="BR21" s="12"/>
      <c r="BS21" s="12">
        <v>103.67489123561782</v>
      </c>
      <c r="BT21" s="12"/>
      <c r="BU21" s="12"/>
      <c r="BV21" s="12">
        <v>17.491779343238619</v>
      </c>
      <c r="BW21" s="12">
        <v>71.648583389366451</v>
      </c>
      <c r="BX21" s="12">
        <v>20001.773914513007</v>
      </c>
      <c r="BY21" s="12">
        <v>130.05687615961651</v>
      </c>
      <c r="BZ21" s="12">
        <v>8.1573452819497465</v>
      </c>
      <c r="CA21" s="12">
        <v>44.587087839457674</v>
      </c>
      <c r="CB21" s="12">
        <v>145534.81094517198</v>
      </c>
      <c r="CC21" s="12">
        <v>1324.1694830761512</v>
      </c>
      <c r="CD21" s="12">
        <v>1201368.8628504709</v>
      </c>
      <c r="CE21" s="12">
        <v>5883.6676258915522</v>
      </c>
      <c r="CF21" s="12">
        <v>4.2110349359026751</v>
      </c>
      <c r="CG21" s="12">
        <v>24.675838593584352</v>
      </c>
      <c r="CH21" s="12">
        <v>123.79727159051757</v>
      </c>
      <c r="CI21" s="12"/>
      <c r="CJ21" s="12"/>
      <c r="CK21" s="12"/>
      <c r="CL21" s="12"/>
      <c r="CM21" s="12"/>
      <c r="CN21" s="12"/>
      <c r="CO21" s="12"/>
      <c r="CP21" s="12"/>
      <c r="CQ21" s="12"/>
      <c r="CR21" s="12"/>
      <c r="CS21" s="12"/>
      <c r="CT21" s="12"/>
      <c r="CU21" s="12">
        <v>0.28838864017736426</v>
      </c>
      <c r="CV21" s="12"/>
      <c r="CW21" s="12"/>
      <c r="CX21" s="12"/>
      <c r="CY21" s="12">
        <v>13.285004532588022</v>
      </c>
      <c r="CZ21" s="12">
        <v>9.2204121029220012</v>
      </c>
      <c r="DA21" s="12">
        <v>195200320.39263803</v>
      </c>
      <c r="DB21" s="12"/>
      <c r="DC21" s="12">
        <v>24126093.34969325</v>
      </c>
      <c r="DD21" s="12"/>
      <c r="DE21" s="12"/>
      <c r="DF21" s="12">
        <v>69710841.717791408</v>
      </c>
      <c r="DG21" s="12">
        <v>166511433.81595093</v>
      </c>
      <c r="DH21" s="12">
        <v>763034542.33128834</v>
      </c>
      <c r="DI21" s="12">
        <v>158906330.30674848</v>
      </c>
      <c r="DJ21" s="12">
        <v>65977174.380368099</v>
      </c>
      <c r="DK21" s="12">
        <v>196493387.38650307</v>
      </c>
      <c r="DL21" s="12">
        <v>373276106.60122699</v>
      </c>
      <c r="DM21" s="12">
        <v>50754239.607361965</v>
      </c>
      <c r="DN21" s="12">
        <v>519651302.87116563</v>
      </c>
      <c r="DO21" s="12">
        <v>93155126.969325155</v>
      </c>
      <c r="DP21" s="12">
        <v>93360492.368098155</v>
      </c>
      <c r="DQ21" s="12">
        <v>112203989.59509203</v>
      </c>
      <c r="DR21" s="12">
        <v>23282279.656441718</v>
      </c>
      <c r="DS21" s="12"/>
      <c r="DT21" s="12"/>
      <c r="DU21" s="12"/>
      <c r="DV21" s="12"/>
      <c r="DW21" s="12"/>
      <c r="DX21" s="12"/>
      <c r="DY21" s="12"/>
      <c r="DZ21" s="12"/>
      <c r="EA21" s="12"/>
      <c r="EB21" s="12"/>
      <c r="EC21" s="12"/>
      <c r="ED21" s="12"/>
      <c r="EE21" s="12">
        <v>9567401.6196319014</v>
      </c>
      <c r="EF21" s="12"/>
      <c r="EG21" s="12"/>
      <c r="EH21" s="12"/>
      <c r="EI21" s="12">
        <v>67330676.220858902</v>
      </c>
      <c r="EJ21" s="12">
        <v>26869810.257668711</v>
      </c>
      <c r="EK21" s="12">
        <v>8.4471846723917441</v>
      </c>
      <c r="EL21" s="12">
        <v>19.123119250228886</v>
      </c>
      <c r="EM21" s="12">
        <v>10.678612678918881</v>
      </c>
      <c r="EN21" s="12"/>
      <c r="EO21" s="12"/>
      <c r="EP21" s="12"/>
    </row>
    <row r="22" spans="1:146" x14ac:dyDescent="0.25">
      <c r="A22" s="62" t="s">
        <v>269</v>
      </c>
      <c r="B22" s="52" t="s">
        <v>270</v>
      </c>
      <c r="C22" s="55"/>
      <c r="D22" s="55"/>
      <c r="E22" s="55" t="s">
        <v>31</v>
      </c>
      <c r="F22" s="37">
        <v>16</v>
      </c>
      <c r="G22" s="37">
        <v>256</v>
      </c>
      <c r="H22" s="53"/>
      <c r="I22" s="53" t="s">
        <v>233</v>
      </c>
      <c r="J22" s="12">
        <v>2258.4174757281553</v>
      </c>
      <c r="K22" s="12">
        <v>10361.740556990006</v>
      </c>
      <c r="L22" s="12">
        <v>614.52729209764232</v>
      </c>
      <c r="M22" s="12"/>
      <c r="N22" s="12"/>
      <c r="O22" s="12"/>
      <c r="P22" s="12"/>
      <c r="Q22" s="12">
        <v>89999.77070436145</v>
      </c>
      <c r="R22" s="12"/>
      <c r="S22" s="12"/>
      <c r="T22" s="12"/>
      <c r="U22" s="12"/>
      <c r="V22" s="12"/>
      <c r="W22" s="12"/>
      <c r="X22" s="12"/>
      <c r="Y22" s="12"/>
      <c r="Z22" s="12">
        <v>104553.95487209555</v>
      </c>
      <c r="AA22" s="12"/>
      <c r="AB22" s="12"/>
      <c r="AC22" s="12"/>
      <c r="AD22" s="12">
        <v>96.782570299987526</v>
      </c>
      <c r="AE22" s="12">
        <v>52862.838681421927</v>
      </c>
      <c r="AF22" s="12">
        <v>29151.677966057861</v>
      </c>
      <c r="AG22" s="12"/>
      <c r="AH22" s="12"/>
      <c r="AI22" s="12">
        <v>5.721810351623198E-2</v>
      </c>
      <c r="AJ22" s="12"/>
      <c r="AK22" s="12"/>
      <c r="AL22" s="12">
        <v>1.1123167681586985</v>
      </c>
      <c r="AM22" s="12"/>
      <c r="AN22" s="12">
        <v>17.682859410375588</v>
      </c>
      <c r="AO22" s="12">
        <v>1.1262159377157048</v>
      </c>
      <c r="AP22" s="12">
        <v>0.15650653691354352</v>
      </c>
      <c r="AQ22" s="12">
        <v>0.71107994059710244</v>
      </c>
      <c r="AR22" s="12">
        <v>10.106970097209528</v>
      </c>
      <c r="AS22" s="12">
        <v>4.3388844689844386E-2</v>
      </c>
      <c r="AT22" s="12">
        <v>2.8853392728917586</v>
      </c>
      <c r="AU22" s="12">
        <v>0.28688977521116726</v>
      </c>
      <c r="AV22" s="12"/>
      <c r="AW22" s="12">
        <v>0.37720145088149676</v>
      </c>
      <c r="AX22" s="12">
        <v>5.5977707184985528E-2</v>
      </c>
      <c r="AY22" s="12"/>
      <c r="AZ22" s="12">
        <v>1.6329678193192896E-2</v>
      </c>
      <c r="BA22" s="12">
        <v>6.414074460162103E-2</v>
      </c>
      <c r="BB22" s="12">
        <v>1.7762509667511621</v>
      </c>
      <c r="BC22" s="12">
        <v>0.17606938180741546</v>
      </c>
      <c r="BD22" s="12"/>
      <c r="BE22" s="12">
        <v>2.4455374263268386</v>
      </c>
      <c r="BF22" s="12">
        <v>0</v>
      </c>
      <c r="BG22" s="12">
        <v>0</v>
      </c>
      <c r="BH22" s="12">
        <v>9.0419893278659222E-3</v>
      </c>
      <c r="BI22" s="12">
        <v>2.1690397785920136E-4</v>
      </c>
      <c r="BJ22" s="12">
        <v>8.8108396186314095E-2</v>
      </c>
      <c r="BK22" s="12">
        <v>1.7202163378205852E-3</v>
      </c>
      <c r="BL22" s="12"/>
      <c r="BM22" s="12"/>
      <c r="BN22" s="12">
        <v>21.062478450775298</v>
      </c>
      <c r="BO22" s="12">
        <v>6.3105949780219633E-2</v>
      </c>
      <c r="BP22" s="12">
        <v>0.37204618863121114</v>
      </c>
      <c r="BQ22" s="12"/>
      <c r="BR22" s="12"/>
      <c r="BS22" s="12">
        <v>96.535843766149384</v>
      </c>
      <c r="BT22" s="12"/>
      <c r="BU22" s="12"/>
      <c r="BV22" s="12">
        <v>224.78822070483753</v>
      </c>
      <c r="BW22" s="12"/>
      <c r="BX22" s="12">
        <v>18875.800090472974</v>
      </c>
      <c r="BY22" s="12">
        <v>1991.1124925243967</v>
      </c>
      <c r="BZ22" s="12">
        <v>2475.7044202016154</v>
      </c>
      <c r="CA22" s="12">
        <v>3233.0209716895542</v>
      </c>
      <c r="CB22" s="12">
        <v>338113.55214257835</v>
      </c>
      <c r="CC22" s="12">
        <v>118.23048869393905</v>
      </c>
      <c r="CD22" s="12">
        <v>198954.19608989652</v>
      </c>
      <c r="CE22" s="12">
        <v>5729.793468676974</v>
      </c>
      <c r="CF22" s="12"/>
      <c r="CG22" s="12">
        <v>26.674169465534906</v>
      </c>
      <c r="CH22" s="12">
        <v>120.25550792453117</v>
      </c>
      <c r="CI22" s="12"/>
      <c r="CJ22" s="12">
        <v>309.52149713999876</v>
      </c>
      <c r="CK22" s="12">
        <v>507.8901197385149</v>
      </c>
      <c r="CL22" s="12">
        <v>1213600.9987130305</v>
      </c>
      <c r="CM22" s="12">
        <v>877.01291860247352</v>
      </c>
      <c r="CN22" s="12"/>
      <c r="CO22" s="12">
        <v>202413.24120824033</v>
      </c>
      <c r="CP22" s="12">
        <v>0</v>
      </c>
      <c r="CQ22" s="12">
        <v>0</v>
      </c>
      <c r="CR22" s="12">
        <v>18.751199418080848</v>
      </c>
      <c r="CS22" s="12">
        <v>0.25982568412479168</v>
      </c>
      <c r="CT22" s="12">
        <v>3635.5819271072874</v>
      </c>
      <c r="CU22" s="12">
        <v>4.8154500305884342E-2</v>
      </c>
      <c r="CV22" s="12"/>
      <c r="CW22" s="12"/>
      <c r="CX22" s="12">
        <v>5225040.0797845796</v>
      </c>
      <c r="CY22" s="12">
        <v>13.189420800273979</v>
      </c>
      <c r="CZ22" s="12">
        <v>540.77954529697354</v>
      </c>
      <c r="DA22" s="12"/>
      <c r="DB22" s="12"/>
      <c r="DC22" s="12">
        <v>22767880.166435506</v>
      </c>
      <c r="DD22" s="12"/>
      <c r="DE22" s="12">
        <v>123719680</v>
      </c>
      <c r="DF22" s="12">
        <v>54957554.507628292</v>
      </c>
      <c r="DG22" s="12"/>
      <c r="DH22" s="12">
        <v>1014436483.4803625</v>
      </c>
      <c r="DI22" s="12">
        <v>140241790.75728154</v>
      </c>
      <c r="DJ22" s="12">
        <v>94973395.262135923</v>
      </c>
      <c r="DK22" s="12">
        <v>171994948.52704576</v>
      </c>
      <c r="DL22" s="12">
        <v>387373490.59639388</v>
      </c>
      <c r="DM22" s="12">
        <v>45553632.754507631</v>
      </c>
      <c r="DN22" s="12">
        <v>306249387.14008319</v>
      </c>
      <c r="DO22" s="12">
        <v>88773279.672035143</v>
      </c>
      <c r="DP22" s="12"/>
      <c r="DQ22" s="12">
        <v>114205291.22884881</v>
      </c>
      <c r="DR22" s="12">
        <v>22172113.841886271</v>
      </c>
      <c r="DS22" s="12"/>
      <c r="DT22" s="12">
        <v>331645018.8959778</v>
      </c>
      <c r="DU22" s="12">
        <v>14252142.779472955</v>
      </c>
      <c r="DV22" s="12">
        <v>177538114.75173369</v>
      </c>
      <c r="DW22" s="12">
        <v>44477867.495145634</v>
      </c>
      <c r="DX22" s="12"/>
      <c r="DY22" s="12">
        <v>165892987.91678226</v>
      </c>
      <c r="DZ22" s="12">
        <v>615499.90489510493</v>
      </c>
      <c r="EA22" s="12">
        <v>651719.11111111112</v>
      </c>
      <c r="EB22" s="12">
        <v>2990080</v>
      </c>
      <c r="EC22" s="12">
        <v>39804990.490984745</v>
      </c>
      <c r="ED22" s="12">
        <v>7120614.7905686544</v>
      </c>
      <c r="EE22" s="12">
        <v>9531511.3009708729</v>
      </c>
      <c r="EF22" s="12"/>
      <c r="EG22" s="12">
        <v>22405120</v>
      </c>
      <c r="EH22" s="12">
        <v>54099968</v>
      </c>
      <c r="EI22" s="12">
        <v>70445144.055478498</v>
      </c>
      <c r="EJ22" s="12">
        <v>28584796.671289876</v>
      </c>
      <c r="EK22" s="12">
        <v>14.603380735046469</v>
      </c>
      <c r="EL22" s="12">
        <v>28.687663509524288</v>
      </c>
      <c r="EM22" s="12">
        <v>13.932860456875476</v>
      </c>
      <c r="EN22" s="12"/>
      <c r="EO22" s="12"/>
      <c r="EP22" s="12"/>
    </row>
    <row r="23" spans="1:146" x14ac:dyDescent="0.25">
      <c r="A23" s="52" t="s">
        <v>271</v>
      </c>
      <c r="B23" s="52" t="s">
        <v>272</v>
      </c>
      <c r="C23" s="55"/>
      <c r="D23" s="55"/>
      <c r="E23" s="55" t="s">
        <v>31</v>
      </c>
      <c r="F23" s="37">
        <v>16</v>
      </c>
      <c r="G23" s="37">
        <v>256</v>
      </c>
      <c r="H23" s="52"/>
      <c r="I23" s="53" t="s">
        <v>233</v>
      </c>
      <c r="J23" s="12">
        <v>2465.9042995839113</v>
      </c>
      <c r="K23" s="12">
        <v>3079.0450909439655</v>
      </c>
      <c r="L23" s="12">
        <v>87.976199339240409</v>
      </c>
      <c r="M23" s="12"/>
      <c r="N23" s="12"/>
      <c r="O23" s="12"/>
      <c r="P23" s="12">
        <v>4.0240437488714607E-2</v>
      </c>
      <c r="Q23" s="12">
        <v>3659.1296977077327</v>
      </c>
      <c r="R23" s="12"/>
      <c r="S23" s="12"/>
      <c r="T23" s="12">
        <v>6754.6174966758599</v>
      </c>
      <c r="U23" s="12"/>
      <c r="V23" s="12"/>
      <c r="W23" s="12"/>
      <c r="X23" s="12"/>
      <c r="Y23" s="12"/>
      <c r="Z23" s="12"/>
      <c r="AA23" s="12"/>
      <c r="AB23" s="12"/>
      <c r="AC23" s="12"/>
      <c r="AD23" s="12">
        <v>99.476719289063439</v>
      </c>
      <c r="AE23" s="12">
        <v>29430.900813271823</v>
      </c>
      <c r="AF23" s="12">
        <v>9420.3759003567575</v>
      </c>
      <c r="AG23" s="12"/>
      <c r="AH23" s="12"/>
      <c r="AI23" s="12">
        <v>6.4018634562361662E-2</v>
      </c>
      <c r="AJ23" s="12"/>
      <c r="AK23" s="12"/>
      <c r="AL23" s="12">
        <v>0.78232509289389496</v>
      </c>
      <c r="AM23" s="12"/>
      <c r="AN23" s="12">
        <v>9.1200994390123871</v>
      </c>
      <c r="AO23" s="12">
        <v>2.4811572366367329E-2</v>
      </c>
      <c r="AP23" s="12">
        <v>8.3260462098228627E-2</v>
      </c>
      <c r="AQ23" s="12">
        <v>0.37290374970117579</v>
      </c>
      <c r="AR23" s="12">
        <v>4.8173974800184816</v>
      </c>
      <c r="AS23" s="12">
        <v>6.3218807490381765E-2</v>
      </c>
      <c r="AT23" s="12">
        <v>0.14061984627580876</v>
      </c>
      <c r="AU23" s="12">
        <v>3.262445278555353E-2</v>
      </c>
      <c r="AV23" s="12"/>
      <c r="AW23" s="12">
        <v>0.23675495594538482</v>
      </c>
      <c r="AX23" s="12"/>
      <c r="AY23" s="12"/>
      <c r="AZ23" s="12">
        <v>9.1866155671641581E-3</v>
      </c>
      <c r="BA23" s="12">
        <v>7.7617674820510713E-2</v>
      </c>
      <c r="BB23" s="12">
        <v>0.38968310200342487</v>
      </c>
      <c r="BC23" s="12">
        <v>0.19718969567216682</v>
      </c>
      <c r="BD23" s="12"/>
      <c r="BE23" s="12"/>
      <c r="BF23" s="12">
        <v>0</v>
      </c>
      <c r="BG23" s="12">
        <v>0</v>
      </c>
      <c r="BH23" s="12">
        <v>1.2658354101199368E-2</v>
      </c>
      <c r="BI23" s="12">
        <v>0</v>
      </c>
      <c r="BJ23" s="12">
        <v>0.10850514378878129</v>
      </c>
      <c r="BK23" s="12">
        <v>7.2336690319457921E-5</v>
      </c>
      <c r="BL23" s="12"/>
      <c r="BM23" s="12"/>
      <c r="BN23" s="12"/>
      <c r="BO23" s="12">
        <v>6.9804719313406538E-2</v>
      </c>
      <c r="BP23" s="12">
        <v>0.48711971928314196</v>
      </c>
      <c r="BQ23" s="12"/>
      <c r="BR23" s="12"/>
      <c r="BS23" s="12">
        <v>105.27546996795908</v>
      </c>
      <c r="BT23" s="12"/>
      <c r="BU23" s="12"/>
      <c r="BV23" s="12">
        <v>161.05971895525943</v>
      </c>
      <c r="BW23" s="12"/>
      <c r="BX23" s="12">
        <v>8491.6568268256306</v>
      </c>
      <c r="BY23" s="12">
        <v>374.0925295873609</v>
      </c>
      <c r="BZ23" s="12">
        <v>0</v>
      </c>
      <c r="CA23" s="12">
        <v>0.16682748602620751</v>
      </c>
      <c r="CB23" s="12">
        <v>209624.85662342361</v>
      </c>
      <c r="CC23" s="12">
        <v>137.39973975546116</v>
      </c>
      <c r="CD23" s="12">
        <v>2404.2358998278187</v>
      </c>
      <c r="CE23" s="12">
        <v>2246.3180460793369</v>
      </c>
      <c r="CF23" s="12"/>
      <c r="CG23" s="12">
        <v>24.744205156509665</v>
      </c>
      <c r="CH23" s="12"/>
      <c r="CI23" s="12"/>
      <c r="CJ23" s="12">
        <v>9.6303255633267817E-2</v>
      </c>
      <c r="CK23" s="12">
        <v>470.76233330403352</v>
      </c>
      <c r="CL23" s="12">
        <v>10699.355410712084</v>
      </c>
      <c r="CM23" s="12">
        <v>891.93051334844461</v>
      </c>
      <c r="CN23" s="12"/>
      <c r="CO23" s="12"/>
      <c r="CP23" s="12">
        <v>0</v>
      </c>
      <c r="CQ23" s="12">
        <v>0</v>
      </c>
      <c r="CR23" s="12">
        <v>18.985866721558928</v>
      </c>
      <c r="CS23" s="12">
        <v>0</v>
      </c>
      <c r="CT23" s="12">
        <v>3056.8054336690939</v>
      </c>
      <c r="CU23" s="12">
        <v>3.7030739959706807E-2</v>
      </c>
      <c r="CV23" s="12"/>
      <c r="CW23" s="12"/>
      <c r="CX23" s="12"/>
      <c r="CY23" s="12">
        <v>13.302961470049111</v>
      </c>
      <c r="CZ23" s="12">
        <v>12.81079599117542</v>
      </c>
      <c r="DA23" s="12"/>
      <c r="DB23" s="12"/>
      <c r="DC23" s="12">
        <v>23411650.929264911</v>
      </c>
      <c r="DD23" s="12"/>
      <c r="DE23" s="12"/>
      <c r="DF23" s="12">
        <v>143090567.27877948</v>
      </c>
      <c r="DG23" s="12"/>
      <c r="DH23" s="12">
        <v>679906220.20527041</v>
      </c>
      <c r="DI23" s="12">
        <v>129777198.15811373</v>
      </c>
      <c r="DJ23" s="12">
        <v>53373408.044382803</v>
      </c>
      <c r="DK23" s="12">
        <v>169433426.01941746</v>
      </c>
      <c r="DL23" s="12">
        <v>370665480.52149791</v>
      </c>
      <c r="DM23" s="12">
        <v>45156048.066574201</v>
      </c>
      <c r="DN23" s="12">
        <v>149805797.37031901</v>
      </c>
      <c r="DO23" s="12">
        <v>89120910.024965331</v>
      </c>
      <c r="DP23" s="12"/>
      <c r="DQ23" s="12">
        <v>115623035.56171983</v>
      </c>
      <c r="DR23" s="12"/>
      <c r="DS23" s="12"/>
      <c r="DT23" s="12">
        <v>121765632.35506241</v>
      </c>
      <c r="DU23" s="12">
        <v>14288364.826629682</v>
      </c>
      <c r="DV23" s="12">
        <v>235998232.1442441</v>
      </c>
      <c r="DW23" s="12">
        <v>39007906.618585296</v>
      </c>
      <c r="DX23" s="12"/>
      <c r="DY23" s="12"/>
      <c r="DZ23" s="12">
        <v>598403.92200557108</v>
      </c>
      <c r="EA23" s="12">
        <v>630784</v>
      </c>
      <c r="EB23" s="12">
        <v>4174363.6948682386</v>
      </c>
      <c r="EC23" s="12">
        <v>39792640</v>
      </c>
      <c r="ED23" s="12">
        <v>6715991.3453536751</v>
      </c>
      <c r="EE23" s="12">
        <v>9434496.887656033</v>
      </c>
      <c r="EF23" s="12"/>
      <c r="EG23" s="12"/>
      <c r="EH23" s="12"/>
      <c r="EI23" s="12">
        <v>68244268.382801667</v>
      </c>
      <c r="EJ23" s="12">
        <v>28196602.674063802</v>
      </c>
      <c r="EK23" s="12">
        <v>5.4950003706210504</v>
      </c>
      <c r="EL23" s="12">
        <v>8.715094949697173</v>
      </c>
      <c r="EM23" s="12">
        <v>3.2192509380440013</v>
      </c>
      <c r="EN23" s="12"/>
      <c r="EO23" s="12"/>
      <c r="EP23" s="12"/>
    </row>
    <row r="24" spans="1:146" x14ac:dyDescent="0.25">
      <c r="A24" s="62" t="s">
        <v>273</v>
      </c>
      <c r="B24" s="52" t="s">
        <v>274</v>
      </c>
      <c r="C24" s="55"/>
      <c r="D24" s="55"/>
      <c r="E24" s="55" t="s">
        <v>31</v>
      </c>
      <c r="F24" s="37">
        <v>16</v>
      </c>
      <c r="G24" s="37">
        <v>256</v>
      </c>
      <c r="H24" s="53"/>
      <c r="I24" s="53" t="s">
        <v>233</v>
      </c>
      <c r="J24" s="12">
        <v>4049.6920943134537</v>
      </c>
      <c r="K24" s="12">
        <v>8056.3756080194999</v>
      </c>
      <c r="L24" s="12">
        <v>306.58676331784778</v>
      </c>
      <c r="M24" s="12"/>
      <c r="N24" s="12"/>
      <c r="O24" s="12"/>
      <c r="P24" s="12">
        <v>4.025259841091474E-2</v>
      </c>
      <c r="Q24" s="12">
        <v>8106.7999947255958</v>
      </c>
      <c r="R24" s="12"/>
      <c r="S24" s="12"/>
      <c r="T24" s="12"/>
      <c r="U24" s="12"/>
      <c r="V24" s="12"/>
      <c r="W24" s="12"/>
      <c r="X24" s="12"/>
      <c r="Y24" s="12"/>
      <c r="Z24" s="12">
        <v>43693.362803764947</v>
      </c>
      <c r="AA24" s="12"/>
      <c r="AB24" s="12"/>
      <c r="AC24" s="12"/>
      <c r="AD24" s="12">
        <v>98.233741644413158</v>
      </c>
      <c r="AE24" s="12">
        <v>50778.959972815544</v>
      </c>
      <c r="AF24" s="12">
        <v>21684.686569394464</v>
      </c>
      <c r="AG24" s="12">
        <v>4.2852300215747023</v>
      </c>
      <c r="AH24" s="12"/>
      <c r="AI24" s="12">
        <v>5.989801439891819E-2</v>
      </c>
      <c r="AJ24" s="12"/>
      <c r="AK24" s="12"/>
      <c r="AL24" s="12">
        <v>0.80063259862398339</v>
      </c>
      <c r="AM24" s="12"/>
      <c r="AN24" s="12"/>
      <c r="AO24" s="12">
        <v>1.5505556011539776</v>
      </c>
      <c r="AP24" s="12">
        <v>6.9806823510445204E-2</v>
      </c>
      <c r="AQ24" s="12">
        <v>0.31300585947038662</v>
      </c>
      <c r="AR24" s="12">
        <v>6.362231338260349</v>
      </c>
      <c r="AS24" s="12">
        <v>6.8212882388293636E-2</v>
      </c>
      <c r="AT24" s="12">
        <v>0.19653732729907306</v>
      </c>
      <c r="AU24" s="12">
        <v>0.50398915884380324</v>
      </c>
      <c r="AV24" s="12"/>
      <c r="AW24" s="12">
        <v>0.37817691661414277</v>
      </c>
      <c r="AX24" s="12">
        <v>4.1736661372315811E-2</v>
      </c>
      <c r="AY24" s="12">
        <v>2.749045270570925</v>
      </c>
      <c r="AZ24" s="12"/>
      <c r="BA24" s="12"/>
      <c r="BB24" s="12"/>
      <c r="BC24" s="12"/>
      <c r="BD24" s="12"/>
      <c r="BE24" s="12">
        <v>1.3208368169227527</v>
      </c>
      <c r="BF24" s="12"/>
      <c r="BG24" s="12"/>
      <c r="BH24" s="12"/>
      <c r="BI24" s="12"/>
      <c r="BJ24" s="12"/>
      <c r="BK24" s="12"/>
      <c r="BL24" s="12"/>
      <c r="BM24" s="12"/>
      <c r="BN24" s="12"/>
      <c r="BO24" s="12">
        <v>5.1576568509225415E-2</v>
      </c>
      <c r="BP24" s="12">
        <v>0.2910163328932851</v>
      </c>
      <c r="BQ24" s="12">
        <v>32057.422368310585</v>
      </c>
      <c r="BR24" s="12"/>
      <c r="BS24" s="12">
        <v>99.414199957204175</v>
      </c>
      <c r="BT24" s="12"/>
      <c r="BU24" s="12"/>
      <c r="BV24" s="12">
        <v>127.32326770920756</v>
      </c>
      <c r="BW24" s="12"/>
      <c r="BX24" s="12"/>
      <c r="BY24" s="12">
        <v>4125.3430436260796</v>
      </c>
      <c r="BZ24" s="12">
        <v>0</v>
      </c>
      <c r="CA24" s="12">
        <v>5.3253744025898575</v>
      </c>
      <c r="CB24" s="12">
        <v>482599.60995936592</v>
      </c>
      <c r="CC24" s="12">
        <v>108.2373731960185</v>
      </c>
      <c r="CD24" s="12">
        <v>4714.8145236280852</v>
      </c>
      <c r="CE24" s="12">
        <v>16011.805401534031</v>
      </c>
      <c r="CF24" s="12"/>
      <c r="CG24" s="12">
        <v>27.266194884358811</v>
      </c>
      <c r="CH24" s="12">
        <v>120.59336265819442</v>
      </c>
      <c r="CI24" s="12">
        <v>22318.829744219202</v>
      </c>
      <c r="CJ24" s="12"/>
      <c r="CK24" s="12"/>
      <c r="CL24" s="12"/>
      <c r="CM24" s="12"/>
      <c r="CN24" s="12"/>
      <c r="CO24" s="12">
        <v>78728.693600207611</v>
      </c>
      <c r="CP24" s="12"/>
      <c r="CQ24" s="12"/>
      <c r="CR24" s="12"/>
      <c r="CS24" s="12"/>
      <c r="CT24" s="12"/>
      <c r="CU24" s="12"/>
      <c r="CV24" s="12"/>
      <c r="CW24" s="12"/>
      <c r="CX24" s="12"/>
      <c r="CY24" s="12">
        <v>13.243358883921562</v>
      </c>
      <c r="CZ24" s="12">
        <v>11.97367911354165</v>
      </c>
      <c r="DA24" s="12">
        <v>666412821.10394263</v>
      </c>
      <c r="DB24" s="12"/>
      <c r="DC24" s="12">
        <v>21988100.615811374</v>
      </c>
      <c r="DD24" s="12"/>
      <c r="DE24" s="12"/>
      <c r="DF24" s="12">
        <v>25480704.710124828</v>
      </c>
      <c r="DG24" s="12"/>
      <c r="DH24" s="12"/>
      <c r="DI24" s="12">
        <v>156090669.0929265</v>
      </c>
      <c r="DJ24" s="12">
        <v>55351651.062413312</v>
      </c>
      <c r="DK24" s="12">
        <v>190953775.93342578</v>
      </c>
      <c r="DL24" s="12">
        <v>376947415.16782248</v>
      </c>
      <c r="DM24" s="12">
        <v>42833831.944521494</v>
      </c>
      <c r="DN24" s="12">
        <v>116544976.42163661</v>
      </c>
      <c r="DO24" s="12">
        <v>90583261.558945909</v>
      </c>
      <c r="DP24" s="12"/>
      <c r="DQ24" s="12">
        <v>108722116.34951456</v>
      </c>
      <c r="DR24" s="12">
        <v>21214070.235783633</v>
      </c>
      <c r="DS24" s="12">
        <v>342672410.25641024</v>
      </c>
      <c r="DT24" s="12"/>
      <c r="DU24" s="12"/>
      <c r="DV24" s="12"/>
      <c r="DW24" s="12"/>
      <c r="DX24" s="12"/>
      <c r="DY24" s="12">
        <v>90941737.572649568</v>
      </c>
      <c r="DZ24" s="12"/>
      <c r="EA24" s="12"/>
      <c r="EB24" s="12"/>
      <c r="EC24" s="12"/>
      <c r="ED24" s="12"/>
      <c r="EE24" s="12"/>
      <c r="EF24" s="12"/>
      <c r="EG24" s="12"/>
      <c r="EH24" s="12"/>
      <c r="EI24" s="12">
        <v>62851819.051317617</v>
      </c>
      <c r="EJ24" s="12">
        <v>27058051.018030513</v>
      </c>
      <c r="EK24" s="12">
        <v>5.2461331940667284</v>
      </c>
      <c r="EL24" s="12">
        <v>12.943831028961652</v>
      </c>
      <c r="EM24" s="12">
        <v>7.6976554461662214</v>
      </c>
      <c r="EN24" s="12"/>
      <c r="EO24" s="12"/>
      <c r="EP24" s="12"/>
    </row>
    <row r="25" spans="1:146" x14ac:dyDescent="0.25">
      <c r="A25" s="52" t="s">
        <v>275</v>
      </c>
      <c r="B25" s="52" t="s">
        <v>276</v>
      </c>
      <c r="C25" s="55"/>
      <c r="D25" s="55"/>
      <c r="E25" s="55" t="s">
        <v>31</v>
      </c>
      <c r="F25" s="37">
        <v>16</v>
      </c>
      <c r="G25" s="37">
        <v>256</v>
      </c>
      <c r="H25" s="53"/>
      <c r="I25" s="53" t="s">
        <v>233</v>
      </c>
      <c r="J25" s="12">
        <v>7809.229166666667</v>
      </c>
      <c r="K25" s="12">
        <v>15670.636573077789</v>
      </c>
      <c r="L25" s="12">
        <v>268.36236534464297</v>
      </c>
      <c r="M25" s="12"/>
      <c r="N25" s="12"/>
      <c r="O25" s="12"/>
      <c r="P25" s="12">
        <v>0.53965436664661626</v>
      </c>
      <c r="Q25" s="12">
        <v>9260.7972330024804</v>
      </c>
      <c r="R25" s="12"/>
      <c r="S25" s="12"/>
      <c r="T25" s="12">
        <v>23427.75000396217</v>
      </c>
      <c r="U25" s="12">
        <v>3.4883201453171946</v>
      </c>
      <c r="V25" s="12"/>
      <c r="W25" s="12"/>
      <c r="X25" s="12"/>
      <c r="Y25" s="12"/>
      <c r="Z25" s="12">
        <v>6.3111119748236471</v>
      </c>
      <c r="AA25" s="12"/>
      <c r="AB25" s="12"/>
      <c r="AC25" s="12"/>
      <c r="AD25" s="12">
        <v>99.028402118351664</v>
      </c>
      <c r="AE25" s="12">
        <v>44915.774968006808</v>
      </c>
      <c r="AF25" s="12">
        <v>14429.156597629533</v>
      </c>
      <c r="AG25" s="12"/>
      <c r="AH25" s="12"/>
      <c r="AI25" s="12">
        <v>5.0310653155850621E-2</v>
      </c>
      <c r="AJ25" s="12"/>
      <c r="AK25" s="12"/>
      <c r="AL25" s="12">
        <v>0.43844480663570701</v>
      </c>
      <c r="AM25" s="12">
        <v>0.80863147763632615</v>
      </c>
      <c r="AN25" s="12"/>
      <c r="AO25" s="12">
        <v>7.8966724534941996E-2</v>
      </c>
      <c r="AP25" s="12">
        <v>8.4597057130170586E-2</v>
      </c>
      <c r="AQ25" s="12">
        <v>0.41945035812106823</v>
      </c>
      <c r="AR25" s="12">
        <v>8.1035686556855921</v>
      </c>
      <c r="AS25" s="12">
        <v>0.74740234925345261</v>
      </c>
      <c r="AT25" s="12">
        <v>1.9284549149478876</v>
      </c>
      <c r="AU25" s="12">
        <v>6.7638325699409765E-2</v>
      </c>
      <c r="AV25" s="12"/>
      <c r="AW25" s="12">
        <v>0.34050848354524738</v>
      </c>
      <c r="AX25" s="12">
        <v>5.471186041107326E-2</v>
      </c>
      <c r="AY25" s="12"/>
      <c r="AZ25" s="12"/>
      <c r="BA25" s="12"/>
      <c r="BB25" s="12"/>
      <c r="BC25" s="12"/>
      <c r="BD25" s="12"/>
      <c r="BE25" s="12"/>
      <c r="BF25" s="12"/>
      <c r="BG25" s="12"/>
      <c r="BH25" s="12"/>
      <c r="BI25" s="12"/>
      <c r="BJ25" s="12"/>
      <c r="BK25" s="12">
        <v>6.5343713556809168E-4</v>
      </c>
      <c r="BL25" s="12"/>
      <c r="BM25" s="12"/>
      <c r="BN25" s="12"/>
      <c r="BO25" s="12">
        <v>5.1604560801808093E-2</v>
      </c>
      <c r="BP25" s="12">
        <v>0.37935620365006301</v>
      </c>
      <c r="BQ25" s="12"/>
      <c r="BR25" s="12"/>
      <c r="BS25" s="12">
        <v>90.774835096973604</v>
      </c>
      <c r="BT25" s="12"/>
      <c r="BU25" s="12"/>
      <c r="BV25" s="12">
        <v>1420.1755315188054</v>
      </c>
      <c r="BW25" s="12">
        <v>0</v>
      </c>
      <c r="BX25" s="12"/>
      <c r="BY25" s="12">
        <v>3845.0655476396382</v>
      </c>
      <c r="BZ25" s="12">
        <v>6.9012921678786183</v>
      </c>
      <c r="CA25" s="12">
        <v>37.207981967003846</v>
      </c>
      <c r="CB25" s="12">
        <v>706565.37851183733</v>
      </c>
      <c r="CC25" s="12">
        <v>162764.27967859156</v>
      </c>
      <c r="CD25" s="12">
        <v>137966.04625884254</v>
      </c>
      <c r="CE25" s="12">
        <v>3800.7031881165344</v>
      </c>
      <c r="CF25" s="12"/>
      <c r="CG25" s="12">
        <v>26.548880456726671</v>
      </c>
      <c r="CH25" s="12">
        <v>134.06354299341226</v>
      </c>
      <c r="CI25" s="12"/>
      <c r="CJ25" s="12"/>
      <c r="CK25" s="12"/>
      <c r="CL25" s="12"/>
      <c r="CM25" s="12"/>
      <c r="CN25" s="12"/>
      <c r="CO25" s="12"/>
      <c r="CP25" s="12"/>
      <c r="CQ25" s="12"/>
      <c r="CR25" s="12"/>
      <c r="CS25" s="12"/>
      <c r="CT25" s="12"/>
      <c r="CU25" s="12">
        <v>0.1393667208078829</v>
      </c>
      <c r="CV25" s="12"/>
      <c r="CW25" s="12"/>
      <c r="CX25" s="12"/>
      <c r="CY25" s="12">
        <v>13.354340970066717</v>
      </c>
      <c r="CZ25" s="12">
        <v>12.608692244391131</v>
      </c>
      <c r="DA25" s="12"/>
      <c r="DB25" s="12"/>
      <c r="DC25" s="12">
        <v>24347483.022222221</v>
      </c>
      <c r="DD25" s="12"/>
      <c r="DE25" s="12"/>
      <c r="DF25" s="12">
        <v>43846820.977777779</v>
      </c>
      <c r="DG25" s="12">
        <v>112236071.82222222</v>
      </c>
      <c r="DH25" s="12"/>
      <c r="DI25" s="12">
        <v>158345966.93333334</v>
      </c>
      <c r="DJ25" s="12">
        <v>60766116.977777779</v>
      </c>
      <c r="DK25" s="12">
        <v>129181457.06666666</v>
      </c>
      <c r="DL25" s="12">
        <v>374497558.75555557</v>
      </c>
      <c r="DM25" s="12">
        <v>111412070.40000001</v>
      </c>
      <c r="DN25" s="12">
        <v>256337885.86666667</v>
      </c>
      <c r="DO25" s="12">
        <v>90671217.777777776</v>
      </c>
      <c r="DP25" s="12"/>
      <c r="DQ25" s="12">
        <v>110537358.22222222</v>
      </c>
      <c r="DR25" s="12">
        <v>21857376.71111111</v>
      </c>
      <c r="DS25" s="12"/>
      <c r="DT25" s="12"/>
      <c r="DU25" s="12"/>
      <c r="DV25" s="12"/>
      <c r="DW25" s="12"/>
      <c r="DX25" s="12"/>
      <c r="DY25" s="12"/>
      <c r="DZ25" s="12"/>
      <c r="EA25" s="12"/>
      <c r="EB25" s="12"/>
      <c r="EC25" s="12"/>
      <c r="ED25" s="12"/>
      <c r="EE25" s="12">
        <v>8886863.6444444451</v>
      </c>
      <c r="EF25" s="12"/>
      <c r="EG25" s="12"/>
      <c r="EH25" s="12"/>
      <c r="EI25" s="12">
        <v>63478510.93333333</v>
      </c>
      <c r="EJ25" s="12">
        <v>28538561.422222223</v>
      </c>
      <c r="EK25" s="12">
        <v>31.352260496940648</v>
      </c>
      <c r="EL25" s="12">
        <v>42.876541198509571</v>
      </c>
      <c r="EM25" s="12">
        <v>11.332135359020624</v>
      </c>
      <c r="EN25" s="12"/>
      <c r="EO25" s="12"/>
      <c r="EP25" s="12"/>
    </row>
    <row r="26" spans="1:146" x14ac:dyDescent="0.25">
      <c r="A26" s="52" t="s">
        <v>277</v>
      </c>
      <c r="B26" s="52" t="s">
        <v>278</v>
      </c>
      <c r="C26" s="55"/>
      <c r="D26" s="55"/>
      <c r="E26" s="55" t="s">
        <v>31</v>
      </c>
      <c r="F26" s="68">
        <v>32</v>
      </c>
      <c r="G26" s="68" t="s">
        <v>231</v>
      </c>
      <c r="H26" s="53"/>
      <c r="I26" s="53" t="s">
        <v>233</v>
      </c>
      <c r="J26" s="12">
        <v>16811.909847434119</v>
      </c>
      <c r="K26" s="12">
        <v>8593.6868115061006</v>
      </c>
      <c r="L26" s="12">
        <v>102.37728250489813</v>
      </c>
      <c r="M26" s="12"/>
      <c r="N26" s="12"/>
      <c r="O26" s="12"/>
      <c r="P26" s="12">
        <v>4.0238837081411544E-2</v>
      </c>
      <c r="Q26" s="12">
        <v>10325.778013203353</v>
      </c>
      <c r="R26" s="12"/>
      <c r="S26" s="12"/>
      <c r="T26" s="12"/>
      <c r="U26" s="12">
        <v>18.442275439845719</v>
      </c>
      <c r="V26" s="12"/>
      <c r="W26" s="12"/>
      <c r="X26" s="12"/>
      <c r="Y26" s="12"/>
      <c r="Z26" s="12">
        <v>21304.465244108189</v>
      </c>
      <c r="AA26" s="12"/>
      <c r="AB26" s="12"/>
      <c r="AC26" s="12"/>
      <c r="AD26" s="12">
        <v>98.274221769016293</v>
      </c>
      <c r="AE26" s="12">
        <v>17092.676577499813</v>
      </c>
      <c r="AF26" s="12">
        <v>18244.007358149389</v>
      </c>
      <c r="AG26" s="12"/>
      <c r="AH26" s="12"/>
      <c r="AI26" s="12">
        <v>7.0962986093986422E-2</v>
      </c>
      <c r="AJ26" s="12"/>
      <c r="AK26" s="12"/>
      <c r="AL26" s="12">
        <v>1.0042620899739398</v>
      </c>
      <c r="AM26" s="12"/>
      <c r="AN26" s="12"/>
      <c r="AO26" s="12">
        <v>6.3148627246126424E-2</v>
      </c>
      <c r="AP26" s="12">
        <v>9.5558387597841923E-2</v>
      </c>
      <c r="AQ26" s="12">
        <v>0.3365141287041199</v>
      </c>
      <c r="AR26" s="12">
        <v>11.217115512543518</v>
      </c>
      <c r="AS26" s="12">
        <v>9.5049439097268498E-2</v>
      </c>
      <c r="AT26" s="12">
        <v>0.54088227538399514</v>
      </c>
      <c r="AU26" s="12">
        <v>0.1830149392040174</v>
      </c>
      <c r="AV26" s="12"/>
      <c r="AW26" s="12">
        <v>0.24522477196187031</v>
      </c>
      <c r="AX26" s="12">
        <v>4.5570160881692259E-2</v>
      </c>
      <c r="AY26" s="12"/>
      <c r="AZ26" s="12"/>
      <c r="BA26" s="12"/>
      <c r="BB26" s="12"/>
      <c r="BC26" s="12"/>
      <c r="BD26" s="12"/>
      <c r="BE26" s="12"/>
      <c r="BF26" s="12"/>
      <c r="BG26" s="12"/>
      <c r="BH26" s="12"/>
      <c r="BI26" s="12"/>
      <c r="BJ26" s="12"/>
      <c r="BK26" s="12"/>
      <c r="BL26" s="12"/>
      <c r="BM26" s="12"/>
      <c r="BN26" s="12"/>
      <c r="BO26" s="12">
        <v>7.0674317166900272E-2</v>
      </c>
      <c r="BP26" s="12">
        <v>0.42477050284888612</v>
      </c>
      <c r="BQ26" s="12"/>
      <c r="BR26" s="12"/>
      <c r="BS26" s="12">
        <v>105.26679585053002</v>
      </c>
      <c r="BT26" s="12"/>
      <c r="BU26" s="12"/>
      <c r="BV26" s="12">
        <v>203.21401515896881</v>
      </c>
      <c r="BW26" s="12"/>
      <c r="BX26" s="12"/>
      <c r="BY26" s="12">
        <v>3009.6835902596185</v>
      </c>
      <c r="BZ26" s="12">
        <v>0</v>
      </c>
      <c r="CA26" s="12">
        <v>9.5386587076495402E-2</v>
      </c>
      <c r="CB26" s="12">
        <v>178558.3353913936</v>
      </c>
      <c r="CC26" s="12">
        <v>6204.4949741865175</v>
      </c>
      <c r="CD26" s="12">
        <v>9264.1167214108154</v>
      </c>
      <c r="CE26" s="12">
        <v>6576.2767068545654</v>
      </c>
      <c r="CF26" s="12"/>
      <c r="CG26" s="12">
        <v>25.787506982134605</v>
      </c>
      <c r="CH26" s="12">
        <v>120.60764470893751</v>
      </c>
      <c r="CI26" s="12"/>
      <c r="CJ26" s="12"/>
      <c r="CK26" s="12"/>
      <c r="CL26" s="12"/>
      <c r="CM26" s="12"/>
      <c r="CN26" s="12"/>
      <c r="CO26" s="12"/>
      <c r="CP26" s="12"/>
      <c r="CQ26" s="12"/>
      <c r="CR26" s="12"/>
      <c r="CS26" s="12"/>
      <c r="CT26" s="12"/>
      <c r="CU26" s="12"/>
      <c r="CV26" s="12"/>
      <c r="CW26" s="12"/>
      <c r="CX26" s="12"/>
      <c r="CY26" s="12">
        <v>13.257148185475515</v>
      </c>
      <c r="CZ26" s="12">
        <v>24.004812932179235</v>
      </c>
      <c r="DA26" s="12"/>
      <c r="DB26" s="12"/>
      <c r="DC26" s="12">
        <v>24211899.117891818</v>
      </c>
      <c r="DD26" s="12"/>
      <c r="DE26" s="12"/>
      <c r="DF26" s="12">
        <v>34428896.754507631</v>
      </c>
      <c r="DG26" s="12"/>
      <c r="DH26" s="12"/>
      <c r="DI26" s="12">
        <v>594114699.184466</v>
      </c>
      <c r="DJ26" s="12">
        <v>56150104.055478506</v>
      </c>
      <c r="DK26" s="12">
        <v>125762061.49237171</v>
      </c>
      <c r="DL26" s="12">
        <v>377979976.43273234</v>
      </c>
      <c r="DM26" s="12">
        <v>47920052.726768374</v>
      </c>
      <c r="DN26" s="12">
        <v>151444617.76421636</v>
      </c>
      <c r="DO26" s="12">
        <v>89920107.228848815</v>
      </c>
      <c r="DP26" s="12"/>
      <c r="DQ26" s="12">
        <v>105664943.75589459</v>
      </c>
      <c r="DR26" s="12">
        <v>21872071.900138695</v>
      </c>
      <c r="DS26" s="12"/>
      <c r="DT26" s="12"/>
      <c r="DU26" s="12"/>
      <c r="DV26" s="12"/>
      <c r="DW26" s="12"/>
      <c r="DX26" s="12"/>
      <c r="DY26" s="12"/>
      <c r="DZ26" s="12"/>
      <c r="EA26" s="12"/>
      <c r="EB26" s="12"/>
      <c r="EC26" s="12"/>
      <c r="ED26" s="12"/>
      <c r="EE26" s="12"/>
      <c r="EF26" s="12"/>
      <c r="EG26" s="12"/>
      <c r="EH26" s="12"/>
      <c r="EI26" s="12">
        <v>64073353.054091543</v>
      </c>
      <c r="EJ26" s="12">
        <v>27934401.864077669</v>
      </c>
      <c r="EK26" s="12">
        <v>9.9040967116385765</v>
      </c>
      <c r="EL26" s="12">
        <v>20.908862054721116</v>
      </c>
      <c r="EM26" s="12">
        <v>11.004496757241197</v>
      </c>
      <c r="EN26" s="12"/>
      <c r="EO26" s="12"/>
      <c r="EP26" s="12"/>
    </row>
    <row r="27" spans="1:146" x14ac:dyDescent="0.25">
      <c r="A27" s="52" t="s">
        <v>279</v>
      </c>
      <c r="B27" s="52" t="s">
        <v>280</v>
      </c>
      <c r="C27" s="55"/>
      <c r="D27" s="55"/>
      <c r="E27" s="55" t="s">
        <v>31</v>
      </c>
      <c r="F27" s="37">
        <v>16</v>
      </c>
      <c r="G27" s="37">
        <v>256</v>
      </c>
      <c r="H27" s="53"/>
      <c r="I27" s="53" t="s">
        <v>233</v>
      </c>
      <c r="J27" s="12">
        <v>2326.1747572815534</v>
      </c>
      <c r="K27" s="12">
        <v>11548.413005169501</v>
      </c>
      <c r="L27" s="12">
        <v>551.92594824196465</v>
      </c>
      <c r="M27" s="12"/>
      <c r="N27" s="12"/>
      <c r="O27" s="12"/>
      <c r="P27" s="12">
        <v>0.2426708807896614</v>
      </c>
      <c r="Q27" s="12">
        <v>2656898.1061366121</v>
      </c>
      <c r="R27" s="12"/>
      <c r="S27" s="12"/>
      <c r="T27" s="12">
        <v>2832692.827435791</v>
      </c>
      <c r="U27" s="12"/>
      <c r="V27" s="12"/>
      <c r="W27" s="12"/>
      <c r="X27" s="12"/>
      <c r="Y27" s="12"/>
      <c r="Z27" s="12"/>
      <c r="AA27" s="12"/>
      <c r="AB27" s="12"/>
      <c r="AC27" s="12"/>
      <c r="AD27" s="12">
        <v>98.326828414798442</v>
      </c>
      <c r="AE27" s="12">
        <v>50705.693338159872</v>
      </c>
      <c r="AF27" s="12">
        <v>25277.738068277155</v>
      </c>
      <c r="AG27" s="12">
        <v>0.22006107935338368</v>
      </c>
      <c r="AH27" s="12"/>
      <c r="AI27" s="12">
        <v>4.0293155592077086E-2</v>
      </c>
      <c r="AJ27" s="12"/>
      <c r="AK27" s="12"/>
      <c r="AL27" s="12">
        <v>5.4967586649422007</v>
      </c>
      <c r="AM27" s="12"/>
      <c r="AN27" s="12">
        <v>7.4612990820664331</v>
      </c>
      <c r="AO27" s="12">
        <v>0.16790211006427833</v>
      </c>
      <c r="AP27" s="12">
        <v>5.9969123648469493E-2</v>
      </c>
      <c r="AQ27" s="12">
        <v>0.29443462100177065</v>
      </c>
      <c r="AR27" s="12">
        <v>5.4056393957854896</v>
      </c>
      <c r="AS27" s="12">
        <v>5.0718837424477532E-2</v>
      </c>
      <c r="AT27" s="12">
        <v>4.4292647863980097</v>
      </c>
      <c r="AU27" s="12">
        <v>0.28495602677358722</v>
      </c>
      <c r="AV27" s="12">
        <v>6.6851177016839167E-2</v>
      </c>
      <c r="AW27" s="12">
        <v>0.43839303566062388</v>
      </c>
      <c r="AX27" s="12">
        <v>3.848591275519999E-2</v>
      </c>
      <c r="AY27" s="12">
        <v>7.6925097683305292</v>
      </c>
      <c r="AZ27" s="12"/>
      <c r="BA27" s="12"/>
      <c r="BB27" s="12"/>
      <c r="BC27" s="12"/>
      <c r="BD27" s="12"/>
      <c r="BE27" s="12">
        <v>3.8822539736329316</v>
      </c>
      <c r="BF27" s="12"/>
      <c r="BG27" s="12"/>
      <c r="BH27" s="12"/>
      <c r="BI27" s="12"/>
      <c r="BJ27" s="12"/>
      <c r="BK27" s="12"/>
      <c r="BL27" s="12"/>
      <c r="BM27" s="12"/>
      <c r="BN27" s="12"/>
      <c r="BO27" s="12">
        <v>4.7674323428633876E-2</v>
      </c>
      <c r="BP27" s="12">
        <v>0.21702220505746336</v>
      </c>
      <c r="BQ27" s="12">
        <v>1163.031138380022</v>
      </c>
      <c r="BR27" s="12"/>
      <c r="BS27" s="12">
        <v>64.325092013231767</v>
      </c>
      <c r="BT27" s="12"/>
      <c r="BU27" s="12"/>
      <c r="BV27" s="12">
        <v>131.65897426979612</v>
      </c>
      <c r="BW27" s="12"/>
      <c r="BX27" s="12">
        <v>11826.320141207334</v>
      </c>
      <c r="BY27" s="12">
        <v>5403.1825820188769</v>
      </c>
      <c r="BZ27" s="12">
        <v>0</v>
      </c>
      <c r="CA27" s="12">
        <v>22.689743595724195</v>
      </c>
      <c r="CB27" s="12">
        <v>183233.25166229715</v>
      </c>
      <c r="CC27" s="12">
        <v>138.34922374566105</v>
      </c>
      <c r="CD27" s="12">
        <v>376557.50552621117</v>
      </c>
      <c r="CE27" s="12">
        <v>10186.857759943909</v>
      </c>
      <c r="CF27" s="12">
        <v>2213.4977642021117</v>
      </c>
      <c r="CG27" s="12">
        <v>1013.6571337398219</v>
      </c>
      <c r="CH27" s="12">
        <v>127.40309255516651</v>
      </c>
      <c r="CI27" s="12">
        <v>175646.01309850579</v>
      </c>
      <c r="CJ27" s="12"/>
      <c r="CK27" s="12"/>
      <c r="CL27" s="12"/>
      <c r="CM27" s="12"/>
      <c r="CN27" s="12"/>
      <c r="CO27" s="12">
        <v>247855.37094570536</v>
      </c>
      <c r="CP27" s="12"/>
      <c r="CQ27" s="12"/>
      <c r="CR27" s="12"/>
      <c r="CS27" s="12"/>
      <c r="CT27" s="12"/>
      <c r="CU27" s="12"/>
      <c r="CV27" s="12"/>
      <c r="CW27" s="12"/>
      <c r="CX27" s="12"/>
      <c r="CY27" s="12">
        <v>13.328060252360125</v>
      </c>
      <c r="CZ27" s="12">
        <v>12.081522191973672</v>
      </c>
      <c r="DA27" s="12">
        <v>350934525.86962551</v>
      </c>
      <c r="DB27" s="12"/>
      <c r="DC27" s="12">
        <v>21218842.274618585</v>
      </c>
      <c r="DD27" s="12"/>
      <c r="DE27" s="12"/>
      <c r="DF27" s="12">
        <v>25102997.836338419</v>
      </c>
      <c r="DG27" s="12"/>
      <c r="DH27" s="12">
        <v>950700489.32038832</v>
      </c>
      <c r="DI27" s="12">
        <v>169651741.11511788</v>
      </c>
      <c r="DJ27" s="12">
        <v>54444020.638002776</v>
      </c>
      <c r="DK27" s="12">
        <v>172380875.80582523</v>
      </c>
      <c r="DL27" s="12">
        <v>402907118.95700419</v>
      </c>
      <c r="DM27" s="12">
        <v>44210423.12343967</v>
      </c>
      <c r="DN27" s="12">
        <v>351464318.75728154</v>
      </c>
      <c r="DO27" s="12">
        <v>90557378.929264903</v>
      </c>
      <c r="DP27" s="12">
        <v>87260559.847619042</v>
      </c>
      <c r="DQ27" s="12">
        <v>481410736.82108182</v>
      </c>
      <c r="DR27" s="12">
        <v>21463642.185852982</v>
      </c>
      <c r="DS27" s="12">
        <v>330462147.7647059</v>
      </c>
      <c r="DT27" s="12"/>
      <c r="DU27" s="12"/>
      <c r="DV27" s="12"/>
      <c r="DW27" s="12"/>
      <c r="DX27" s="12"/>
      <c r="DY27" s="12">
        <v>189305473.95284328</v>
      </c>
      <c r="DZ27" s="12"/>
      <c r="EA27" s="12"/>
      <c r="EB27" s="12"/>
      <c r="EC27" s="12"/>
      <c r="ED27" s="12"/>
      <c r="EE27" s="12"/>
      <c r="EF27" s="12"/>
      <c r="EG27" s="12"/>
      <c r="EH27" s="12"/>
      <c r="EI27" s="12">
        <v>69018781.647711515</v>
      </c>
      <c r="EJ27" s="12">
        <v>27127063.789181691</v>
      </c>
      <c r="EK27" s="12">
        <v>10.380617589008521</v>
      </c>
      <c r="EL27" s="12">
        <v>21.615943168048361</v>
      </c>
      <c r="EM27" s="12">
        <v>11.240186174792703</v>
      </c>
      <c r="EN27" s="12"/>
      <c r="EO27" s="12"/>
      <c r="EP27" s="12"/>
    </row>
    <row r="28" spans="1:146" x14ac:dyDescent="0.25">
      <c r="A28" s="52" t="s">
        <v>281</v>
      </c>
      <c r="B28" s="52" t="s">
        <v>282</v>
      </c>
      <c r="C28" s="55"/>
      <c r="D28" s="55"/>
      <c r="E28" s="55" t="s">
        <v>31</v>
      </c>
      <c r="F28" s="68">
        <v>32</v>
      </c>
      <c r="G28" s="68" t="s">
        <v>231</v>
      </c>
      <c r="H28" s="53"/>
      <c r="I28" s="53" t="s">
        <v>233</v>
      </c>
      <c r="J28" s="12">
        <v>15980.58311</v>
      </c>
      <c r="K28" s="12">
        <v>7568.7036200000002</v>
      </c>
      <c r="L28" s="12">
        <v>93.991912749999997</v>
      </c>
      <c r="M28" s="12"/>
      <c r="N28" s="12"/>
      <c r="O28" s="12"/>
      <c r="P28" s="12"/>
      <c r="Q28" s="12">
        <v>21812.272319387168</v>
      </c>
      <c r="R28" s="12"/>
      <c r="S28" s="12"/>
      <c r="T28" s="12"/>
      <c r="U28" s="12"/>
      <c r="V28" s="12"/>
      <c r="W28" s="12"/>
      <c r="X28" s="12"/>
      <c r="Y28" s="12"/>
      <c r="Z28" s="12">
        <v>146698.35434815966</v>
      </c>
      <c r="AA28" s="12"/>
      <c r="AB28" s="12"/>
      <c r="AC28" s="12"/>
      <c r="AD28" s="12">
        <v>95.113695728497163</v>
      </c>
      <c r="AE28" s="12">
        <v>30114.119503944166</v>
      </c>
      <c r="AF28" s="12">
        <v>15122.876869365087</v>
      </c>
      <c r="AG28" s="12"/>
      <c r="AH28" s="12"/>
      <c r="AI28" s="12"/>
      <c r="AJ28" s="12"/>
      <c r="AK28" s="12"/>
      <c r="AL28" s="12">
        <v>0.76312808494223094</v>
      </c>
      <c r="AM28" s="12">
        <v>2.0977672726524967</v>
      </c>
      <c r="AN28" s="12">
        <v>7.5145591072507845</v>
      </c>
      <c r="AO28" s="12">
        <v>1.5230954801769165</v>
      </c>
      <c r="AP28" s="12">
        <v>5.7887472182462131E-2</v>
      </c>
      <c r="AQ28" s="12">
        <v>0.2989348172852031</v>
      </c>
      <c r="AR28" s="12">
        <v>8.7607873664387892</v>
      </c>
      <c r="AS28" s="12"/>
      <c r="AT28" s="12">
        <v>0.93094468165827604</v>
      </c>
      <c r="AU28" s="12">
        <v>0.27365961902377428</v>
      </c>
      <c r="AV28" s="12"/>
      <c r="AW28" s="12"/>
      <c r="AX28" s="12">
        <v>7.2010851319584082E-2</v>
      </c>
      <c r="AY28" s="12"/>
      <c r="AZ28" s="12"/>
      <c r="BA28" s="12"/>
      <c r="BB28" s="12"/>
      <c r="BC28" s="12"/>
      <c r="BD28" s="12"/>
      <c r="BE28" s="12">
        <v>2.4555881571143852</v>
      </c>
      <c r="BF28" s="12"/>
      <c r="BG28" s="12"/>
      <c r="BH28" s="12"/>
      <c r="BI28" s="12"/>
      <c r="BJ28" s="12"/>
      <c r="BK28" s="12"/>
      <c r="BL28" s="12"/>
      <c r="BM28" s="12"/>
      <c r="BN28" s="12"/>
      <c r="BO28" s="12">
        <v>4.9799910133489951E-2</v>
      </c>
      <c r="BP28" s="12">
        <v>0.29355950404024983</v>
      </c>
      <c r="BQ28" s="12"/>
      <c r="BR28" s="12"/>
      <c r="BS28" s="12">
        <v>76.300982148796194</v>
      </c>
      <c r="BT28" s="12"/>
      <c r="BU28" s="12"/>
      <c r="BV28" s="12">
        <v>173.51818468972712</v>
      </c>
      <c r="BW28" s="12">
        <v>99.014036478780284</v>
      </c>
      <c r="BX28" s="12">
        <v>20504.147360049912</v>
      </c>
      <c r="BY28" s="12">
        <v>31133.539232244213</v>
      </c>
      <c r="BZ28" s="12">
        <v>0</v>
      </c>
      <c r="CA28" s="12">
        <v>0.49285273934357116</v>
      </c>
      <c r="CB28" s="12">
        <v>464062.78913116152</v>
      </c>
      <c r="CC28" s="12">
        <v>134.62585013307734</v>
      </c>
      <c r="CD28" s="12">
        <v>82776.019760094656</v>
      </c>
      <c r="CE28" s="12">
        <v>6678.0084609819578</v>
      </c>
      <c r="CF28" s="12"/>
      <c r="CG28" s="12"/>
      <c r="CH28" s="12">
        <v>1593.8921963053606</v>
      </c>
      <c r="CI28" s="12"/>
      <c r="CJ28" s="12"/>
      <c r="CK28" s="12"/>
      <c r="CL28" s="12"/>
      <c r="CM28" s="12"/>
      <c r="CN28" s="12"/>
      <c r="CO28" s="12">
        <v>365417.35857871774</v>
      </c>
      <c r="CP28" s="12"/>
      <c r="CQ28" s="12"/>
      <c r="CR28" s="12"/>
      <c r="CS28" s="12"/>
      <c r="CT28" s="12"/>
      <c r="CU28" s="12"/>
      <c r="CV28" s="12"/>
      <c r="CW28" s="12"/>
      <c r="CX28" s="12"/>
      <c r="CY28" s="12">
        <v>11.823319089907635</v>
      </c>
      <c r="CZ28" s="12">
        <v>11.60882456123613</v>
      </c>
      <c r="DA28" s="12"/>
      <c r="DB28" s="12"/>
      <c r="DC28" s="12">
        <v>23570151.978552278</v>
      </c>
      <c r="DD28" s="12"/>
      <c r="DE28" s="12"/>
      <c r="DF28" s="12">
        <v>32001043.217158176</v>
      </c>
      <c r="DG28" s="12">
        <v>255640468.93297586</v>
      </c>
      <c r="DH28" s="12">
        <v>1387425775.5281501</v>
      </c>
      <c r="DI28" s="12">
        <v>528146333.16890079</v>
      </c>
      <c r="DJ28" s="12">
        <v>53311822.927613944</v>
      </c>
      <c r="DK28" s="12">
        <v>149690411.92493299</v>
      </c>
      <c r="DL28" s="12">
        <v>388924847.01340485</v>
      </c>
      <c r="DM28" s="12">
        <v>49405315.088471852</v>
      </c>
      <c r="DN28" s="12">
        <v>188499364.03217158</v>
      </c>
      <c r="DO28" s="12">
        <v>97357802.037533507</v>
      </c>
      <c r="DP28" s="12"/>
      <c r="DQ28" s="12"/>
      <c r="DR28" s="12">
        <v>23393063.120643433</v>
      </c>
      <c r="DS28" s="12"/>
      <c r="DT28" s="12"/>
      <c r="DU28" s="12"/>
      <c r="DV28" s="12"/>
      <c r="DW28" s="12"/>
      <c r="DX28" s="12"/>
      <c r="DY28" s="12">
        <v>157466547.79534882</v>
      </c>
      <c r="DZ28" s="12"/>
      <c r="EA28" s="12"/>
      <c r="EB28" s="12"/>
      <c r="EC28" s="12"/>
      <c r="ED28" s="12"/>
      <c r="EE28" s="12"/>
      <c r="EF28" s="12"/>
      <c r="EG28" s="12"/>
      <c r="EH28" s="12"/>
      <c r="EI28" s="12">
        <v>64680880.386058979</v>
      </c>
      <c r="EJ28" s="12">
        <v>28209245.340482574</v>
      </c>
      <c r="EK28" s="12">
        <v>8.1758944245547429</v>
      </c>
      <c r="EL28" s="12">
        <v>15.228979530598227</v>
      </c>
      <c r="EM28" s="12">
        <v>7.0432661494601509</v>
      </c>
      <c r="EN28" s="12"/>
      <c r="EO28" s="12"/>
      <c r="EP28" s="12"/>
    </row>
    <row r="29" spans="1:146" x14ac:dyDescent="0.25">
      <c r="A29" s="52" t="s">
        <v>283</v>
      </c>
      <c r="B29" s="52" t="s">
        <v>284</v>
      </c>
      <c r="C29" s="55"/>
      <c r="D29" s="55"/>
      <c r="E29" s="55" t="s">
        <v>348</v>
      </c>
      <c r="F29" s="37">
        <v>16</v>
      </c>
      <c r="G29" s="37">
        <v>256</v>
      </c>
      <c r="H29" s="53"/>
      <c r="I29" s="53" t="s">
        <v>233</v>
      </c>
      <c r="J29" s="12">
        <v>5733.8987517337027</v>
      </c>
      <c r="K29" s="12">
        <v>3636.6217390688221</v>
      </c>
      <c r="L29" s="12">
        <v>205.93310253530103</v>
      </c>
      <c r="M29" s="12"/>
      <c r="N29" s="12"/>
      <c r="O29" s="12"/>
      <c r="P29" s="12">
        <v>1.3199855888160634</v>
      </c>
      <c r="Q29" s="12"/>
      <c r="R29" s="12"/>
      <c r="S29" s="12"/>
      <c r="T29" s="12">
        <v>478566.37436660886</v>
      </c>
      <c r="U29" s="12"/>
      <c r="V29" s="12"/>
      <c r="W29" s="12"/>
      <c r="X29" s="12"/>
      <c r="Y29" s="12"/>
      <c r="Z29" s="12"/>
      <c r="AA29" s="12"/>
      <c r="AB29" s="12"/>
      <c r="AC29" s="12"/>
      <c r="AD29" s="12">
        <v>99.411010925338942</v>
      </c>
      <c r="AE29" s="12">
        <v>38542.980228261782</v>
      </c>
      <c r="AF29" s="12">
        <v>18109.545927029947</v>
      </c>
      <c r="AG29" s="12"/>
      <c r="AH29" s="12"/>
      <c r="AI29" s="12">
        <v>6.0329176604912368E-2</v>
      </c>
      <c r="AJ29" s="12"/>
      <c r="AK29" s="12"/>
      <c r="AL29" s="12">
        <v>8.709658393613047E-2</v>
      </c>
      <c r="AM29" s="12"/>
      <c r="AN29" s="12"/>
      <c r="AO29" s="12">
        <v>8.7524362102249682E-3</v>
      </c>
      <c r="AP29" s="12"/>
      <c r="AQ29" s="12"/>
      <c r="AR29" s="12">
        <v>5.7966763055287966</v>
      </c>
      <c r="AS29" s="12">
        <v>0.23332081292282333</v>
      </c>
      <c r="AT29" s="12">
        <v>0.29893493209225858</v>
      </c>
      <c r="AU29" s="12"/>
      <c r="AV29" s="12"/>
      <c r="AW29" s="12">
        <v>0.34529062242990644</v>
      </c>
      <c r="AX29" s="12">
        <v>1.6999402768663345E-2</v>
      </c>
      <c r="AY29" s="12"/>
      <c r="AZ29" s="12"/>
      <c r="BA29" s="12"/>
      <c r="BB29" s="12"/>
      <c r="BC29" s="12"/>
      <c r="BD29" s="12"/>
      <c r="BE29" s="12"/>
      <c r="BF29" s="12"/>
      <c r="BG29" s="12"/>
      <c r="BH29" s="12"/>
      <c r="BI29" s="12"/>
      <c r="BJ29" s="12"/>
      <c r="BK29" s="12"/>
      <c r="BL29" s="12"/>
      <c r="BM29" s="12"/>
      <c r="BN29" s="12"/>
      <c r="BO29" s="12">
        <v>5.5629008075471831E-2</v>
      </c>
      <c r="BP29" s="12">
        <v>1.0017225478411034</v>
      </c>
      <c r="BQ29" s="12"/>
      <c r="BR29" s="12"/>
      <c r="BS29" s="12">
        <v>102.34545945192794</v>
      </c>
      <c r="BT29" s="12"/>
      <c r="BU29" s="12"/>
      <c r="BV29" s="12">
        <v>13.298491687415423</v>
      </c>
      <c r="BW29" s="12"/>
      <c r="BX29" s="12"/>
      <c r="BY29" s="12">
        <v>24.300424133503466</v>
      </c>
      <c r="BZ29" s="12"/>
      <c r="CA29" s="12"/>
      <c r="CB29" s="12">
        <v>191327.26203634444</v>
      </c>
      <c r="CC29" s="12">
        <v>67.057544869235585</v>
      </c>
      <c r="CD29" s="12">
        <v>17684.831815850102</v>
      </c>
      <c r="CE29" s="12"/>
      <c r="CF29" s="12"/>
      <c r="CG29" s="12">
        <v>22.385627992404775</v>
      </c>
      <c r="CH29" s="12">
        <v>126.17055643432397</v>
      </c>
      <c r="CI29" s="12"/>
      <c r="CJ29" s="12"/>
      <c r="CK29" s="12"/>
      <c r="CL29" s="12"/>
      <c r="CM29" s="12"/>
      <c r="CN29" s="12"/>
      <c r="CO29" s="12"/>
      <c r="CP29" s="12"/>
      <c r="CQ29" s="12"/>
      <c r="CR29" s="12"/>
      <c r="CS29" s="12"/>
      <c r="CT29" s="12"/>
      <c r="CU29" s="12"/>
      <c r="CV29" s="12"/>
      <c r="CW29" s="12"/>
      <c r="CX29" s="12"/>
      <c r="CY29" s="12">
        <v>13.293536999433584</v>
      </c>
      <c r="CZ29" s="12">
        <v>6544.3860372460313</v>
      </c>
      <c r="DA29" s="12"/>
      <c r="DB29" s="12"/>
      <c r="DC29" s="12">
        <v>23304382.313453536</v>
      </c>
      <c r="DD29" s="12"/>
      <c r="DE29" s="12"/>
      <c r="DF29" s="12">
        <v>21460080.199722607</v>
      </c>
      <c r="DG29" s="12"/>
      <c r="DH29" s="12"/>
      <c r="DI29" s="12">
        <v>117954977.55339806</v>
      </c>
      <c r="DJ29" s="12"/>
      <c r="DK29" s="12"/>
      <c r="DL29" s="12">
        <v>371191989.79195559</v>
      </c>
      <c r="DM29" s="12">
        <v>39539267.461858533</v>
      </c>
      <c r="DN29" s="12">
        <v>147911377.48682386</v>
      </c>
      <c r="DO29" s="12"/>
      <c r="DP29" s="12"/>
      <c r="DQ29" s="12">
        <v>103305221.68099861</v>
      </c>
      <c r="DR29" s="12">
        <v>22352485.547850206</v>
      </c>
      <c r="DS29" s="12"/>
      <c r="DT29" s="12"/>
      <c r="DU29" s="12"/>
      <c r="DV29" s="12"/>
      <c r="DW29" s="12"/>
      <c r="DX29" s="12"/>
      <c r="DY29" s="12"/>
      <c r="DZ29" s="12"/>
      <c r="EA29" s="12"/>
      <c r="EB29" s="12"/>
      <c r="EC29" s="12"/>
      <c r="ED29" s="12"/>
      <c r="EE29" s="12"/>
      <c r="EF29" s="12"/>
      <c r="EG29" s="12"/>
      <c r="EH29" s="12"/>
      <c r="EI29" s="12">
        <v>64793391.223300971</v>
      </c>
      <c r="EJ29" s="12">
        <v>27483920.17257319</v>
      </c>
      <c r="EK29" s="12">
        <v>3.0377650190930132</v>
      </c>
      <c r="EL29" s="12">
        <v>5.9380037936430226</v>
      </c>
      <c r="EM29" s="12">
        <v>2.9008560180567025</v>
      </c>
      <c r="EN29" s="12"/>
      <c r="EO29" s="12"/>
      <c r="EP29" s="12"/>
    </row>
    <row r="30" spans="1:146" x14ac:dyDescent="0.25">
      <c r="A30" s="25" t="s">
        <v>285</v>
      </c>
      <c r="B30" s="25" t="s">
        <v>286</v>
      </c>
      <c r="C30" s="17"/>
      <c r="D30" s="17"/>
      <c r="E30" s="17" t="s">
        <v>31</v>
      </c>
      <c r="F30" s="37">
        <v>16</v>
      </c>
      <c r="G30" s="37">
        <v>256</v>
      </c>
      <c r="H30" s="32"/>
      <c r="I30" s="32" t="s">
        <v>242</v>
      </c>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c r="BL30" s="12"/>
      <c r="BM30" s="12"/>
      <c r="BN30" s="12"/>
      <c r="BO30" s="12"/>
      <c r="BP30" s="12"/>
      <c r="BQ30" s="12"/>
      <c r="BR30" s="12"/>
      <c r="BS30" s="12"/>
      <c r="BT30" s="12"/>
      <c r="BU30" s="12"/>
      <c r="BV30" s="12"/>
      <c r="BW30" s="12"/>
      <c r="BX30" s="12"/>
      <c r="BY30" s="12"/>
      <c r="BZ30" s="12"/>
      <c r="CA30" s="12"/>
      <c r="CB30" s="12"/>
      <c r="CC30" s="12"/>
      <c r="CD30" s="12"/>
      <c r="CE30" s="12"/>
      <c r="CF30" s="12"/>
      <c r="CG30" s="12"/>
      <c r="CH30" s="12"/>
      <c r="CI30" s="12"/>
      <c r="CJ30" s="12"/>
      <c r="CK30" s="12"/>
      <c r="CL30" s="12"/>
      <c r="CM30" s="12"/>
      <c r="CN30" s="12"/>
      <c r="CO30" s="12"/>
      <c r="CP30" s="12"/>
      <c r="CQ30" s="12"/>
      <c r="CR30" s="12"/>
      <c r="CS30" s="12"/>
      <c r="CT30" s="12"/>
      <c r="CU30" s="12"/>
      <c r="CV30" s="12"/>
      <c r="CW30" s="12"/>
      <c r="CX30" s="12"/>
      <c r="CY30" s="12"/>
      <c r="CZ30" s="12"/>
      <c r="DA30" s="12"/>
      <c r="DB30" s="12"/>
      <c r="DC30" s="12"/>
      <c r="DD30" s="12"/>
      <c r="DE30" s="12"/>
      <c r="DF30" s="12"/>
      <c r="DG30" s="12"/>
      <c r="DH30" s="12"/>
      <c r="DI30" s="12"/>
      <c r="DJ30" s="12"/>
      <c r="DK30" s="12"/>
      <c r="DL30" s="12"/>
      <c r="DM30" s="12"/>
      <c r="DN30" s="12"/>
      <c r="DO30" s="12"/>
      <c r="DP30" s="12"/>
      <c r="DQ30" s="12"/>
      <c r="DR30" s="12"/>
      <c r="DS30" s="12"/>
      <c r="DT30" s="12"/>
      <c r="DU30" s="12"/>
      <c r="DV30" s="12"/>
      <c r="DW30" s="12"/>
      <c r="DX30" s="12"/>
      <c r="DY30" s="12"/>
      <c r="DZ30" s="12"/>
      <c r="EA30" s="12"/>
      <c r="EB30" s="12"/>
      <c r="EC30" s="12"/>
      <c r="ED30" s="12"/>
      <c r="EE30" s="12"/>
      <c r="EF30" s="12"/>
      <c r="EG30" s="12"/>
      <c r="EH30" s="12"/>
      <c r="EI30" s="12"/>
      <c r="EJ30" s="12"/>
      <c r="EK30" s="12"/>
      <c r="EL30" s="12"/>
      <c r="EM30" s="12"/>
      <c r="EN30" s="12"/>
      <c r="EO30" s="12"/>
      <c r="EP30" s="12"/>
    </row>
    <row r="31" spans="1:146" x14ac:dyDescent="0.25">
      <c r="A31" s="52" t="s">
        <v>287</v>
      </c>
      <c r="B31" s="52" t="s">
        <v>262</v>
      </c>
      <c r="C31" s="55"/>
      <c r="D31" s="55"/>
      <c r="E31" s="55" t="s">
        <v>31</v>
      </c>
      <c r="F31" s="37">
        <v>16</v>
      </c>
      <c r="G31" s="37">
        <v>256</v>
      </c>
      <c r="H31" s="53"/>
      <c r="I31" s="53" t="s">
        <v>233</v>
      </c>
      <c r="J31" s="12">
        <v>2320.5783633841888</v>
      </c>
      <c r="K31" s="12">
        <v>10835.917072475255</v>
      </c>
      <c r="L31" s="12">
        <v>824.16323766631297</v>
      </c>
      <c r="M31" s="12"/>
      <c r="N31" s="12"/>
      <c r="O31" s="12"/>
      <c r="P31" s="12">
        <v>0.11534231708372281</v>
      </c>
      <c r="Q31" s="12">
        <v>44449.633254603119</v>
      </c>
      <c r="R31" s="12"/>
      <c r="S31" s="12"/>
      <c r="T31" s="12">
        <v>136236.42024356627</v>
      </c>
      <c r="U31" s="12">
        <v>3.3037895191531637</v>
      </c>
      <c r="V31" s="12"/>
      <c r="W31" s="12"/>
      <c r="X31" s="12"/>
      <c r="Y31" s="12"/>
      <c r="Z31" s="12"/>
      <c r="AA31" s="12"/>
      <c r="AB31" s="12"/>
      <c r="AC31" s="12">
        <v>161.15232881044841</v>
      </c>
      <c r="AD31" s="12">
        <v>98.429479877862988</v>
      </c>
      <c r="AE31" s="12">
        <v>53691.875901975465</v>
      </c>
      <c r="AF31" s="12">
        <v>32777.409604741908</v>
      </c>
      <c r="AG31" s="12" t="s">
        <v>225</v>
      </c>
      <c r="AH31" s="12" t="s">
        <v>225</v>
      </c>
      <c r="AI31" s="12">
        <v>3.6462507199851453E-2</v>
      </c>
      <c r="AJ31" s="12" t="s">
        <v>225</v>
      </c>
      <c r="AK31" s="12" t="s">
        <v>225</v>
      </c>
      <c r="AL31" s="12">
        <v>0.81468649995548681</v>
      </c>
      <c r="AM31" s="12" t="s">
        <v>225</v>
      </c>
      <c r="AN31" s="12" t="s">
        <v>225</v>
      </c>
      <c r="AO31" s="12">
        <v>1.1353663048374671</v>
      </c>
      <c r="AP31" s="12">
        <v>6.5393389961702256E-2</v>
      </c>
      <c r="AQ31" s="12">
        <v>0.21159483867504184</v>
      </c>
      <c r="AR31" s="12">
        <v>3.7623378910466361</v>
      </c>
      <c r="AS31" s="12">
        <v>0.28317777958600154</v>
      </c>
      <c r="AT31" s="12">
        <v>5.4477220556101669</v>
      </c>
      <c r="AU31" s="12">
        <v>1.2339671776036352</v>
      </c>
      <c r="AV31" s="12">
        <v>1.8010990656534141E-2</v>
      </c>
      <c r="AW31" s="12">
        <v>0.80438794782804479</v>
      </c>
      <c r="AX31" s="12">
        <v>2.6476891760796879E-2</v>
      </c>
      <c r="AY31" s="12" t="s">
        <v>225</v>
      </c>
      <c r="AZ31" s="12" t="s">
        <v>225</v>
      </c>
      <c r="BA31" s="12" t="s">
        <v>225</v>
      </c>
      <c r="BB31" s="12" t="s">
        <v>225</v>
      </c>
      <c r="BC31" s="12" t="s">
        <v>225</v>
      </c>
      <c r="BD31" s="12" t="s">
        <v>225</v>
      </c>
      <c r="BE31" s="12" t="s">
        <v>225</v>
      </c>
      <c r="BF31" s="12" t="s">
        <v>225</v>
      </c>
      <c r="BG31" s="12" t="s">
        <v>225</v>
      </c>
      <c r="BH31" s="12" t="s">
        <v>225</v>
      </c>
      <c r="BI31" s="12" t="s">
        <v>225</v>
      </c>
      <c r="BJ31" s="12" t="s">
        <v>225</v>
      </c>
      <c r="BK31" s="12" t="s">
        <v>225</v>
      </c>
      <c r="BL31" s="12" t="s">
        <v>225</v>
      </c>
      <c r="BM31" s="12" t="s">
        <v>225</v>
      </c>
      <c r="BN31" s="12" t="s">
        <v>225</v>
      </c>
      <c r="BO31" s="12" t="s">
        <v>225</v>
      </c>
      <c r="BP31" s="12">
        <v>0.19307030478918666</v>
      </c>
      <c r="BQ31" s="12" t="s">
        <v>225</v>
      </c>
      <c r="BR31" s="12" t="s">
        <v>225</v>
      </c>
      <c r="BS31" s="12">
        <v>70.175006766059525</v>
      </c>
      <c r="BT31" s="12" t="s">
        <v>225</v>
      </c>
      <c r="BU31" s="12" t="s">
        <v>225</v>
      </c>
      <c r="BV31" s="12">
        <v>1156.3701042150258</v>
      </c>
      <c r="BW31" s="12" t="s">
        <v>225</v>
      </c>
      <c r="BX31" s="12" t="s">
        <v>225</v>
      </c>
      <c r="BY31" s="12">
        <v>1739.7510161400792</v>
      </c>
      <c r="BZ31" s="12">
        <v>6.8914620747356343</v>
      </c>
      <c r="CA31" s="12">
        <v>37.38112022607406</v>
      </c>
      <c r="CB31" s="12">
        <v>199363.33684311487</v>
      </c>
      <c r="CC31" s="12">
        <v>382.72701359162181</v>
      </c>
      <c r="CD31" s="12">
        <v>515576.04158683791</v>
      </c>
      <c r="CE31" s="12">
        <v>10980.608583999039</v>
      </c>
      <c r="CF31" s="12">
        <v>1170.2972126801053</v>
      </c>
      <c r="CG31" s="12">
        <v>70.155121798401936</v>
      </c>
      <c r="CH31" s="12">
        <v>120.62198105212774</v>
      </c>
      <c r="CI31" s="12" t="s">
        <v>225</v>
      </c>
      <c r="CJ31" s="12" t="s">
        <v>225</v>
      </c>
      <c r="CK31" s="12" t="s">
        <v>225</v>
      </c>
      <c r="CL31" s="12" t="s">
        <v>225</v>
      </c>
      <c r="CM31" s="12" t="s">
        <v>225</v>
      </c>
      <c r="CN31" s="12" t="s">
        <v>225</v>
      </c>
      <c r="CO31" s="12" t="s">
        <v>225</v>
      </c>
      <c r="CP31" s="12" t="s">
        <v>225</v>
      </c>
      <c r="CQ31" s="12" t="s">
        <v>225</v>
      </c>
      <c r="CR31" s="12" t="s">
        <v>225</v>
      </c>
      <c r="CS31" s="12" t="s">
        <v>225</v>
      </c>
      <c r="CT31" s="12" t="s">
        <v>225</v>
      </c>
      <c r="CU31" s="12" t="s">
        <v>225</v>
      </c>
      <c r="CV31" s="12" t="s">
        <v>225</v>
      </c>
      <c r="CW31" s="12" t="s">
        <v>225</v>
      </c>
      <c r="CX31" s="12" t="s">
        <v>225</v>
      </c>
      <c r="CY31" s="12" t="s">
        <v>225</v>
      </c>
      <c r="CZ31" s="12">
        <v>50.216717071339453</v>
      </c>
      <c r="DA31" s="12" t="s">
        <v>225</v>
      </c>
      <c r="DB31" s="12" t="s">
        <v>225</v>
      </c>
      <c r="DC31" s="12">
        <v>24638326.235783633</v>
      </c>
      <c r="DD31" s="12" t="s">
        <v>225</v>
      </c>
      <c r="DE31" s="12" t="s">
        <v>225</v>
      </c>
      <c r="DF31" s="12">
        <v>264671811.46185854</v>
      </c>
      <c r="DG31" s="12" t="s">
        <v>225</v>
      </c>
      <c r="DH31" s="12" t="s">
        <v>225</v>
      </c>
      <c r="DI31" s="12">
        <v>225434858.34119278</v>
      </c>
      <c r="DJ31" s="12">
        <v>49205645.669902913</v>
      </c>
      <c r="DK31" s="12">
        <v>169346847.60055479</v>
      </c>
      <c r="DL31" s="12">
        <v>379590119.14563107</v>
      </c>
      <c r="DM31" s="12">
        <v>45174261.348127604</v>
      </c>
      <c r="DN31" s="12">
        <v>434632229.63661581</v>
      </c>
      <c r="DO31" s="12">
        <v>107236722.6851595</v>
      </c>
      <c r="DP31" s="12">
        <v>93354356.10540916</v>
      </c>
      <c r="DQ31" s="12">
        <v>417177105.75312066</v>
      </c>
      <c r="DR31" s="12">
        <v>21850847.689320389</v>
      </c>
      <c r="DS31" s="12" t="s">
        <v>225</v>
      </c>
      <c r="DT31" s="12" t="s">
        <v>225</v>
      </c>
      <c r="DU31" s="12" t="s">
        <v>225</v>
      </c>
      <c r="DV31" s="12" t="s">
        <v>225</v>
      </c>
      <c r="DW31" s="12" t="s">
        <v>225</v>
      </c>
      <c r="DX31" s="12" t="s">
        <v>225</v>
      </c>
      <c r="DY31" s="12" t="s">
        <v>225</v>
      </c>
      <c r="DZ31" s="12" t="s">
        <v>225</v>
      </c>
      <c r="EA31" s="12" t="s">
        <v>225</v>
      </c>
      <c r="EB31" s="12" t="s">
        <v>225</v>
      </c>
      <c r="EC31" s="12" t="s">
        <v>225</v>
      </c>
      <c r="ED31" s="12" t="s">
        <v>225</v>
      </c>
      <c r="EE31" s="12" t="s">
        <v>225</v>
      </c>
      <c r="EF31" s="12" t="s">
        <v>225</v>
      </c>
      <c r="EG31" s="12" t="s">
        <v>225</v>
      </c>
      <c r="EH31" s="12" t="s">
        <v>225</v>
      </c>
      <c r="EI31" s="12" t="s">
        <v>225</v>
      </c>
      <c r="EJ31" s="12">
        <v>27695032.987517338</v>
      </c>
      <c r="EK31" s="12">
        <v>6.4101576193565002</v>
      </c>
      <c r="EL31" s="12">
        <v>13.852592474487027</v>
      </c>
      <c r="EM31" s="12">
        <v>7.4073272179177732</v>
      </c>
      <c r="EN31" s="12" t="s">
        <v>225</v>
      </c>
      <c r="EO31" s="12" t="s">
        <v>225</v>
      </c>
      <c r="EP31" s="12"/>
    </row>
    <row r="32" spans="1:146" x14ac:dyDescent="0.25">
      <c r="A32" s="52" t="s">
        <v>288</v>
      </c>
      <c r="B32" s="52" t="s">
        <v>289</v>
      </c>
      <c r="C32" s="55"/>
      <c r="D32" s="55"/>
      <c r="E32" s="55" t="s">
        <v>31</v>
      </c>
      <c r="F32" s="37">
        <v>16</v>
      </c>
      <c r="G32" s="37">
        <v>256</v>
      </c>
      <c r="H32" s="53"/>
      <c r="I32" s="53" t="s">
        <v>233</v>
      </c>
      <c r="J32" s="12">
        <v>2133.0554785020804</v>
      </c>
      <c r="K32" s="12">
        <v>12621.70357898755</v>
      </c>
      <c r="L32" s="12">
        <v>500.54048404717048</v>
      </c>
      <c r="M32" s="12"/>
      <c r="N32" s="12"/>
      <c r="O32" s="12"/>
      <c r="P32" s="12">
        <v>2094.07437413764</v>
      </c>
      <c r="Q32" s="12"/>
      <c r="R32" s="12"/>
      <c r="S32" s="12"/>
      <c r="T32" s="12">
        <v>162459.04531774929</v>
      </c>
      <c r="U32" s="12"/>
      <c r="V32" s="12"/>
      <c r="W32" s="12"/>
      <c r="X32" s="12"/>
      <c r="Y32" s="12"/>
      <c r="Z32" s="12">
        <v>650.94439556262239</v>
      </c>
      <c r="AA32" s="12"/>
      <c r="AB32" s="12"/>
      <c r="AC32" s="12"/>
      <c r="AD32" s="12">
        <v>98.099895326452369</v>
      </c>
      <c r="AE32" s="12">
        <v>52625.796075774007</v>
      </c>
      <c r="AF32" s="12">
        <v>22971.081789707117</v>
      </c>
      <c r="AG32" s="12"/>
      <c r="AH32" s="12"/>
      <c r="AI32" s="12">
        <v>5.8015591847533569E-2</v>
      </c>
      <c r="AJ32" s="12"/>
      <c r="AK32" s="12"/>
      <c r="AL32" s="12">
        <v>0.10011820714719465</v>
      </c>
      <c r="AM32" s="12"/>
      <c r="AN32" s="12"/>
      <c r="AO32" s="12">
        <v>1.5137568375367916</v>
      </c>
      <c r="AP32" s="12">
        <v>0.10091206989120531</v>
      </c>
      <c r="AQ32" s="12">
        <v>0.35800609680090445</v>
      </c>
      <c r="AR32" s="12">
        <v>9.2584890369217234</v>
      </c>
      <c r="AS32" s="12">
        <v>8.0955664659129831E-2</v>
      </c>
      <c r="AT32" s="12">
        <v>1.5394247021632408</v>
      </c>
      <c r="AU32" s="12">
        <v>0.26880766799238215</v>
      </c>
      <c r="AV32" s="12">
        <v>9.2604461684341402E-3</v>
      </c>
      <c r="AW32" s="12">
        <v>0.45979901222465525</v>
      </c>
      <c r="AX32" s="12">
        <v>4.7524571298679895E-2</v>
      </c>
      <c r="AY32" s="12"/>
      <c r="AZ32" s="12"/>
      <c r="BA32" s="12"/>
      <c r="BB32" s="12"/>
      <c r="BC32" s="12"/>
      <c r="BD32" s="12"/>
      <c r="BE32" s="12"/>
      <c r="BF32" s="12"/>
      <c r="BG32" s="12"/>
      <c r="BH32" s="12"/>
      <c r="BI32" s="12"/>
      <c r="BJ32" s="12"/>
      <c r="BK32" s="12"/>
      <c r="BL32" s="12"/>
      <c r="BM32" s="12"/>
      <c r="BN32" s="12"/>
      <c r="BO32" s="12">
        <v>6.0692403655926867E-2</v>
      </c>
      <c r="BP32" s="12">
        <v>0.21289253140852271</v>
      </c>
      <c r="BQ32" s="12"/>
      <c r="BR32" s="12"/>
      <c r="BS32" s="12">
        <v>90.649591122434927</v>
      </c>
      <c r="BT32" s="12"/>
      <c r="BU32" s="12"/>
      <c r="BV32" s="12">
        <v>43.845181473226141</v>
      </c>
      <c r="BW32" s="12"/>
      <c r="BX32" s="12"/>
      <c r="BY32" s="12">
        <v>31789.865275563487</v>
      </c>
      <c r="BZ32" s="12">
        <v>6.8916845362490147</v>
      </c>
      <c r="CA32" s="12">
        <v>38.021831811969584</v>
      </c>
      <c r="CB32" s="12">
        <v>152192.1625489236</v>
      </c>
      <c r="CC32" s="12">
        <v>992.308522508799</v>
      </c>
      <c r="CD32" s="12">
        <v>170231.5509146988</v>
      </c>
      <c r="CE32" s="12">
        <v>6878.9679951569351</v>
      </c>
      <c r="CF32" s="12">
        <v>3.4845917557427071</v>
      </c>
      <c r="CG32" s="12">
        <v>98.155477557654052</v>
      </c>
      <c r="CH32" s="12">
        <v>120.76113312052811</v>
      </c>
      <c r="CI32" s="12"/>
      <c r="CJ32" s="12"/>
      <c r="CK32" s="12"/>
      <c r="CL32" s="12"/>
      <c r="CM32" s="12"/>
      <c r="CN32" s="12"/>
      <c r="CO32" s="12"/>
      <c r="CP32" s="12"/>
      <c r="CQ32" s="12"/>
      <c r="CR32" s="12"/>
      <c r="CS32" s="12"/>
      <c r="CT32" s="12"/>
      <c r="CU32" s="12"/>
      <c r="CV32" s="12"/>
      <c r="CW32" s="12"/>
      <c r="CX32" s="12"/>
      <c r="CY32" s="12">
        <v>13.408708988098541</v>
      </c>
      <c r="CZ32" s="12">
        <v>1.1449320774607696</v>
      </c>
      <c r="DA32" s="12"/>
      <c r="DB32" s="12"/>
      <c r="DC32" s="12">
        <v>19892397.270457696</v>
      </c>
      <c r="DD32" s="12"/>
      <c r="DE32" s="12"/>
      <c r="DF32" s="12">
        <v>17541435.295423023</v>
      </c>
      <c r="DG32" s="12"/>
      <c r="DH32" s="12"/>
      <c r="DI32" s="12">
        <v>219605858.35228848</v>
      </c>
      <c r="DJ32" s="12">
        <v>56788756.238557562</v>
      </c>
      <c r="DK32" s="12">
        <v>129972005.2815534</v>
      </c>
      <c r="DL32" s="12">
        <v>468910227.70596391</v>
      </c>
      <c r="DM32" s="12">
        <v>47234537.986130372</v>
      </c>
      <c r="DN32" s="12">
        <v>196812754.5520111</v>
      </c>
      <c r="DO32" s="12">
        <v>87588216.366158113</v>
      </c>
      <c r="DP32" s="12">
        <v>89971332.793342575</v>
      </c>
      <c r="DQ32" s="12">
        <v>420745073.97503465</v>
      </c>
      <c r="DR32" s="12">
        <v>22523898.319001388</v>
      </c>
      <c r="DS32" s="12"/>
      <c r="DT32" s="12"/>
      <c r="DU32" s="12"/>
      <c r="DV32" s="12"/>
      <c r="DW32" s="12"/>
      <c r="DX32" s="12"/>
      <c r="DY32" s="12"/>
      <c r="DZ32" s="12"/>
      <c r="EA32" s="12"/>
      <c r="EB32" s="12"/>
      <c r="EC32" s="12"/>
      <c r="ED32" s="12"/>
      <c r="EE32" s="12"/>
      <c r="EF32" s="12"/>
      <c r="EG32" s="12"/>
      <c r="EH32" s="12"/>
      <c r="EI32" s="12">
        <v>70909202.108183086</v>
      </c>
      <c r="EJ32" s="12">
        <v>24894221.137309294</v>
      </c>
      <c r="EK32" s="12">
        <v>15.838649922680318</v>
      </c>
      <c r="EL32" s="12">
        <v>29.700857171163634</v>
      </c>
      <c r="EM32" s="12">
        <v>13.862528058642978</v>
      </c>
      <c r="EN32" s="12"/>
      <c r="EO32" s="12"/>
      <c r="EP32" s="12"/>
    </row>
    <row r="33" spans="1:146" x14ac:dyDescent="0.25">
      <c r="A33" s="52" t="s">
        <v>290</v>
      </c>
      <c r="B33" s="52" t="s">
        <v>291</v>
      </c>
      <c r="C33" s="55"/>
      <c r="D33" s="55"/>
      <c r="E33" s="55" t="s">
        <v>48</v>
      </c>
      <c r="F33" s="37">
        <v>16</v>
      </c>
      <c r="G33" s="37">
        <v>256</v>
      </c>
      <c r="H33" s="53"/>
      <c r="I33" s="53" t="s">
        <v>233</v>
      </c>
      <c r="J33" s="12">
        <v>2451.9736477115116</v>
      </c>
      <c r="K33" s="12">
        <v>3958.4476560306916</v>
      </c>
      <c r="L33" s="12">
        <v>176.40637183724445</v>
      </c>
      <c r="M33" s="12"/>
      <c r="N33" s="12"/>
      <c r="O33" s="12"/>
      <c r="P33" s="12">
        <v>4.0257331138149936E-2</v>
      </c>
      <c r="Q33" s="12">
        <v>3982.2374080581676</v>
      </c>
      <c r="R33" s="12"/>
      <c r="S33" s="12"/>
      <c r="T33" s="12">
        <v>7484.1598792354353</v>
      </c>
      <c r="U33" s="12"/>
      <c r="V33" s="12"/>
      <c r="W33" s="12"/>
      <c r="X33" s="12"/>
      <c r="Y33" s="12"/>
      <c r="Z33" s="12"/>
      <c r="AA33" s="12"/>
      <c r="AB33" s="12"/>
      <c r="AC33" s="12"/>
      <c r="AD33" s="12">
        <v>98.928407335899834</v>
      </c>
      <c r="AE33" s="12">
        <v>56858.586111259712</v>
      </c>
      <c r="AF33" s="12">
        <v>14590.53857065402</v>
      </c>
      <c r="AG33" s="12"/>
      <c r="AH33" s="12"/>
      <c r="AI33" s="12">
        <v>0.19654166257140987</v>
      </c>
      <c r="AJ33" s="12"/>
      <c r="AK33" s="12"/>
      <c r="AL33" s="12">
        <v>0.77845135813396427</v>
      </c>
      <c r="AM33" s="12"/>
      <c r="AN33" s="12">
        <v>1.0338270763989748</v>
      </c>
      <c r="AO33" s="12">
        <v>1.6139607583727533</v>
      </c>
      <c r="AP33" s="12">
        <v>0.22432312446062191</v>
      </c>
      <c r="AQ33" s="12">
        <v>0.85744145197027311</v>
      </c>
      <c r="AR33" s="12">
        <v>9.0716792926902663</v>
      </c>
      <c r="AS33" s="12">
        <v>0.1034458465243981</v>
      </c>
      <c r="AT33" s="12"/>
      <c r="AU33" s="12">
        <v>0.21166722205006244</v>
      </c>
      <c r="AV33" s="12"/>
      <c r="AW33" s="12">
        <v>0.42868496553485519</v>
      </c>
      <c r="AX33" s="12">
        <v>3.8116414928590546E-2</v>
      </c>
      <c r="AY33" s="12"/>
      <c r="AZ33" s="12"/>
      <c r="BA33" s="12"/>
      <c r="BB33" s="12"/>
      <c r="BC33" s="12"/>
      <c r="BD33" s="12"/>
      <c r="BE33" s="12">
        <v>1.1608325871091778</v>
      </c>
      <c r="BF33" s="12"/>
      <c r="BG33" s="12"/>
      <c r="BH33" s="12"/>
      <c r="BI33" s="12"/>
      <c r="BJ33" s="12"/>
      <c r="BK33" s="12"/>
      <c r="BL33" s="12"/>
      <c r="BM33" s="12"/>
      <c r="BN33" s="12"/>
      <c r="BO33" s="12">
        <v>0.10062477399176688</v>
      </c>
      <c r="BP33" s="12">
        <v>0.78892190559730624</v>
      </c>
      <c r="BQ33" s="12"/>
      <c r="BR33" s="12"/>
      <c r="BS33" s="12">
        <v>70.163162515980332</v>
      </c>
      <c r="BT33" s="12"/>
      <c r="BU33" s="12"/>
      <c r="BV33" s="12">
        <v>103.73248801734464</v>
      </c>
      <c r="BW33" s="12"/>
      <c r="BX33" s="12">
        <v>31832.052962095549</v>
      </c>
      <c r="BY33" s="12">
        <v>8934.2796033819031</v>
      </c>
      <c r="BZ33" s="12">
        <v>1206.217809459315</v>
      </c>
      <c r="CA33" s="12">
        <v>1242.3523309594202</v>
      </c>
      <c r="CB33" s="12">
        <v>211902.7715982821</v>
      </c>
      <c r="CC33" s="12">
        <v>140.97939221692766</v>
      </c>
      <c r="CD33" s="12"/>
      <c r="CE33" s="12">
        <v>2088.1546116919462</v>
      </c>
      <c r="CF33" s="12"/>
      <c r="CG33" s="12">
        <v>38.654931282887596</v>
      </c>
      <c r="CH33" s="12">
        <v>113.81583067801594</v>
      </c>
      <c r="CI33" s="12"/>
      <c r="CJ33" s="12"/>
      <c r="CK33" s="12"/>
      <c r="CL33" s="12"/>
      <c r="CM33" s="12"/>
      <c r="CN33" s="12"/>
      <c r="CO33" s="12">
        <v>171798.96382414698</v>
      </c>
      <c r="CP33" s="12"/>
      <c r="CQ33" s="12"/>
      <c r="CR33" s="12"/>
      <c r="CS33" s="12"/>
      <c r="CT33" s="12"/>
      <c r="CU33" s="12"/>
      <c r="CV33" s="12"/>
      <c r="CW33" s="12"/>
      <c r="CX33" s="12"/>
      <c r="CY33" s="12">
        <v>13.307294512526472</v>
      </c>
      <c r="CZ33" s="12">
        <v>12.080480515794036</v>
      </c>
      <c r="DA33" s="12"/>
      <c r="DB33" s="12"/>
      <c r="DC33" s="12">
        <v>25097350.923717059</v>
      </c>
      <c r="DD33" s="12"/>
      <c r="DE33" s="12"/>
      <c r="DF33" s="12">
        <v>63440728.410540916</v>
      </c>
      <c r="DG33" s="12"/>
      <c r="DH33" s="12">
        <v>954581844.14979196</v>
      </c>
      <c r="DI33" s="12">
        <v>198820783.04576975</v>
      </c>
      <c r="DJ33" s="12">
        <v>109436536.0110957</v>
      </c>
      <c r="DK33" s="12">
        <v>194722107.29542303</v>
      </c>
      <c r="DL33" s="12">
        <v>393308810.47434121</v>
      </c>
      <c r="DM33" s="12">
        <v>45607613.603328712</v>
      </c>
      <c r="DN33" s="12"/>
      <c r="DO33" s="12">
        <v>92531582.757281557</v>
      </c>
      <c r="DP33" s="12"/>
      <c r="DQ33" s="12">
        <v>1434048253.5145631</v>
      </c>
      <c r="DR33" s="12">
        <v>21982181.015256587</v>
      </c>
      <c r="DS33" s="12"/>
      <c r="DT33" s="12"/>
      <c r="DU33" s="12"/>
      <c r="DV33" s="12"/>
      <c r="DW33" s="12"/>
      <c r="DX33" s="12"/>
      <c r="DY33" s="12">
        <v>318397430.05825245</v>
      </c>
      <c r="DZ33" s="12"/>
      <c r="EA33" s="12"/>
      <c r="EB33" s="12"/>
      <c r="EC33" s="12"/>
      <c r="ED33" s="12"/>
      <c r="EE33" s="12"/>
      <c r="EF33" s="12"/>
      <c r="EG33" s="12"/>
      <c r="EH33" s="12"/>
      <c r="EI33" s="12">
        <v>65780209.087378643</v>
      </c>
      <c r="EJ33" s="12">
        <v>28086794.6518724</v>
      </c>
      <c r="EK33" s="12">
        <v>5.7774564367188495</v>
      </c>
      <c r="EL33" s="12">
        <v>9.2931609931354657</v>
      </c>
      <c r="EM33" s="12">
        <v>3.5175289377052903</v>
      </c>
      <c r="EN33" s="12"/>
      <c r="EO33" s="12"/>
      <c r="EP33" s="12"/>
    </row>
    <row r="34" spans="1:146" x14ac:dyDescent="0.25">
      <c r="A34" s="52" t="s">
        <v>292</v>
      </c>
      <c r="B34" s="52" t="s">
        <v>293</v>
      </c>
      <c r="C34" s="55"/>
      <c r="D34" s="55"/>
      <c r="E34" s="55" t="s">
        <v>31</v>
      </c>
      <c r="F34" s="37">
        <v>16</v>
      </c>
      <c r="G34" s="37">
        <v>256</v>
      </c>
      <c r="H34" s="53"/>
      <c r="I34" s="53" t="s">
        <v>233</v>
      </c>
      <c r="J34" s="12">
        <v>2552.9348127600556</v>
      </c>
      <c r="K34" s="12">
        <v>8282.1746395789942</v>
      </c>
      <c r="L34" s="12">
        <v>447.53350578273387</v>
      </c>
      <c r="M34" s="12"/>
      <c r="N34" s="12"/>
      <c r="O34" s="12"/>
      <c r="P34" s="12">
        <v>2.7580955107262635</v>
      </c>
      <c r="Q34" s="12"/>
      <c r="R34" s="12"/>
      <c r="S34" s="12"/>
      <c r="T34" s="12">
        <v>21988.573793516174</v>
      </c>
      <c r="U34" s="12"/>
      <c r="V34" s="12"/>
      <c r="W34" s="12"/>
      <c r="X34" s="12"/>
      <c r="Y34" s="12"/>
      <c r="Z34" s="12"/>
      <c r="AA34" s="12"/>
      <c r="AB34" s="12"/>
      <c r="AC34" s="12"/>
      <c r="AD34" s="12">
        <v>97.933679824036147</v>
      </c>
      <c r="AE34" s="12">
        <v>47310.643589500098</v>
      </c>
      <c r="AF34" s="12">
        <v>15477.312854128655</v>
      </c>
      <c r="AG34" s="12">
        <v>3.9563711126493373</v>
      </c>
      <c r="AH34" s="12"/>
      <c r="AI34" s="12">
        <v>0.17454919145601927</v>
      </c>
      <c r="AJ34" s="12"/>
      <c r="AK34" s="12"/>
      <c r="AL34" s="12">
        <v>9.8092930165193257E-2</v>
      </c>
      <c r="AM34" s="12"/>
      <c r="AN34" s="12">
        <v>13.092354274568883</v>
      </c>
      <c r="AO34" s="12">
        <v>1.307580122233301</v>
      </c>
      <c r="AP34" s="12">
        <v>0.30302949541170171</v>
      </c>
      <c r="AQ34" s="12">
        <v>0.82828736963728822</v>
      </c>
      <c r="AR34" s="12">
        <v>18.945567818967302</v>
      </c>
      <c r="AS34" s="12">
        <v>5.8451728489638387E-2</v>
      </c>
      <c r="AT34" s="12">
        <v>4.6867491511027586</v>
      </c>
      <c r="AU34" s="12">
        <v>0.27563336930855298</v>
      </c>
      <c r="AV34" s="12"/>
      <c r="AW34" s="12">
        <v>0.80967430052781009</v>
      </c>
      <c r="AX34" s="12">
        <v>4.2527247194333546E-2</v>
      </c>
      <c r="AY34" s="12"/>
      <c r="AZ34" s="12"/>
      <c r="BA34" s="12"/>
      <c r="BB34" s="12"/>
      <c r="BC34" s="12"/>
      <c r="BD34" s="12"/>
      <c r="BE34" s="12"/>
      <c r="BF34" s="12"/>
      <c r="BG34" s="12"/>
      <c r="BH34" s="12"/>
      <c r="BI34" s="12"/>
      <c r="BJ34" s="12"/>
      <c r="BK34" s="12"/>
      <c r="BL34" s="12"/>
      <c r="BM34" s="12"/>
      <c r="BN34" s="12"/>
      <c r="BO34" s="12">
        <v>0.11465832959205138</v>
      </c>
      <c r="BP34" s="12">
        <v>0.75448492431619363</v>
      </c>
      <c r="BQ34" s="12">
        <v>117737.39554671518</v>
      </c>
      <c r="BR34" s="12"/>
      <c r="BS34" s="12">
        <v>81.85449661457055</v>
      </c>
      <c r="BT34" s="12"/>
      <c r="BU34" s="12"/>
      <c r="BV34" s="12">
        <v>17.804667438609201</v>
      </c>
      <c r="BW34" s="12"/>
      <c r="BX34" s="12">
        <v>24773.556060647981</v>
      </c>
      <c r="BY34" s="12">
        <v>4506.7325597278968</v>
      </c>
      <c r="BZ34" s="12">
        <v>165.90691365796457</v>
      </c>
      <c r="CA34" s="12">
        <v>55.575442040945575</v>
      </c>
      <c r="CB34" s="12">
        <v>494323.34634128405</v>
      </c>
      <c r="CC34" s="12">
        <v>727.95641444568992</v>
      </c>
      <c r="CD34" s="12">
        <v>292864.48706080357</v>
      </c>
      <c r="CE34" s="12">
        <v>7976.6199219051023</v>
      </c>
      <c r="CF34" s="12"/>
      <c r="CG34" s="12">
        <v>48.088595730974539</v>
      </c>
      <c r="CH34" s="12">
        <v>132.94141224847235</v>
      </c>
      <c r="CI34" s="12"/>
      <c r="CJ34" s="12"/>
      <c r="CK34" s="12"/>
      <c r="CL34" s="12"/>
      <c r="CM34" s="12"/>
      <c r="CN34" s="12"/>
      <c r="CO34" s="12"/>
      <c r="CP34" s="12"/>
      <c r="CQ34" s="12"/>
      <c r="CR34" s="12"/>
      <c r="CS34" s="12"/>
      <c r="CT34" s="12"/>
      <c r="CU34" s="12"/>
      <c r="CV34" s="12"/>
      <c r="CW34" s="12"/>
      <c r="CX34" s="12"/>
      <c r="CY34" s="12">
        <v>13.325298998982495</v>
      </c>
      <c r="CZ34" s="12">
        <v>1.1604329318717856</v>
      </c>
      <c r="DA34" s="12">
        <v>339593458.98305082</v>
      </c>
      <c r="DB34" s="12"/>
      <c r="DC34" s="12">
        <v>27010182.923717059</v>
      </c>
      <c r="DD34" s="12"/>
      <c r="DE34" s="12"/>
      <c r="DF34" s="12">
        <v>20668052.416088767</v>
      </c>
      <c r="DG34" s="12"/>
      <c r="DH34" s="12">
        <v>1127021558.0582523</v>
      </c>
      <c r="DI34" s="12">
        <v>167235362.44105411</v>
      </c>
      <c r="DJ34" s="12">
        <v>110777609.58668517</v>
      </c>
      <c r="DK34" s="12">
        <v>214117411.50624132</v>
      </c>
      <c r="DL34" s="12">
        <v>394962605.98058254</v>
      </c>
      <c r="DM34" s="12">
        <v>44743136.044382803</v>
      </c>
      <c r="DN34" s="12">
        <v>295738108.09431344</v>
      </c>
      <c r="DO34" s="12">
        <v>94294510.246879339</v>
      </c>
      <c r="DP34" s="12"/>
      <c r="DQ34" s="12">
        <v>119520581.23717059</v>
      </c>
      <c r="DR34" s="12">
        <v>22093659.25104022</v>
      </c>
      <c r="DS34" s="12"/>
      <c r="DT34" s="12"/>
      <c r="DU34" s="12"/>
      <c r="DV34" s="12"/>
      <c r="DW34" s="12"/>
      <c r="DX34" s="12"/>
      <c r="DY34" s="12"/>
      <c r="DZ34" s="12"/>
      <c r="EA34" s="12"/>
      <c r="EB34" s="12"/>
      <c r="EC34" s="12"/>
      <c r="ED34" s="12"/>
      <c r="EE34" s="12"/>
      <c r="EF34" s="12"/>
      <c r="EG34" s="12"/>
      <c r="EH34" s="12"/>
      <c r="EI34" s="12">
        <v>63980735.733703189</v>
      </c>
      <c r="EJ34" s="12">
        <v>25319392.754507627</v>
      </c>
      <c r="EK34" s="12">
        <v>8.9693094194041887</v>
      </c>
      <c r="EL34" s="12">
        <v>15.959534935475411</v>
      </c>
      <c r="EM34" s="12">
        <v>6.9906494383554092</v>
      </c>
      <c r="EN34" s="12"/>
      <c r="EO34" s="12"/>
      <c r="EP34" s="12"/>
    </row>
    <row r="35" spans="1:146" x14ac:dyDescent="0.25">
      <c r="A35" s="25" t="s">
        <v>294</v>
      </c>
      <c r="B35" s="25" t="s">
        <v>295</v>
      </c>
      <c r="C35" s="17"/>
      <c r="D35" s="17"/>
      <c r="E35" s="17" t="s">
        <v>48</v>
      </c>
      <c r="F35" s="68">
        <v>32</v>
      </c>
      <c r="G35" s="68" t="s">
        <v>231</v>
      </c>
      <c r="H35" s="32"/>
      <c r="I35" s="32" t="s">
        <v>242</v>
      </c>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c r="BL35" s="12"/>
      <c r="BM35" s="12"/>
      <c r="BN35" s="12"/>
      <c r="BO35" s="12"/>
      <c r="BP35" s="12"/>
      <c r="BQ35" s="12"/>
      <c r="BR35" s="12"/>
      <c r="BS35" s="12"/>
      <c r="BT35" s="12"/>
      <c r="BU35" s="12"/>
      <c r="BV35" s="12"/>
      <c r="BW35" s="12"/>
      <c r="BX35" s="12"/>
      <c r="BY35" s="12"/>
      <c r="BZ35" s="12"/>
      <c r="CA35" s="12"/>
      <c r="CB35" s="12"/>
      <c r="CC35" s="12"/>
      <c r="CD35" s="12"/>
      <c r="CE35" s="12"/>
      <c r="CF35" s="12"/>
      <c r="CG35" s="12"/>
      <c r="CH35" s="12"/>
      <c r="CI35" s="12"/>
      <c r="CJ35" s="12"/>
      <c r="CK35" s="12"/>
      <c r="CL35" s="12"/>
      <c r="CM35" s="12"/>
      <c r="CN35" s="12"/>
      <c r="CO35" s="12"/>
      <c r="CP35" s="12"/>
      <c r="CQ35" s="12"/>
      <c r="CR35" s="12"/>
      <c r="CS35" s="12"/>
      <c r="CT35" s="12"/>
      <c r="CU35" s="12"/>
      <c r="CV35" s="12"/>
      <c r="CW35" s="12"/>
      <c r="CX35" s="12"/>
      <c r="CY35" s="12"/>
      <c r="CZ35" s="12"/>
      <c r="DA35" s="12"/>
      <c r="DB35" s="12"/>
      <c r="DC35" s="12"/>
      <c r="DD35" s="12"/>
      <c r="DE35" s="12"/>
      <c r="DF35" s="12"/>
      <c r="DG35" s="12"/>
      <c r="DH35" s="12"/>
      <c r="DI35" s="12"/>
      <c r="DJ35" s="12"/>
      <c r="DK35" s="12"/>
      <c r="DL35" s="12"/>
      <c r="DM35" s="12"/>
      <c r="DN35" s="12"/>
      <c r="DO35" s="12"/>
      <c r="DP35" s="12"/>
      <c r="DQ35" s="12"/>
      <c r="DR35" s="12"/>
      <c r="DS35" s="12"/>
      <c r="DT35" s="12"/>
      <c r="DU35" s="12"/>
      <c r="DV35" s="12"/>
      <c r="DW35" s="12"/>
      <c r="DX35" s="12"/>
      <c r="DY35" s="12"/>
      <c r="DZ35" s="12"/>
      <c r="EA35" s="12"/>
      <c r="EB35" s="12"/>
      <c r="EC35" s="12"/>
      <c r="ED35" s="12"/>
      <c r="EE35" s="12"/>
      <c r="EF35" s="12"/>
      <c r="EG35" s="12"/>
      <c r="EH35" s="12"/>
      <c r="EI35" s="12"/>
      <c r="EJ35" s="12"/>
      <c r="EK35" s="12"/>
      <c r="EL35" s="12"/>
      <c r="EM35" s="12"/>
      <c r="EN35" s="12"/>
      <c r="EO35" s="12"/>
      <c r="EP35" s="12"/>
    </row>
    <row r="36" spans="1:146" x14ac:dyDescent="0.25">
      <c r="A36" s="52" t="s">
        <v>296</v>
      </c>
      <c r="B36" s="52" t="s">
        <v>297</v>
      </c>
      <c r="C36" s="55"/>
      <c r="D36" s="55"/>
      <c r="E36" s="55" t="s">
        <v>349</v>
      </c>
      <c r="F36" s="68">
        <v>32</v>
      </c>
      <c r="G36" s="68" t="s">
        <v>231</v>
      </c>
      <c r="H36" s="53"/>
      <c r="I36" s="53" t="s">
        <v>233</v>
      </c>
      <c r="J36" s="12">
        <v>6086.2011095700418</v>
      </c>
      <c r="K36" s="12">
        <v>19274.995015148124</v>
      </c>
      <c r="L36" s="12">
        <v>243.17128037396671</v>
      </c>
      <c r="M36" s="12"/>
      <c r="N36" s="12"/>
      <c r="O36" s="12"/>
      <c r="P36" s="12"/>
      <c r="Q36" s="12">
        <v>46680.486565538798</v>
      </c>
      <c r="R36" s="12"/>
      <c r="S36" s="12"/>
      <c r="T36" s="12">
        <v>102677.90891702262</v>
      </c>
      <c r="U36" s="12"/>
      <c r="V36" s="12"/>
      <c r="W36" s="12"/>
      <c r="X36" s="12"/>
      <c r="Y36" s="12"/>
      <c r="Z36" s="12"/>
      <c r="AA36" s="12"/>
      <c r="AB36" s="12"/>
      <c r="AC36" s="12"/>
      <c r="AD36" s="12">
        <v>98.957106620721206</v>
      </c>
      <c r="AE36" s="12">
        <v>41271.169293330378</v>
      </c>
      <c r="AF36" s="12">
        <v>29450.119410128467</v>
      </c>
      <c r="AG36" s="12"/>
      <c r="AH36" s="12"/>
      <c r="AI36" s="12">
        <v>3.3419846430391073E-2</v>
      </c>
      <c r="AJ36" s="12"/>
      <c r="AK36" s="12">
        <v>1.2268545473816688</v>
      </c>
      <c r="AL36" s="12">
        <v>2.0487592777954782</v>
      </c>
      <c r="AM36" s="12"/>
      <c r="AN36" s="12">
        <v>7.9870769601164877</v>
      </c>
      <c r="AO36" s="12">
        <v>7.023684465388802E-2</v>
      </c>
      <c r="AP36" s="12"/>
      <c r="AQ36" s="12"/>
      <c r="AR36" s="12">
        <v>14.068804428936136</v>
      </c>
      <c r="AS36" s="12">
        <v>7.6889524090489686E-2</v>
      </c>
      <c r="AT36" s="12"/>
      <c r="AU36" s="12">
        <v>0.3673988301643128</v>
      </c>
      <c r="AV36" s="12"/>
      <c r="AW36" s="12"/>
      <c r="AX36" s="12">
        <v>4.8247441524386453E-2</v>
      </c>
      <c r="AY36" s="12"/>
      <c r="AZ36" s="12"/>
      <c r="BA36" s="12"/>
      <c r="BB36" s="12"/>
      <c r="BC36" s="12"/>
      <c r="BD36" s="12"/>
      <c r="BE36" s="12"/>
      <c r="BF36" s="12"/>
      <c r="BG36" s="12"/>
      <c r="BH36" s="12"/>
      <c r="BI36" s="12"/>
      <c r="BJ36" s="12"/>
      <c r="BK36" s="12"/>
      <c r="BL36" s="12"/>
      <c r="BM36" s="12"/>
      <c r="BN36" s="12"/>
      <c r="BO36" s="12">
        <v>5.4180781631492085E-2</v>
      </c>
      <c r="BP36" s="12">
        <v>0.42665779791494751</v>
      </c>
      <c r="BQ36" s="12"/>
      <c r="BR36" s="12"/>
      <c r="BS36" s="12">
        <v>64.31208544467701</v>
      </c>
      <c r="BT36" s="12"/>
      <c r="BU36" s="12">
        <v>3.8101531116137446</v>
      </c>
      <c r="BV36" s="12">
        <v>4895.6951171416185</v>
      </c>
      <c r="BW36" s="12"/>
      <c r="BX36" s="12">
        <v>23400.348658456551</v>
      </c>
      <c r="BY36" s="12">
        <v>1498.9046717143915</v>
      </c>
      <c r="BZ36" s="12"/>
      <c r="CA36" s="12"/>
      <c r="CB36" s="12">
        <v>509118.98483419575</v>
      </c>
      <c r="CC36" s="12">
        <v>99.889581740574982</v>
      </c>
      <c r="CD36" s="12"/>
      <c r="CE36" s="12">
        <v>13811.990958939436</v>
      </c>
      <c r="CF36" s="12"/>
      <c r="CG36" s="12"/>
      <c r="CH36" s="12">
        <v>124.92912791633773</v>
      </c>
      <c r="CI36" s="12"/>
      <c r="CJ36" s="12"/>
      <c r="CK36" s="12"/>
      <c r="CL36" s="12"/>
      <c r="CM36" s="12"/>
      <c r="CN36" s="12"/>
      <c r="CO36" s="12"/>
      <c r="CP36" s="12"/>
      <c r="CQ36" s="12"/>
      <c r="CR36" s="12"/>
      <c r="CS36" s="12"/>
      <c r="CT36" s="12"/>
      <c r="CU36" s="12"/>
      <c r="CV36" s="12"/>
      <c r="CW36" s="12"/>
      <c r="CX36" s="12"/>
      <c r="CY36" s="12">
        <v>13.410018110477202</v>
      </c>
      <c r="CZ36" s="12">
        <v>13.199823669815434</v>
      </c>
      <c r="DA36" s="12"/>
      <c r="DB36" s="12"/>
      <c r="DC36" s="12">
        <v>22609118.979195561</v>
      </c>
      <c r="DD36" s="12"/>
      <c r="DE36" s="12">
        <v>139906425.2631579</v>
      </c>
      <c r="DF36" s="12">
        <v>23827687.500693481</v>
      </c>
      <c r="DG36" s="12"/>
      <c r="DH36" s="12">
        <v>788564436.68238556</v>
      </c>
      <c r="DI36" s="12">
        <v>163895883.98335645</v>
      </c>
      <c r="DJ36" s="12"/>
      <c r="DK36" s="12"/>
      <c r="DL36" s="12">
        <v>399012396.73786408</v>
      </c>
      <c r="DM36" s="12">
        <v>44811989.747572817</v>
      </c>
      <c r="DN36" s="12"/>
      <c r="DO36" s="12">
        <v>91005013.214979202</v>
      </c>
      <c r="DP36" s="12"/>
      <c r="DQ36" s="12"/>
      <c r="DR36" s="12">
        <v>20482033.797503468</v>
      </c>
      <c r="DS36" s="12"/>
      <c r="DT36" s="12"/>
      <c r="DU36" s="12"/>
      <c r="DV36" s="12"/>
      <c r="DW36" s="12"/>
      <c r="DX36" s="12"/>
      <c r="DY36" s="12"/>
      <c r="DZ36" s="12"/>
      <c r="EA36" s="12"/>
      <c r="EB36" s="12"/>
      <c r="EC36" s="12"/>
      <c r="ED36" s="12"/>
      <c r="EE36" s="12"/>
      <c r="EF36" s="12"/>
      <c r="EG36" s="12"/>
      <c r="EH36" s="12"/>
      <c r="EI36" s="12">
        <v>63712331.273231626</v>
      </c>
      <c r="EJ36" s="12">
        <v>27007944.610263523</v>
      </c>
      <c r="EK36" s="12">
        <v>16.53535022807327</v>
      </c>
      <c r="EL36" s="12">
        <v>36.441609313965998</v>
      </c>
      <c r="EM36" s="12">
        <v>19.906959425873893</v>
      </c>
      <c r="EN36" s="12"/>
      <c r="EO36" s="12"/>
      <c r="EP36" s="12"/>
    </row>
    <row r="37" spans="1:146" x14ac:dyDescent="0.25">
      <c r="A37" s="52" t="s">
        <v>298</v>
      </c>
      <c r="B37" s="52" t="s">
        <v>299</v>
      </c>
      <c r="C37" s="55"/>
      <c r="D37" s="55"/>
      <c r="E37" s="55" t="s">
        <v>48</v>
      </c>
      <c r="F37" s="37">
        <v>16</v>
      </c>
      <c r="G37" s="37">
        <v>256</v>
      </c>
      <c r="H37" s="53"/>
      <c r="I37" s="53" t="s">
        <v>233</v>
      </c>
      <c r="J37" s="12">
        <v>3528.3259361997225</v>
      </c>
      <c r="K37" s="12">
        <v>6362.67763864681</v>
      </c>
      <c r="L37" s="12">
        <v>206.63756253124075</v>
      </c>
      <c r="M37" s="12"/>
      <c r="N37" s="12"/>
      <c r="O37" s="12"/>
      <c r="P37" s="12">
        <v>0.16989080902229486</v>
      </c>
      <c r="Q37" s="12">
        <v>9710.3748864167119</v>
      </c>
      <c r="R37" s="12"/>
      <c r="S37" s="12"/>
      <c r="T37" s="12"/>
      <c r="U37" s="12"/>
      <c r="V37" s="12"/>
      <c r="W37" s="12"/>
      <c r="X37" s="12"/>
      <c r="Y37" s="12"/>
      <c r="Z37" s="12">
        <v>33512.619487604701</v>
      </c>
      <c r="AA37" s="12"/>
      <c r="AB37" s="12"/>
      <c r="AC37" s="12"/>
      <c r="AD37" s="12">
        <v>98.288919549812832</v>
      </c>
      <c r="AE37" s="12">
        <v>43276.193032706367</v>
      </c>
      <c r="AF37" s="12">
        <v>15419.963806566911</v>
      </c>
      <c r="AG37" s="12">
        <v>2.6096368214128409</v>
      </c>
      <c r="AH37" s="12"/>
      <c r="AI37" s="12">
        <v>0.15103368477844864</v>
      </c>
      <c r="AJ37" s="12"/>
      <c r="AK37" s="12">
        <v>3.7491370700925164</v>
      </c>
      <c r="AL37" s="12">
        <v>1.0632603718107831</v>
      </c>
      <c r="AM37" s="12"/>
      <c r="AN37" s="12">
        <v>17.707810095132157</v>
      </c>
      <c r="AO37" s="12">
        <v>9.1774447301944034E-2</v>
      </c>
      <c r="AP37" s="12">
        <v>0.21628112117786122</v>
      </c>
      <c r="AQ37" s="12">
        <v>1.1481968033309293</v>
      </c>
      <c r="AR37" s="12">
        <v>15.092941761423575</v>
      </c>
      <c r="AS37" s="12">
        <v>0.99925426470632139</v>
      </c>
      <c r="AT37" s="12">
        <v>0.59439906473988069</v>
      </c>
      <c r="AU37" s="12">
        <v>0.40745506725764213</v>
      </c>
      <c r="AV37" s="12">
        <v>3.5178887658923248E-2</v>
      </c>
      <c r="AW37" s="12"/>
      <c r="AX37" s="12">
        <v>7.3672141992564236E-2</v>
      </c>
      <c r="AY37" s="12"/>
      <c r="AZ37" s="12"/>
      <c r="BA37" s="12"/>
      <c r="BB37" s="12"/>
      <c r="BC37" s="12"/>
      <c r="BD37" s="12"/>
      <c r="BE37" s="12"/>
      <c r="BF37" s="12"/>
      <c r="BG37" s="12"/>
      <c r="BH37" s="12"/>
      <c r="BI37" s="12"/>
      <c r="BJ37" s="12"/>
      <c r="BK37" s="12"/>
      <c r="BL37" s="12"/>
      <c r="BM37" s="12"/>
      <c r="BN37" s="12"/>
      <c r="BO37" s="12">
        <v>0.11630079846083263</v>
      </c>
      <c r="BP37" s="12">
        <v>1.2147673261870668</v>
      </c>
      <c r="BQ37" s="12">
        <v>2191.0213456197398</v>
      </c>
      <c r="BR37" s="12"/>
      <c r="BS37" s="12">
        <v>84.796969863173231</v>
      </c>
      <c r="BT37" s="12"/>
      <c r="BU37" s="12">
        <v>0</v>
      </c>
      <c r="BV37" s="12">
        <v>212.86176047299142</v>
      </c>
      <c r="BW37" s="12"/>
      <c r="BX37" s="12">
        <v>13112.590374437536</v>
      </c>
      <c r="BY37" s="12">
        <v>1330.9572329607936</v>
      </c>
      <c r="BZ37" s="12">
        <v>6.8889056151841421</v>
      </c>
      <c r="CA37" s="12">
        <v>801.19284158143762</v>
      </c>
      <c r="CB37" s="12">
        <v>523237.34997595596</v>
      </c>
      <c r="CC37" s="12">
        <v>55998.053732947708</v>
      </c>
      <c r="CD37" s="12">
        <v>44776.959428478382</v>
      </c>
      <c r="CE37" s="12">
        <v>7537.0188626330873</v>
      </c>
      <c r="CF37" s="12">
        <v>20.968709773721287</v>
      </c>
      <c r="CG37" s="12"/>
      <c r="CH37" s="12">
        <v>1624.6497684734313</v>
      </c>
      <c r="CI37" s="12"/>
      <c r="CJ37" s="12"/>
      <c r="CK37" s="12"/>
      <c r="CL37" s="12"/>
      <c r="CM37" s="12"/>
      <c r="CN37" s="12"/>
      <c r="CO37" s="12"/>
      <c r="CP37" s="12"/>
      <c r="CQ37" s="12"/>
      <c r="CR37" s="12"/>
      <c r="CS37" s="12"/>
      <c r="CT37" s="12"/>
      <c r="CU37" s="12"/>
      <c r="CV37" s="12"/>
      <c r="CW37" s="12"/>
      <c r="CX37" s="12"/>
      <c r="CY37" s="12">
        <v>13.226087350658064</v>
      </c>
      <c r="CZ37" s="12">
        <v>24.921388939337106</v>
      </c>
      <c r="DA37" s="12">
        <v>850667414.90152562</v>
      </c>
      <c r="DB37" s="12"/>
      <c r="DC37" s="12">
        <v>26559668.371705964</v>
      </c>
      <c r="DD37" s="12"/>
      <c r="DE37" s="12">
        <v>439004871.54507631</v>
      </c>
      <c r="DF37" s="12">
        <v>81566153.320388347</v>
      </c>
      <c r="DG37" s="12"/>
      <c r="DH37" s="12">
        <v>987051256.54368937</v>
      </c>
      <c r="DI37" s="12">
        <v>162375949.84743413</v>
      </c>
      <c r="DJ37" s="12">
        <v>88835081.941747576</v>
      </c>
      <c r="DK37" s="12">
        <v>180522962.5520111</v>
      </c>
      <c r="DL37" s="12">
        <v>398415658.96255201</v>
      </c>
      <c r="DM37" s="12">
        <v>139135973.01525658</v>
      </c>
      <c r="DN37" s="12">
        <v>154450201.20943135</v>
      </c>
      <c r="DO37" s="12">
        <v>102334793.49791956</v>
      </c>
      <c r="DP37" s="12">
        <v>92883145.675450757</v>
      </c>
      <c r="DQ37" s="12"/>
      <c r="DR37" s="12">
        <v>25642425.697642162</v>
      </c>
      <c r="DS37" s="12"/>
      <c r="DT37" s="12"/>
      <c r="DU37" s="12"/>
      <c r="DV37" s="12"/>
      <c r="DW37" s="12"/>
      <c r="DX37" s="12"/>
      <c r="DY37" s="12"/>
      <c r="DZ37" s="12"/>
      <c r="EA37" s="12"/>
      <c r="EB37" s="12"/>
      <c r="EC37" s="12"/>
      <c r="ED37" s="12"/>
      <c r="EE37" s="12"/>
      <c r="EF37" s="12"/>
      <c r="EG37" s="12"/>
      <c r="EH37" s="12"/>
      <c r="EI37" s="12">
        <v>69544450.130374476</v>
      </c>
      <c r="EJ37" s="12">
        <v>30032173.092926491</v>
      </c>
      <c r="EK37" s="12">
        <v>9.0892083313413288</v>
      </c>
      <c r="EL37" s="12">
        <v>16.392552936324368</v>
      </c>
      <c r="EM37" s="12">
        <v>7.3144663711892459</v>
      </c>
      <c r="EN37" s="12"/>
      <c r="EO37" s="12"/>
      <c r="EP37" s="12"/>
    </row>
    <row r="38" spans="1:146" x14ac:dyDescent="0.25">
      <c r="A38" s="52" t="s">
        <v>300</v>
      </c>
      <c r="B38" s="52" t="s">
        <v>301</v>
      </c>
      <c r="C38" s="55"/>
      <c r="D38" s="55"/>
      <c r="E38" s="55" t="s">
        <v>48</v>
      </c>
      <c r="F38" s="37">
        <v>16</v>
      </c>
      <c r="G38" s="37">
        <v>256</v>
      </c>
      <c r="H38" s="53"/>
      <c r="I38" s="53" t="s">
        <v>233</v>
      </c>
      <c r="J38" s="12">
        <v>2895.5520110957004</v>
      </c>
      <c r="K38" s="12">
        <v>4367.8065040147221</v>
      </c>
      <c r="L38" s="12">
        <v>136.79719602452269</v>
      </c>
      <c r="M38" s="12"/>
      <c r="N38" s="12"/>
      <c r="O38" s="12"/>
      <c r="P38" s="12">
        <v>4.025007883972017E-2</v>
      </c>
      <c r="Q38" s="12"/>
      <c r="R38" s="12"/>
      <c r="S38" s="12"/>
      <c r="T38" s="12">
        <v>3827.3906614367152</v>
      </c>
      <c r="U38" s="12"/>
      <c r="V38" s="12"/>
      <c r="W38" s="12"/>
      <c r="X38" s="12"/>
      <c r="Y38" s="12"/>
      <c r="Z38" s="12">
        <v>11761.175185114169</v>
      </c>
      <c r="AA38" s="12"/>
      <c r="AB38" s="12"/>
      <c r="AC38" s="12"/>
      <c r="AD38" s="12">
        <v>98.891285159603754</v>
      </c>
      <c r="AE38" s="12">
        <v>50166.580750841014</v>
      </c>
      <c r="AF38" s="12">
        <v>15491.780404116997</v>
      </c>
      <c r="AG38" s="12">
        <v>0.23137977611565369</v>
      </c>
      <c r="AH38" s="12"/>
      <c r="AI38" s="12">
        <v>0.10213341737406327</v>
      </c>
      <c r="AJ38" s="12"/>
      <c r="AK38" s="12"/>
      <c r="AL38" s="12">
        <v>0.64733132819714345</v>
      </c>
      <c r="AM38" s="12"/>
      <c r="AN38" s="12">
        <v>11.613099475261469</v>
      </c>
      <c r="AO38" s="12">
        <v>6.1847920126597178E-2</v>
      </c>
      <c r="AP38" s="12">
        <v>0.20124417171372416</v>
      </c>
      <c r="AQ38" s="12">
        <v>0.68108048733095639</v>
      </c>
      <c r="AR38" s="12">
        <v>7.5473371873844473</v>
      </c>
      <c r="AS38" s="12">
        <v>4.7744791032794213E-2</v>
      </c>
      <c r="AT38" s="12">
        <v>0.18994449906569189</v>
      </c>
      <c r="AU38" s="12">
        <v>0.27296335878695771</v>
      </c>
      <c r="AV38" s="12"/>
      <c r="AW38" s="12"/>
      <c r="AX38" s="12">
        <v>3.3204188298659301E-2</v>
      </c>
      <c r="AY38" s="12">
        <v>0.15108968514978385</v>
      </c>
      <c r="AZ38" s="12"/>
      <c r="BA38" s="12"/>
      <c r="BB38" s="12"/>
      <c r="BC38" s="12"/>
      <c r="BD38" s="12"/>
      <c r="BE38" s="12">
        <v>0.26409067178522527</v>
      </c>
      <c r="BF38" s="12"/>
      <c r="BG38" s="12"/>
      <c r="BH38" s="12"/>
      <c r="BI38" s="12"/>
      <c r="BJ38" s="12"/>
      <c r="BK38" s="12"/>
      <c r="BL38" s="12"/>
      <c r="BM38" s="12"/>
      <c r="BN38" s="12"/>
      <c r="BO38" s="12">
        <v>8.5715425487909044E-2</v>
      </c>
      <c r="BP38" s="12">
        <v>0.63220286735962805</v>
      </c>
      <c r="BQ38" s="12">
        <v>33.741951943585796</v>
      </c>
      <c r="BR38" s="12"/>
      <c r="BS38" s="12">
        <v>93.571393082643795</v>
      </c>
      <c r="BT38" s="12"/>
      <c r="BU38" s="12"/>
      <c r="BV38" s="12">
        <v>130.53429258075124</v>
      </c>
      <c r="BW38" s="12"/>
      <c r="BX38" s="12">
        <v>22847.007150051511</v>
      </c>
      <c r="BY38" s="12">
        <v>3123.4071593607946</v>
      </c>
      <c r="BZ38" s="12">
        <v>6.8914491257883794</v>
      </c>
      <c r="CA38" s="12">
        <v>1088.6200249974206</v>
      </c>
      <c r="CB38" s="12">
        <v>202763.19558241329</v>
      </c>
      <c r="CC38" s="12">
        <v>123.70341470405822</v>
      </c>
      <c r="CD38" s="12">
        <v>6493.1084254636744</v>
      </c>
      <c r="CE38" s="12">
        <v>7610.1921831362724</v>
      </c>
      <c r="CF38" s="12"/>
      <c r="CG38" s="12"/>
      <c r="CH38" s="12">
        <v>120.42653558421253</v>
      </c>
      <c r="CI38" s="12">
        <v>307.57740301838538</v>
      </c>
      <c r="CJ38" s="12"/>
      <c r="CK38" s="12"/>
      <c r="CL38" s="12"/>
      <c r="CM38" s="12"/>
      <c r="CN38" s="12"/>
      <c r="CO38" s="12">
        <v>14158.939679194966</v>
      </c>
      <c r="CP38" s="12"/>
      <c r="CQ38" s="12"/>
      <c r="CR38" s="12"/>
      <c r="CS38" s="12"/>
      <c r="CT38" s="12"/>
      <c r="CU38" s="12"/>
      <c r="CV38" s="12"/>
      <c r="CW38" s="12"/>
      <c r="CX38" s="12"/>
      <c r="CY38" s="12">
        <v>13.329350691253293</v>
      </c>
      <c r="CZ38" s="12">
        <v>15.435185921311819</v>
      </c>
      <c r="DA38" s="12">
        <v>609807639.78918171</v>
      </c>
      <c r="DB38" s="12"/>
      <c r="DC38" s="12">
        <v>25162307.46185853</v>
      </c>
      <c r="DD38" s="12"/>
      <c r="DE38" s="12"/>
      <c r="DF38" s="12">
        <v>160762756.43828017</v>
      </c>
      <c r="DG38" s="12"/>
      <c r="DH38" s="12">
        <v>1490318516.371706</v>
      </c>
      <c r="DI38" s="12">
        <v>178047501.49237171</v>
      </c>
      <c r="DJ38" s="12">
        <v>79469001.320388347</v>
      </c>
      <c r="DK38" s="12">
        <v>195015763.79472953</v>
      </c>
      <c r="DL38" s="12">
        <v>405538335.95561719</v>
      </c>
      <c r="DM38" s="12">
        <v>45223044.083217755</v>
      </c>
      <c r="DN38" s="12">
        <v>217642471.14563107</v>
      </c>
      <c r="DO38" s="12">
        <v>111030675.35090153</v>
      </c>
      <c r="DP38" s="12"/>
      <c r="DQ38" s="12"/>
      <c r="DR38" s="12">
        <v>23117182.047156725</v>
      </c>
      <c r="DS38" s="12">
        <v>524122949.94729543</v>
      </c>
      <c r="DT38" s="12"/>
      <c r="DU38" s="12"/>
      <c r="DV38" s="12"/>
      <c r="DW38" s="12"/>
      <c r="DX38" s="12"/>
      <c r="DY38" s="12">
        <v>76323193.786407769</v>
      </c>
      <c r="DZ38" s="12"/>
      <c r="EA38" s="12"/>
      <c r="EB38" s="12"/>
      <c r="EC38" s="12"/>
      <c r="ED38" s="12"/>
      <c r="EE38" s="12"/>
      <c r="EF38" s="12"/>
      <c r="EG38" s="12"/>
      <c r="EH38" s="12"/>
      <c r="EI38" s="12">
        <v>65085968.332871012</v>
      </c>
      <c r="EJ38" s="12">
        <v>29203292.671289876</v>
      </c>
      <c r="EK38" s="12">
        <v>8.0080176472615907</v>
      </c>
      <c r="EL38" s="12">
        <v>17.532237635564769</v>
      </c>
      <c r="EM38" s="12">
        <v>9.5173238959891009</v>
      </c>
      <c r="EN38" s="12"/>
      <c r="EO38" s="12"/>
      <c r="EP38" s="12"/>
    </row>
    <row r="39" spans="1:146" x14ac:dyDescent="0.25">
      <c r="A39" s="25" t="s">
        <v>302</v>
      </c>
      <c r="B39" s="25" t="s">
        <v>303</v>
      </c>
      <c r="C39" s="17"/>
      <c r="D39" s="17"/>
      <c r="E39" s="17" t="s">
        <v>48</v>
      </c>
      <c r="F39" s="68">
        <v>32</v>
      </c>
      <c r="G39" s="68" t="s">
        <v>231</v>
      </c>
      <c r="H39" s="32"/>
      <c r="I39" s="32" t="s">
        <v>242</v>
      </c>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c r="BL39" s="12"/>
      <c r="BM39" s="12"/>
      <c r="BN39" s="12"/>
      <c r="BO39" s="12"/>
      <c r="BP39" s="12"/>
      <c r="BQ39" s="12"/>
      <c r="BR39" s="12"/>
      <c r="BS39" s="12"/>
      <c r="BT39" s="12"/>
      <c r="BU39" s="12"/>
      <c r="BV39" s="12"/>
      <c r="BW39" s="12"/>
      <c r="BX39" s="12"/>
      <c r="BY39" s="12"/>
      <c r="BZ39" s="12"/>
      <c r="CA39" s="12"/>
      <c r="CB39" s="12"/>
      <c r="CC39" s="12"/>
      <c r="CD39" s="12"/>
      <c r="CE39" s="12"/>
      <c r="CF39" s="12"/>
      <c r="CG39" s="12"/>
      <c r="CH39" s="12"/>
      <c r="CI39" s="12"/>
      <c r="CJ39" s="12"/>
      <c r="CK39" s="12"/>
      <c r="CL39" s="12"/>
      <c r="CM39" s="12"/>
      <c r="CN39" s="12"/>
      <c r="CO39" s="12"/>
      <c r="CP39" s="12"/>
      <c r="CQ39" s="12"/>
      <c r="CR39" s="12"/>
      <c r="CS39" s="12"/>
      <c r="CT39" s="12"/>
      <c r="CU39" s="12"/>
      <c r="CV39" s="12"/>
      <c r="CW39" s="12"/>
      <c r="CX39" s="12"/>
      <c r="CY39" s="12"/>
      <c r="CZ39" s="12"/>
      <c r="DA39" s="12"/>
      <c r="DB39" s="12"/>
      <c r="DC39" s="12"/>
      <c r="DD39" s="12"/>
      <c r="DE39" s="12"/>
      <c r="DF39" s="12"/>
      <c r="DG39" s="12"/>
      <c r="DH39" s="12"/>
      <c r="DI39" s="12"/>
      <c r="DJ39" s="12"/>
      <c r="DK39" s="12"/>
      <c r="DL39" s="12"/>
      <c r="DM39" s="12"/>
      <c r="DN39" s="12"/>
      <c r="DO39" s="12"/>
      <c r="DP39" s="12"/>
      <c r="DQ39" s="12"/>
      <c r="DR39" s="12"/>
      <c r="DS39" s="12"/>
      <c r="DT39" s="12"/>
      <c r="DU39" s="12"/>
      <c r="DV39" s="12"/>
      <c r="DW39" s="12"/>
      <c r="DX39" s="12"/>
      <c r="DY39" s="12"/>
      <c r="DZ39" s="12"/>
      <c r="EA39" s="12"/>
      <c r="EB39" s="12"/>
      <c r="EC39" s="12"/>
      <c r="ED39" s="12"/>
      <c r="EE39" s="12"/>
      <c r="EF39" s="12"/>
      <c r="EG39" s="12"/>
      <c r="EH39" s="12"/>
      <c r="EI39" s="12"/>
      <c r="EJ39" s="12"/>
      <c r="EK39" s="12"/>
      <c r="EL39" s="12"/>
      <c r="EM39" s="12"/>
      <c r="EN39" s="12"/>
      <c r="EO39" s="12"/>
      <c r="EP39" s="12"/>
    </row>
    <row r="40" spans="1:146" x14ac:dyDescent="0.25">
      <c r="A40" s="52" t="s">
        <v>304</v>
      </c>
      <c r="B40" s="52" t="s">
        <v>266</v>
      </c>
      <c r="C40" s="55"/>
      <c r="D40" s="55"/>
      <c r="E40" s="55" t="s">
        <v>350</v>
      </c>
      <c r="F40" s="51">
        <v>64</v>
      </c>
      <c r="G40" s="51" t="s">
        <v>231</v>
      </c>
      <c r="H40" s="53"/>
      <c r="I40" s="53" t="s">
        <v>233</v>
      </c>
      <c r="J40" s="12">
        <v>38561.409153952845</v>
      </c>
      <c r="K40" s="12">
        <v>14375.630360751666</v>
      </c>
      <c r="L40" s="12">
        <v>58.943882627779161</v>
      </c>
      <c r="M40" s="12"/>
      <c r="N40" s="12"/>
      <c r="O40" s="12"/>
      <c r="P40" s="12">
        <v>0.45299239652743911</v>
      </c>
      <c r="Q40" s="12">
        <v>33398.220703803003</v>
      </c>
      <c r="R40" s="12"/>
      <c r="S40" s="12"/>
      <c r="T40" s="12">
        <v>57536.598946701444</v>
      </c>
      <c r="U40" s="12"/>
      <c r="V40" s="12"/>
      <c r="W40" s="12"/>
      <c r="X40" s="12"/>
      <c r="Y40" s="12"/>
      <c r="Z40" s="12">
        <v>855.96075716096595</v>
      </c>
      <c r="AA40" s="12"/>
      <c r="AB40" s="12"/>
      <c r="AC40" s="12"/>
      <c r="AD40" s="12">
        <v>97.991989461106499</v>
      </c>
      <c r="AE40" s="12">
        <v>59407.804177119542</v>
      </c>
      <c r="AF40" s="12">
        <v>19239.947384058949</v>
      </c>
      <c r="AG40" s="12">
        <v>0.82033661334942309</v>
      </c>
      <c r="AH40" s="12"/>
      <c r="AI40" s="12">
        <v>0.33911158858237256</v>
      </c>
      <c r="AJ40" s="12"/>
      <c r="AK40" s="12"/>
      <c r="AL40" s="12">
        <v>0.81165730131810743</v>
      </c>
      <c r="AM40" s="12"/>
      <c r="AN40" s="12">
        <v>12.408365070513952</v>
      </c>
      <c r="AO40" s="12">
        <v>1.411964513124691</v>
      </c>
      <c r="AP40" s="12">
        <v>0.52523615680973379</v>
      </c>
      <c r="AQ40" s="12">
        <v>2.0403877714269676</v>
      </c>
      <c r="AR40" s="12">
        <v>14.293936514665992</v>
      </c>
      <c r="AS40" s="12">
        <v>0.10230931998460231</v>
      </c>
      <c r="AT40" s="12">
        <v>5.345024018534871</v>
      </c>
      <c r="AU40" s="12">
        <v>0.20236764762055234</v>
      </c>
      <c r="AV40" s="12"/>
      <c r="AW40" s="12">
        <v>2.123089457630011</v>
      </c>
      <c r="AX40" s="12">
        <v>7.8778803423850824E-2</v>
      </c>
      <c r="AY40" s="12">
        <v>0.83165266024891193</v>
      </c>
      <c r="AZ40" s="12"/>
      <c r="BA40" s="12"/>
      <c r="BB40" s="12"/>
      <c r="BC40" s="12"/>
      <c r="BD40" s="12"/>
      <c r="BE40" s="12"/>
      <c r="BF40" s="12"/>
      <c r="BG40" s="12"/>
      <c r="BH40" s="12"/>
      <c r="BI40" s="12"/>
      <c r="BJ40" s="12"/>
      <c r="BK40" s="12"/>
      <c r="BL40" s="12"/>
      <c r="BM40" s="12"/>
      <c r="BN40" s="12"/>
      <c r="BO40" s="12">
        <v>0.19570976773654947</v>
      </c>
      <c r="BP40" s="12">
        <v>1.2933536285276335</v>
      </c>
      <c r="BQ40" s="12">
        <v>1626.0053455023658</v>
      </c>
      <c r="BR40" s="12"/>
      <c r="BS40" s="12">
        <v>102.31284512477883</v>
      </c>
      <c r="BT40" s="12"/>
      <c r="BU40" s="12"/>
      <c r="BV40" s="12">
        <v>163.652500558334</v>
      </c>
      <c r="BW40" s="12"/>
      <c r="BX40" s="12">
        <v>78092.261823944049</v>
      </c>
      <c r="BY40" s="12">
        <v>995.1849662043827</v>
      </c>
      <c r="BZ40" s="12">
        <v>0</v>
      </c>
      <c r="CA40" s="12">
        <v>1.4868190526798162</v>
      </c>
      <c r="CB40" s="12">
        <v>167035.66409633914</v>
      </c>
      <c r="CC40" s="12">
        <v>87.461008560632365</v>
      </c>
      <c r="CD40" s="12">
        <v>325625.09706428152</v>
      </c>
      <c r="CE40" s="12">
        <v>4862.6925647962544</v>
      </c>
      <c r="CF40" s="12"/>
      <c r="CG40" s="12">
        <v>78.209164489772434</v>
      </c>
      <c r="CH40" s="12">
        <v>202.04018898385573</v>
      </c>
      <c r="CI40" s="12">
        <v>1939.8849941910087</v>
      </c>
      <c r="CJ40" s="12"/>
      <c r="CK40" s="12"/>
      <c r="CL40" s="12"/>
      <c r="CM40" s="12"/>
      <c r="CN40" s="12"/>
      <c r="CO40" s="12"/>
      <c r="CP40" s="12"/>
      <c r="CQ40" s="12"/>
      <c r="CR40" s="12"/>
      <c r="CS40" s="12"/>
      <c r="CT40" s="12"/>
      <c r="CU40" s="12"/>
      <c r="CV40" s="12"/>
      <c r="CW40" s="12"/>
      <c r="CX40" s="12"/>
      <c r="CY40" s="12">
        <v>13.266624647333229</v>
      </c>
      <c r="CZ40" s="12">
        <v>16.356777241618765</v>
      </c>
      <c r="DA40" s="12">
        <v>547388962.79611647</v>
      </c>
      <c r="DB40" s="12"/>
      <c r="DC40" s="12">
        <v>25461872.199722607</v>
      </c>
      <c r="DD40" s="12"/>
      <c r="DE40" s="12"/>
      <c r="DF40" s="12">
        <v>96610204.58252427</v>
      </c>
      <c r="DG40" s="12"/>
      <c r="DH40" s="12">
        <v>1260367985.6199722</v>
      </c>
      <c r="DI40" s="12">
        <v>186805982.26907074</v>
      </c>
      <c r="DJ40" s="12">
        <v>69114830.291262135</v>
      </c>
      <c r="DK40" s="12">
        <v>238696024.76560333</v>
      </c>
      <c r="DL40" s="12">
        <v>437038757.45908463</v>
      </c>
      <c r="DM40" s="12">
        <v>40645073.841886267</v>
      </c>
      <c r="DN40" s="12">
        <v>566557561.07628298</v>
      </c>
      <c r="DO40" s="12">
        <v>104598785.06518725</v>
      </c>
      <c r="DP40" s="12"/>
      <c r="DQ40" s="12">
        <v>1148724745.2316227</v>
      </c>
      <c r="DR40" s="12">
        <v>24933817.697642162</v>
      </c>
      <c r="DS40" s="12">
        <v>840235147.184466</v>
      </c>
      <c r="DT40" s="12"/>
      <c r="DU40" s="12"/>
      <c r="DV40" s="12"/>
      <c r="DW40" s="12"/>
      <c r="DX40" s="12"/>
      <c r="DY40" s="12"/>
      <c r="DZ40" s="12"/>
      <c r="EA40" s="12"/>
      <c r="EB40" s="12"/>
      <c r="EC40" s="12"/>
      <c r="ED40" s="12"/>
      <c r="EE40" s="12"/>
      <c r="EF40" s="12"/>
      <c r="EG40" s="12"/>
      <c r="EH40" s="12"/>
      <c r="EI40" s="12">
        <v>66383627.717059642</v>
      </c>
      <c r="EJ40" s="12">
        <v>29662260.549237169</v>
      </c>
      <c r="EK40" s="12">
        <v>21.621009773545566</v>
      </c>
      <c r="EL40" s="12">
        <v>30.63783602862225</v>
      </c>
      <c r="EM40" s="12">
        <v>9.0108949344281104</v>
      </c>
      <c r="EN40" s="12"/>
      <c r="EO40" s="12"/>
      <c r="EP40" s="12"/>
    </row>
    <row r="41" spans="1:146" x14ac:dyDescent="0.25">
      <c r="A41" s="52" t="s">
        <v>305</v>
      </c>
      <c r="B41" s="52" t="s">
        <v>306</v>
      </c>
      <c r="C41" s="55"/>
      <c r="D41" s="55"/>
      <c r="E41" s="55" t="s">
        <v>48</v>
      </c>
      <c r="F41" s="37">
        <v>16</v>
      </c>
      <c r="G41" s="37">
        <v>256</v>
      </c>
      <c r="H41" s="53"/>
      <c r="I41" s="53" t="s">
        <v>233</v>
      </c>
      <c r="J41" s="12">
        <v>1827.6047156726768</v>
      </c>
      <c r="K41" s="12">
        <v>5298.6219271187892</v>
      </c>
      <c r="L41" s="12">
        <v>167.61314419106267</v>
      </c>
      <c r="M41" s="12"/>
      <c r="N41" s="12"/>
      <c r="O41" s="12"/>
      <c r="P41" s="12"/>
      <c r="Q41" s="12">
        <v>5941.014759235537</v>
      </c>
      <c r="R41" s="12"/>
      <c r="S41" s="12"/>
      <c r="T41" s="12">
        <v>18668.904010899118</v>
      </c>
      <c r="U41" s="12"/>
      <c r="V41" s="12"/>
      <c r="W41" s="12"/>
      <c r="X41" s="12"/>
      <c r="Y41" s="12"/>
      <c r="Z41" s="12"/>
      <c r="AA41" s="12"/>
      <c r="AB41" s="12"/>
      <c r="AC41" s="12"/>
      <c r="AD41" s="12">
        <v>98.962750661695125</v>
      </c>
      <c r="AE41" s="12">
        <v>48473.377724521677</v>
      </c>
      <c r="AF41" s="12">
        <v>18984.624014724894</v>
      </c>
      <c r="AG41" s="12"/>
      <c r="AH41" s="12"/>
      <c r="AI41" s="12">
        <v>0.14481848980244882</v>
      </c>
      <c r="AJ41" s="12"/>
      <c r="AK41" s="12"/>
      <c r="AL41" s="12">
        <v>0.86330151946578615</v>
      </c>
      <c r="AM41" s="12"/>
      <c r="AN41" s="12">
        <v>17.902965442070386</v>
      </c>
      <c r="AO41" s="12">
        <v>6.7782122579186296E-2</v>
      </c>
      <c r="AP41" s="12">
        <v>0.20320085415384218</v>
      </c>
      <c r="AQ41" s="12">
        <v>0.61777046925978429</v>
      </c>
      <c r="AR41" s="12">
        <v>11.004526878834744</v>
      </c>
      <c r="AS41" s="12">
        <v>0.13885060705284669</v>
      </c>
      <c r="AT41" s="12">
        <v>4.7170643917213777</v>
      </c>
      <c r="AU41" s="12">
        <v>0.380137108142167</v>
      </c>
      <c r="AV41" s="12"/>
      <c r="AW41" s="12"/>
      <c r="AX41" s="12">
        <v>4.0651774493091229E-2</v>
      </c>
      <c r="AY41" s="12"/>
      <c r="AZ41" s="12"/>
      <c r="BA41" s="12"/>
      <c r="BB41" s="12"/>
      <c r="BC41" s="12"/>
      <c r="BD41" s="12"/>
      <c r="BE41" s="12">
        <v>14.1719345637031</v>
      </c>
      <c r="BF41" s="12"/>
      <c r="BG41" s="12"/>
      <c r="BH41" s="12"/>
      <c r="BI41" s="12"/>
      <c r="BJ41" s="12"/>
      <c r="BK41" s="12"/>
      <c r="BL41" s="12"/>
      <c r="BM41" s="12"/>
      <c r="BN41" s="12"/>
      <c r="BO41" s="12">
        <v>9.7437042419217926E-2</v>
      </c>
      <c r="BP41" s="12">
        <v>1.3094981153714775</v>
      </c>
      <c r="BQ41" s="12"/>
      <c r="BR41" s="12"/>
      <c r="BS41" s="12">
        <v>73.112396434887501</v>
      </c>
      <c r="BT41" s="12"/>
      <c r="BU41" s="12"/>
      <c r="BV41" s="12">
        <v>128.21442586142737</v>
      </c>
      <c r="BW41" s="12"/>
      <c r="BX41" s="12">
        <v>37507.214749202234</v>
      </c>
      <c r="BY41" s="12">
        <v>795.2257192938124</v>
      </c>
      <c r="BZ41" s="12">
        <v>6.440207745434301E-2</v>
      </c>
      <c r="CA41" s="12">
        <v>7.6981535654959288</v>
      </c>
      <c r="CB41" s="12">
        <v>163548.78220609322</v>
      </c>
      <c r="CC41" s="12">
        <v>79.167423031014806</v>
      </c>
      <c r="CD41" s="12">
        <v>21859.709568552058</v>
      </c>
      <c r="CE41" s="12">
        <v>6159.9831092728</v>
      </c>
      <c r="CF41" s="12"/>
      <c r="CG41" s="12"/>
      <c r="CH41" s="12">
        <v>113.65813781057032</v>
      </c>
      <c r="CI41" s="12"/>
      <c r="CJ41" s="12"/>
      <c r="CK41" s="12"/>
      <c r="CL41" s="12"/>
      <c r="CM41" s="12"/>
      <c r="CN41" s="12"/>
      <c r="CO41" s="12">
        <v>702706.160314576</v>
      </c>
      <c r="CP41" s="12"/>
      <c r="CQ41" s="12"/>
      <c r="CR41" s="12"/>
      <c r="CS41" s="12"/>
      <c r="CT41" s="12"/>
      <c r="CU41" s="12"/>
      <c r="CV41" s="12"/>
      <c r="CW41" s="12"/>
      <c r="CX41" s="12"/>
      <c r="CY41" s="12">
        <v>13.39100749609681</v>
      </c>
      <c r="CZ41" s="12">
        <v>539.46849783182654</v>
      </c>
      <c r="DA41" s="12"/>
      <c r="DB41" s="12"/>
      <c r="DC41" s="12">
        <v>26403185.264909849</v>
      </c>
      <c r="DD41" s="12"/>
      <c r="DE41" s="12"/>
      <c r="DF41" s="12">
        <v>482869924.03883493</v>
      </c>
      <c r="DG41" s="12"/>
      <c r="DH41" s="12">
        <v>1374635875.7725382</v>
      </c>
      <c r="DI41" s="12">
        <v>154406537.05409154</v>
      </c>
      <c r="DJ41" s="12">
        <v>70669236.726768374</v>
      </c>
      <c r="DK41" s="12">
        <v>222306997.0818308</v>
      </c>
      <c r="DL41" s="12">
        <v>404574236.40499306</v>
      </c>
      <c r="DM41" s="12">
        <v>40430707.040221915</v>
      </c>
      <c r="DN41" s="12">
        <v>87345626.363384187</v>
      </c>
      <c r="DO41" s="12">
        <v>105585057.55339806</v>
      </c>
      <c r="DP41" s="12"/>
      <c r="DQ41" s="12"/>
      <c r="DR41" s="12">
        <v>24068243.705963939</v>
      </c>
      <c r="DS41" s="12"/>
      <c r="DT41" s="12"/>
      <c r="DU41" s="12"/>
      <c r="DV41" s="12"/>
      <c r="DW41" s="12"/>
      <c r="DX41" s="12"/>
      <c r="DY41" s="12">
        <v>77590528</v>
      </c>
      <c r="DZ41" s="12"/>
      <c r="EA41" s="12"/>
      <c r="EB41" s="12"/>
      <c r="EC41" s="12"/>
      <c r="ED41" s="12"/>
      <c r="EE41" s="12"/>
      <c r="EF41" s="12"/>
      <c r="EG41" s="12"/>
      <c r="EH41" s="12"/>
      <c r="EI41" s="12">
        <v>67774796.338418856</v>
      </c>
      <c r="EJ41" s="12">
        <v>29386408.299583912</v>
      </c>
      <c r="EK41" s="12">
        <v>8.1770141230738069</v>
      </c>
      <c r="EL41" s="12">
        <v>13.530052983962573</v>
      </c>
      <c r="EM41" s="12">
        <v>5.3539212039383752</v>
      </c>
      <c r="EN41" s="12"/>
      <c r="EO41" s="12"/>
      <c r="EP41" s="12"/>
    </row>
    <row r="42" spans="1:146" x14ac:dyDescent="0.25">
      <c r="A42" s="52" t="s">
        <v>307</v>
      </c>
      <c r="B42" s="52" t="s">
        <v>308</v>
      </c>
      <c r="C42" s="55"/>
      <c r="D42" s="55"/>
      <c r="E42" s="53" t="s">
        <v>351</v>
      </c>
      <c r="F42" s="54">
        <v>16</v>
      </c>
      <c r="G42" s="54">
        <v>512</v>
      </c>
      <c r="H42" s="53"/>
      <c r="I42" s="53" t="s">
        <v>233</v>
      </c>
      <c r="J42" s="12">
        <v>5319.6338418862688</v>
      </c>
      <c r="K42" s="12">
        <v>3320.6684564007046</v>
      </c>
      <c r="L42" s="12">
        <v>53.170247803884237</v>
      </c>
      <c r="M42" s="12"/>
      <c r="N42" s="12"/>
      <c r="O42" s="12"/>
      <c r="P42" s="12">
        <v>0.41871893086685369</v>
      </c>
      <c r="Q42" s="12"/>
      <c r="R42" s="12"/>
      <c r="S42" s="12"/>
      <c r="T42" s="12"/>
      <c r="U42" s="12"/>
      <c r="V42" s="12"/>
      <c r="W42" s="12"/>
      <c r="X42" s="12"/>
      <c r="Y42" s="12"/>
      <c r="Z42" s="12">
        <v>6818.455122922207</v>
      </c>
      <c r="AA42" s="12"/>
      <c r="AB42" s="12"/>
      <c r="AC42" s="12"/>
      <c r="AD42" s="12">
        <v>99.488601927413328</v>
      </c>
      <c r="AE42" s="12">
        <v>26676.75415065746</v>
      </c>
      <c r="AF42" s="12">
        <v>11946.527757848495</v>
      </c>
      <c r="AG42" s="12"/>
      <c r="AH42" s="12"/>
      <c r="AI42" s="12">
        <v>0.17193547154569128</v>
      </c>
      <c r="AJ42" s="12">
        <v>0.1769348268843525</v>
      </c>
      <c r="AK42" s="12"/>
      <c r="AL42" s="12">
        <v>0.19885257927705907</v>
      </c>
      <c r="AM42" s="12"/>
      <c r="AN42" s="12">
        <v>1.3795946299093953</v>
      </c>
      <c r="AO42" s="12">
        <v>1.1355217010335485E-2</v>
      </c>
      <c r="AP42" s="12">
        <v>0.2494034273487051</v>
      </c>
      <c r="AQ42" s="12">
        <v>0.94936876648991275</v>
      </c>
      <c r="AR42" s="12">
        <v>7.2558974458830079</v>
      </c>
      <c r="AS42" s="12">
        <v>3.2550917516096928E-2</v>
      </c>
      <c r="AT42" s="12">
        <v>0.27639894105737278</v>
      </c>
      <c r="AU42" s="12">
        <v>0.31161025137263965</v>
      </c>
      <c r="AV42" s="12"/>
      <c r="AW42" s="12">
        <v>0.33180082128060112</v>
      </c>
      <c r="AX42" s="12">
        <v>3.7394987443071612E-2</v>
      </c>
      <c r="AY42" s="12"/>
      <c r="AZ42" s="12"/>
      <c r="BA42" s="12"/>
      <c r="BB42" s="12"/>
      <c r="BC42" s="12"/>
      <c r="BD42" s="12"/>
      <c r="BE42" s="12"/>
      <c r="BF42" s="12"/>
      <c r="BG42" s="12"/>
      <c r="BH42" s="12"/>
      <c r="BI42" s="12"/>
      <c r="BJ42" s="12"/>
      <c r="BK42" s="12"/>
      <c r="BL42" s="12"/>
      <c r="BM42" s="12"/>
      <c r="BN42" s="12"/>
      <c r="BO42" s="12">
        <v>8.9115039740681967E-2</v>
      </c>
      <c r="BP42" s="12">
        <v>0.29374444893558066</v>
      </c>
      <c r="BQ42" s="12"/>
      <c r="BR42" s="12"/>
      <c r="BS42" s="12">
        <v>102.31147118524959</v>
      </c>
      <c r="BT42" s="12">
        <v>314.52071744143825</v>
      </c>
      <c r="BU42" s="12"/>
      <c r="BV42" s="12">
        <v>116.81463036988535</v>
      </c>
      <c r="BW42" s="12"/>
      <c r="BX42" s="12">
        <v>11195.978829992382</v>
      </c>
      <c r="BY42" s="12">
        <v>10.741579061413596</v>
      </c>
      <c r="BZ42" s="12">
        <v>6.8914017195000019</v>
      </c>
      <c r="CA42" s="12">
        <v>36.07068511307255</v>
      </c>
      <c r="CB42" s="12">
        <v>210483.10779487345</v>
      </c>
      <c r="CC42" s="12">
        <v>148.96683005742634</v>
      </c>
      <c r="CD42" s="12">
        <v>8962.7201135530413</v>
      </c>
      <c r="CE42" s="12">
        <v>1672.0271706989297</v>
      </c>
      <c r="CF42" s="12"/>
      <c r="CG42" s="12">
        <v>24.533087601003345</v>
      </c>
      <c r="CH42" s="12">
        <v>120.55046185547866</v>
      </c>
      <c r="CI42" s="12"/>
      <c r="CJ42" s="12"/>
      <c r="CK42" s="12"/>
      <c r="CL42" s="12"/>
      <c r="CM42" s="12"/>
      <c r="CN42" s="12"/>
      <c r="CO42" s="12"/>
      <c r="CP42" s="12"/>
      <c r="CQ42" s="12"/>
      <c r="CR42" s="12"/>
      <c r="CS42" s="12"/>
      <c r="CT42" s="12"/>
      <c r="CU42" s="12"/>
      <c r="CV42" s="12"/>
      <c r="CW42" s="12"/>
      <c r="CX42" s="12"/>
      <c r="CY42" s="12">
        <v>13.567383298551913</v>
      </c>
      <c r="CZ42" s="12">
        <v>1.1177991208514264</v>
      </c>
      <c r="DA42" s="12"/>
      <c r="DB42" s="12"/>
      <c r="DC42" s="12">
        <v>23774405.414701805</v>
      </c>
      <c r="DD42" s="12">
        <v>414529322.96255201</v>
      </c>
      <c r="DE42" s="12"/>
      <c r="DF42" s="12">
        <v>16493864.832177531</v>
      </c>
      <c r="DG42" s="12"/>
      <c r="DH42" s="12">
        <v>817691308.56033289</v>
      </c>
      <c r="DI42" s="12">
        <v>115883640.0110957</v>
      </c>
      <c r="DJ42" s="12">
        <v>68069197.048543692</v>
      </c>
      <c r="DK42" s="12">
        <v>150645687.56726769</v>
      </c>
      <c r="DL42" s="12">
        <v>364341546.25242716</v>
      </c>
      <c r="DM42" s="12">
        <v>43168266.651872396</v>
      </c>
      <c r="DN42" s="12">
        <v>189836573.4701803</v>
      </c>
      <c r="DO42" s="12">
        <v>53235246.158113733</v>
      </c>
      <c r="DP42" s="12"/>
      <c r="DQ42" s="12">
        <v>114829865.89736477</v>
      </c>
      <c r="DR42" s="12">
        <v>21904004.793342579</v>
      </c>
      <c r="DS42" s="12"/>
      <c r="DT42" s="12"/>
      <c r="DU42" s="12"/>
      <c r="DV42" s="12"/>
      <c r="DW42" s="12"/>
      <c r="DX42" s="12"/>
      <c r="DY42" s="12"/>
      <c r="DZ42" s="12"/>
      <c r="EA42" s="12"/>
      <c r="EB42" s="12"/>
      <c r="EC42" s="12"/>
      <c r="ED42" s="12"/>
      <c r="EE42" s="12"/>
      <c r="EF42" s="12"/>
      <c r="EG42" s="12"/>
      <c r="EH42" s="12"/>
      <c r="EI42" s="12">
        <v>63977787.295423023</v>
      </c>
      <c r="EJ42" s="12">
        <v>24796922.674063802</v>
      </c>
      <c r="EK42" s="12">
        <v>4.2988750803665772</v>
      </c>
      <c r="EL42" s="12">
        <v>6.8651730647633835</v>
      </c>
      <c r="EM42" s="12">
        <v>2.5600683866274596</v>
      </c>
      <c r="EN42" s="12"/>
      <c r="EO42" s="12"/>
      <c r="EP42" s="12"/>
    </row>
    <row r="43" spans="1:146" x14ac:dyDescent="0.25">
      <c r="A43" s="25" t="s">
        <v>309</v>
      </c>
      <c r="B43" s="25" t="s">
        <v>310</v>
      </c>
      <c r="C43" s="17"/>
      <c r="D43" s="17"/>
      <c r="E43" s="17" t="s">
        <v>48</v>
      </c>
      <c r="F43" s="37">
        <v>16</v>
      </c>
      <c r="G43" s="37">
        <v>256</v>
      </c>
      <c r="H43" s="32"/>
      <c r="I43" s="32" t="s">
        <v>242</v>
      </c>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2"/>
      <c r="BQ43" s="12"/>
      <c r="BR43" s="12"/>
      <c r="BS43" s="12"/>
      <c r="BT43" s="12"/>
      <c r="BU43" s="12"/>
      <c r="BV43" s="12"/>
      <c r="BW43" s="12"/>
      <c r="BX43" s="12"/>
      <c r="BY43" s="12"/>
      <c r="BZ43" s="12"/>
      <c r="CA43" s="12"/>
      <c r="CB43" s="12"/>
      <c r="CC43" s="12"/>
      <c r="CD43" s="12"/>
      <c r="CE43" s="12"/>
      <c r="CF43" s="12"/>
      <c r="CG43" s="12"/>
      <c r="CH43" s="12"/>
      <c r="CI43" s="12"/>
      <c r="CJ43" s="12"/>
      <c r="CK43" s="12"/>
      <c r="CL43" s="12"/>
      <c r="CM43" s="12"/>
      <c r="CN43" s="12"/>
      <c r="CO43" s="12"/>
      <c r="CP43" s="12"/>
      <c r="CQ43" s="12"/>
      <c r="CR43" s="12"/>
      <c r="CS43" s="12"/>
      <c r="CT43" s="12"/>
      <c r="CU43" s="12"/>
      <c r="CV43" s="12"/>
      <c r="CW43" s="12"/>
      <c r="CX43" s="12"/>
      <c r="CY43" s="12"/>
      <c r="CZ43" s="12"/>
      <c r="DA43" s="12"/>
      <c r="DB43" s="12"/>
      <c r="DC43" s="12"/>
      <c r="DD43" s="12"/>
      <c r="DE43" s="12"/>
      <c r="DF43" s="12"/>
      <c r="DG43" s="12"/>
      <c r="DH43" s="12"/>
      <c r="DI43" s="12"/>
      <c r="DJ43" s="12"/>
      <c r="DK43" s="12"/>
      <c r="DL43" s="12"/>
      <c r="DM43" s="12"/>
      <c r="DN43" s="12"/>
      <c r="DO43" s="12"/>
      <c r="DP43" s="12"/>
      <c r="DQ43" s="12"/>
      <c r="DR43" s="12"/>
      <c r="DS43" s="12"/>
      <c r="DT43" s="12"/>
      <c r="DU43" s="12"/>
      <c r="DV43" s="12"/>
      <c r="DW43" s="12"/>
      <c r="DX43" s="12"/>
      <c r="DY43" s="12"/>
      <c r="DZ43" s="12"/>
      <c r="EA43" s="12"/>
      <c r="EB43" s="12"/>
      <c r="EC43" s="12"/>
      <c r="ED43" s="12"/>
      <c r="EE43" s="12"/>
      <c r="EF43" s="12"/>
      <c r="EG43" s="12"/>
      <c r="EH43" s="12"/>
      <c r="EI43" s="12"/>
      <c r="EJ43" s="12"/>
      <c r="EK43" s="12"/>
      <c r="EL43" s="12"/>
      <c r="EM43" s="12"/>
      <c r="EN43" s="12"/>
      <c r="EO43" s="12"/>
      <c r="EP43" s="12"/>
    </row>
    <row r="44" spans="1:146" x14ac:dyDescent="0.25">
      <c r="A44" s="25" t="s">
        <v>311</v>
      </c>
      <c r="B44" s="25" t="s">
        <v>312</v>
      </c>
      <c r="C44" s="17"/>
      <c r="D44" s="17"/>
      <c r="E44" s="17" t="s">
        <v>348</v>
      </c>
      <c r="F44" s="37">
        <v>16</v>
      </c>
      <c r="G44" s="37">
        <v>256</v>
      </c>
      <c r="H44" s="32"/>
      <c r="I44" s="32" t="s">
        <v>242</v>
      </c>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2"/>
      <c r="BQ44" s="12"/>
      <c r="BR44" s="12"/>
      <c r="BS44" s="12"/>
      <c r="BT44" s="12"/>
      <c r="BU44" s="12"/>
      <c r="BV44" s="12"/>
      <c r="BW44" s="12"/>
      <c r="BX44" s="12"/>
      <c r="BY44" s="12"/>
      <c r="BZ44" s="12"/>
      <c r="CA44" s="12"/>
      <c r="CB44" s="12"/>
      <c r="CC44" s="12"/>
      <c r="CD44" s="12"/>
      <c r="CE44" s="12"/>
      <c r="CF44" s="12"/>
      <c r="CG44" s="12"/>
      <c r="CH44" s="12"/>
      <c r="CI44" s="12"/>
      <c r="CJ44" s="12"/>
      <c r="CK44" s="12"/>
      <c r="CL44" s="12"/>
      <c r="CM44" s="12"/>
      <c r="CN44" s="12"/>
      <c r="CO44" s="12"/>
      <c r="CP44" s="12"/>
      <c r="CQ44" s="12"/>
      <c r="CR44" s="12"/>
      <c r="CS44" s="12"/>
      <c r="CT44" s="12"/>
      <c r="CU44" s="12"/>
      <c r="CV44" s="12"/>
      <c r="CW44" s="12"/>
      <c r="CX44" s="12"/>
      <c r="CY44" s="12"/>
      <c r="CZ44" s="12"/>
      <c r="DA44" s="12"/>
      <c r="DB44" s="12"/>
      <c r="DC44" s="12"/>
      <c r="DD44" s="12"/>
      <c r="DE44" s="12"/>
      <c r="DF44" s="12"/>
      <c r="DG44" s="12"/>
      <c r="DH44" s="12"/>
      <c r="DI44" s="12"/>
      <c r="DJ44" s="12"/>
      <c r="DK44" s="12"/>
      <c r="DL44" s="12"/>
      <c r="DM44" s="12"/>
      <c r="DN44" s="12"/>
      <c r="DO44" s="12"/>
      <c r="DP44" s="12"/>
      <c r="DQ44" s="12"/>
      <c r="DR44" s="12"/>
      <c r="DS44" s="12"/>
      <c r="DT44" s="12"/>
      <c r="DU44" s="12"/>
      <c r="DV44" s="12"/>
      <c r="DW44" s="12"/>
      <c r="DX44" s="12"/>
      <c r="DY44" s="12"/>
      <c r="DZ44" s="12"/>
      <c r="EA44" s="12"/>
      <c r="EB44" s="12"/>
      <c r="EC44" s="12"/>
      <c r="ED44" s="12"/>
      <c r="EE44" s="12"/>
      <c r="EF44" s="12"/>
      <c r="EG44" s="12"/>
      <c r="EH44" s="12"/>
      <c r="EI44" s="12"/>
      <c r="EJ44" s="12"/>
      <c r="EK44" s="12"/>
      <c r="EL44" s="12"/>
      <c r="EM44" s="12"/>
      <c r="EN44" s="12"/>
      <c r="EO44" s="12"/>
      <c r="EP44" s="12"/>
    </row>
    <row r="45" spans="1:146" x14ac:dyDescent="0.25">
      <c r="A45" s="52" t="s">
        <v>313</v>
      </c>
      <c r="B45" s="52" t="s">
        <v>314</v>
      </c>
      <c r="C45" s="55"/>
      <c r="D45" s="55"/>
      <c r="E45" s="55" t="s">
        <v>48</v>
      </c>
      <c r="F45" s="37">
        <v>16</v>
      </c>
      <c r="G45" s="37">
        <v>256</v>
      </c>
      <c r="H45" s="53"/>
      <c r="I45" s="53" t="s">
        <v>233</v>
      </c>
      <c r="J45" s="12">
        <v>2111.5430555555554</v>
      </c>
      <c r="K45" s="12">
        <v>12168.870381389957</v>
      </c>
      <c r="L45" s="12">
        <v>654.01913788272941</v>
      </c>
      <c r="M45" s="12"/>
      <c r="N45" s="12"/>
      <c r="O45" s="12"/>
      <c r="P45" s="12">
        <v>0.26572665325571065</v>
      </c>
      <c r="Q45" s="12">
        <v>33095.543762637637</v>
      </c>
      <c r="R45" s="12"/>
      <c r="S45" s="12"/>
      <c r="T45" s="12"/>
      <c r="U45" s="12"/>
      <c r="V45" s="12"/>
      <c r="W45" s="12"/>
      <c r="X45" s="12"/>
      <c r="Y45" s="12"/>
      <c r="Z45" s="12">
        <v>46409.925444944638</v>
      </c>
      <c r="AA45" s="12"/>
      <c r="AB45" s="12"/>
      <c r="AC45" s="12"/>
      <c r="AD45" s="12">
        <v>94.460036420241394</v>
      </c>
      <c r="AE45" s="12">
        <v>36264.72702085261</v>
      </c>
      <c r="AF45" s="12">
        <v>26532.376018349049</v>
      </c>
      <c r="AG45" s="12">
        <v>0.83090565618398815</v>
      </c>
      <c r="AH45" s="12" t="s">
        <v>225</v>
      </c>
      <c r="AI45" s="12">
        <v>0.13799569425508729</v>
      </c>
      <c r="AJ45" s="12" t="s">
        <v>225</v>
      </c>
      <c r="AK45" s="12" t="s">
        <v>225</v>
      </c>
      <c r="AL45" s="12">
        <v>1.5280027961350204</v>
      </c>
      <c r="AM45" s="12" t="s">
        <v>225</v>
      </c>
      <c r="AN45" s="12">
        <v>14.813735980067369</v>
      </c>
      <c r="AO45" s="12">
        <v>0.21148314775604074</v>
      </c>
      <c r="AP45" s="12">
        <v>0.25468236083004664</v>
      </c>
      <c r="AQ45" s="12">
        <v>1.2204700572604867</v>
      </c>
      <c r="AR45" s="12">
        <v>20.938904925055486</v>
      </c>
      <c r="AS45" s="12">
        <v>0.19889922895304629</v>
      </c>
      <c r="AT45" s="12">
        <v>2.5139658225974997</v>
      </c>
      <c r="AU45" s="12">
        <v>2.5150601547759242</v>
      </c>
      <c r="AV45" s="12" t="s">
        <v>225</v>
      </c>
      <c r="AW45" s="12">
        <v>0.57524023823868931</v>
      </c>
      <c r="AX45" s="12">
        <v>6.2609057330215503E-2</v>
      </c>
      <c r="AY45" s="12" t="s">
        <v>225</v>
      </c>
      <c r="AZ45" s="12" t="s">
        <v>225</v>
      </c>
      <c r="BA45" s="12" t="s">
        <v>225</v>
      </c>
      <c r="BB45" s="12" t="s">
        <v>225</v>
      </c>
      <c r="BC45" s="12" t="s">
        <v>225</v>
      </c>
      <c r="BD45" s="12" t="s">
        <v>225</v>
      </c>
      <c r="BE45" s="12" t="s">
        <v>225</v>
      </c>
      <c r="BF45" s="12" t="s">
        <v>225</v>
      </c>
      <c r="BG45" s="12" t="s">
        <v>225</v>
      </c>
      <c r="BH45" s="12" t="s">
        <v>225</v>
      </c>
      <c r="BI45" s="12" t="s">
        <v>225</v>
      </c>
      <c r="BJ45" s="12" t="s">
        <v>225</v>
      </c>
      <c r="BK45" s="12" t="s">
        <v>225</v>
      </c>
      <c r="BL45" s="12" t="s">
        <v>225</v>
      </c>
      <c r="BM45" s="12" t="s">
        <v>225</v>
      </c>
      <c r="BN45" s="12" t="s">
        <v>225</v>
      </c>
      <c r="BO45" s="12">
        <v>0.10808797252164895</v>
      </c>
      <c r="BP45" s="12">
        <v>1.1105701333571665</v>
      </c>
      <c r="BQ45" s="12">
        <v>2330.6290711934121</v>
      </c>
      <c r="BR45" s="12" t="s">
        <v>225</v>
      </c>
      <c r="BS45" s="12">
        <v>94.093416935079944</v>
      </c>
      <c r="BT45" s="12" t="s">
        <v>225</v>
      </c>
      <c r="BU45" s="12" t="s">
        <v>225</v>
      </c>
      <c r="BV45" s="12">
        <v>416.36213049974992</v>
      </c>
      <c r="BW45" s="12" t="s">
        <v>225</v>
      </c>
      <c r="BX45" s="12">
        <v>52850.195667739878</v>
      </c>
      <c r="BY45" s="12">
        <v>2921.9025434653686</v>
      </c>
      <c r="BZ45" s="12">
        <v>1046.618573735858</v>
      </c>
      <c r="CA45" s="12">
        <v>323.01773542666558</v>
      </c>
      <c r="CB45" s="12">
        <v>518395.70937256404</v>
      </c>
      <c r="CC45" s="12">
        <v>172.12268189655583</v>
      </c>
      <c r="CD45" s="12">
        <v>261742.2022041906</v>
      </c>
      <c r="CE45" s="12">
        <v>12739.568805125944</v>
      </c>
      <c r="CF45" s="12" t="s">
        <v>225</v>
      </c>
      <c r="CG45" s="12">
        <v>21.731857796308329</v>
      </c>
      <c r="CH45" s="12">
        <v>1631.5881058330024</v>
      </c>
      <c r="CI45" s="12" t="s">
        <v>225</v>
      </c>
      <c r="CJ45" s="12" t="s">
        <v>225</v>
      </c>
      <c r="CK45" s="12" t="s">
        <v>225</v>
      </c>
      <c r="CL45" s="12" t="s">
        <v>225</v>
      </c>
      <c r="CM45" s="12" t="s">
        <v>225</v>
      </c>
      <c r="CN45" s="12" t="s">
        <v>225</v>
      </c>
      <c r="CO45" s="12" t="s">
        <v>225</v>
      </c>
      <c r="CP45" s="12" t="s">
        <v>225</v>
      </c>
      <c r="CQ45" s="12" t="s">
        <v>225</v>
      </c>
      <c r="CR45" s="12" t="s">
        <v>225</v>
      </c>
      <c r="CS45" s="12" t="s">
        <v>225</v>
      </c>
      <c r="CT45" s="12" t="s">
        <v>225</v>
      </c>
      <c r="CU45" s="12" t="s">
        <v>225</v>
      </c>
      <c r="CV45" s="12" t="s">
        <v>225</v>
      </c>
      <c r="CW45" s="12" t="s">
        <v>225</v>
      </c>
      <c r="CX45" s="12" t="s">
        <v>225</v>
      </c>
      <c r="CY45" s="12">
        <v>13.339256290501435</v>
      </c>
      <c r="CZ45" s="12">
        <v>30.88603146343107</v>
      </c>
      <c r="DA45" s="12">
        <v>441742330.31111109</v>
      </c>
      <c r="DB45" s="12" t="s">
        <v>225</v>
      </c>
      <c r="DC45" s="12">
        <v>21388105.955555554</v>
      </c>
      <c r="DD45" s="12" t="s">
        <v>225</v>
      </c>
      <c r="DE45" s="12" t="s">
        <v>225</v>
      </c>
      <c r="DF45" s="12">
        <v>30542455.466666665</v>
      </c>
      <c r="DG45" s="12" t="s">
        <v>225</v>
      </c>
      <c r="DH45" s="12">
        <v>948688133.68888891</v>
      </c>
      <c r="DI45" s="12">
        <v>173751677.15555555</v>
      </c>
      <c r="DJ45" s="12">
        <v>94880585.955555558</v>
      </c>
      <c r="DK45" s="12">
        <v>190937019.73333332</v>
      </c>
      <c r="DL45" s="12">
        <v>426625922.84444445</v>
      </c>
      <c r="DM45" s="12">
        <v>45426176</v>
      </c>
      <c r="DN45" s="12">
        <v>394162039.46666664</v>
      </c>
      <c r="DO45" s="12">
        <v>91495338.666666672</v>
      </c>
      <c r="DP45" s="12" t="s">
        <v>225</v>
      </c>
      <c r="DQ45" s="12">
        <v>105556394.66666667</v>
      </c>
      <c r="DR45" s="12">
        <v>21285614.933333334</v>
      </c>
      <c r="DS45" s="12" t="s">
        <v>225</v>
      </c>
      <c r="DT45" s="12" t="s">
        <v>225</v>
      </c>
      <c r="DU45" s="12" t="s">
        <v>225</v>
      </c>
      <c r="DV45" s="12" t="s">
        <v>225</v>
      </c>
      <c r="DW45" s="12" t="s">
        <v>225</v>
      </c>
      <c r="DX45" s="12" t="s">
        <v>225</v>
      </c>
      <c r="DY45" s="12" t="s">
        <v>225</v>
      </c>
      <c r="DZ45" s="12" t="s">
        <v>225</v>
      </c>
      <c r="EA45" s="12" t="s">
        <v>225</v>
      </c>
      <c r="EB45" s="12" t="s">
        <v>225</v>
      </c>
      <c r="EC45" s="12" t="s">
        <v>225</v>
      </c>
      <c r="ED45" s="12" t="s">
        <v>225</v>
      </c>
      <c r="EE45" s="12" t="s">
        <v>225</v>
      </c>
      <c r="EF45" s="12" t="s">
        <v>225</v>
      </c>
      <c r="EG45" s="12" t="s">
        <v>225</v>
      </c>
      <c r="EH45" s="12" t="s">
        <v>225</v>
      </c>
      <c r="EI45" s="12">
        <v>70573312</v>
      </c>
      <c r="EJ45" s="12">
        <v>27603979.377777778</v>
      </c>
      <c r="EK45" s="12">
        <v>9.7211401527181742</v>
      </c>
      <c r="EL45" s="12">
        <v>18.5637186346585</v>
      </c>
      <c r="EM45" s="12">
        <v>8.5607193889060458</v>
      </c>
      <c r="EN45" s="12" t="s">
        <v>225</v>
      </c>
      <c r="EO45" s="12" t="s">
        <v>225</v>
      </c>
      <c r="EP45" s="12"/>
    </row>
    <row r="46" spans="1:146" x14ac:dyDescent="0.25">
      <c r="A46" s="25" t="s">
        <v>315</v>
      </c>
      <c r="B46" s="25" t="s">
        <v>316</v>
      </c>
      <c r="C46" s="17"/>
      <c r="D46" s="17"/>
      <c r="E46" s="17" t="s">
        <v>47</v>
      </c>
      <c r="F46" s="67">
        <v>32</v>
      </c>
      <c r="G46" s="67">
        <v>512</v>
      </c>
      <c r="H46" s="32"/>
      <c r="I46" s="32" t="s">
        <v>242</v>
      </c>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row>
    <row r="47" spans="1:146" x14ac:dyDescent="0.25">
      <c r="A47" s="25" t="s">
        <v>317</v>
      </c>
      <c r="B47" s="25" t="s">
        <v>318</v>
      </c>
      <c r="C47" s="17"/>
      <c r="D47" s="17"/>
      <c r="E47" s="17" t="s">
        <v>48</v>
      </c>
      <c r="F47" s="54">
        <v>16</v>
      </c>
      <c r="G47" s="54">
        <v>512</v>
      </c>
      <c r="H47" s="32"/>
      <c r="I47" s="32" t="s">
        <v>242</v>
      </c>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c r="EC47" s="12"/>
      <c r="ED47" s="12"/>
      <c r="EE47" s="12"/>
      <c r="EF47" s="12"/>
      <c r="EG47" s="12"/>
      <c r="EH47" s="12"/>
      <c r="EI47" s="12"/>
      <c r="EJ47" s="12"/>
      <c r="EK47" s="12"/>
      <c r="EL47" s="12"/>
      <c r="EM47" s="12"/>
      <c r="EN47" s="12"/>
      <c r="EO47" s="12"/>
      <c r="EP47" s="12"/>
    </row>
    <row r="48" spans="1:146" x14ac:dyDescent="0.25">
      <c r="A48" s="52" t="s">
        <v>319</v>
      </c>
      <c r="B48" s="52" t="s">
        <v>320</v>
      </c>
      <c r="C48" s="55"/>
      <c r="D48" s="55"/>
      <c r="E48" s="55" t="s">
        <v>48</v>
      </c>
      <c r="F48" s="54">
        <v>16</v>
      </c>
      <c r="G48" s="54">
        <v>512</v>
      </c>
      <c r="H48" s="53"/>
      <c r="I48" s="53" t="s">
        <v>233</v>
      </c>
      <c r="J48" s="12">
        <v>3213.2829403606102</v>
      </c>
      <c r="K48" s="12">
        <v>8528.3708311129067</v>
      </c>
      <c r="L48" s="12">
        <v>343.3891693293167</v>
      </c>
      <c r="M48" s="12"/>
      <c r="N48" s="12"/>
      <c r="O48" s="12"/>
      <c r="P48" s="12">
        <v>0.21974502177788011</v>
      </c>
      <c r="Q48" s="12">
        <v>21465.007376477937</v>
      </c>
      <c r="R48" s="12"/>
      <c r="S48" s="12"/>
      <c r="T48" s="12">
        <v>13110.119096810775</v>
      </c>
      <c r="U48" s="12"/>
      <c r="V48" s="12"/>
      <c r="W48" s="12"/>
      <c r="X48" s="12"/>
      <c r="Y48" s="12"/>
      <c r="Z48" s="12">
        <v>31693.97395201162</v>
      </c>
      <c r="AA48" s="12"/>
      <c r="AB48" s="12"/>
      <c r="AC48" s="12"/>
      <c r="AD48" s="12">
        <v>97.483636535727101</v>
      </c>
      <c r="AE48" s="12">
        <v>47092.705571363338</v>
      </c>
      <c r="AF48" s="12">
        <v>20480.416364550245</v>
      </c>
      <c r="AG48" s="12"/>
      <c r="AH48" s="12"/>
      <c r="AI48" s="12">
        <v>0.16729044936709367</v>
      </c>
      <c r="AJ48" s="12"/>
      <c r="AK48" s="12"/>
      <c r="AL48" s="12">
        <v>1.1221127327208185</v>
      </c>
      <c r="AM48" s="12"/>
      <c r="AN48" s="12">
        <v>13.57157421842169</v>
      </c>
      <c r="AO48" s="12">
        <v>9.5093256432560794E-2</v>
      </c>
      <c r="AP48" s="12">
        <v>0.22522288334696311</v>
      </c>
      <c r="AQ48" s="12">
        <v>0.7863452477489008</v>
      </c>
      <c r="AR48" s="12">
        <v>14.719165631394016</v>
      </c>
      <c r="AS48" s="12">
        <v>0.14148238696605786</v>
      </c>
      <c r="AT48" s="12">
        <v>2.8655301459865012</v>
      </c>
      <c r="AU48" s="12">
        <v>0.54337226243020309</v>
      </c>
      <c r="AV48" s="12"/>
      <c r="AW48" s="12">
        <v>0.56911746382417805</v>
      </c>
      <c r="AX48" s="12">
        <v>5.0585006357576429E-2</v>
      </c>
      <c r="AY48" s="12">
        <v>0.43355995545076065</v>
      </c>
      <c r="AZ48" s="12"/>
      <c r="BA48" s="12"/>
      <c r="BB48" s="12"/>
      <c r="BC48" s="12"/>
      <c r="BD48" s="12"/>
      <c r="BE48" s="12"/>
      <c r="BF48" s="12"/>
      <c r="BG48" s="12"/>
      <c r="BH48" s="12"/>
      <c r="BI48" s="12"/>
      <c r="BJ48" s="12"/>
      <c r="BK48" s="12">
        <v>4.7272166056175017E-3</v>
      </c>
      <c r="BL48" s="12"/>
      <c r="BM48" s="12"/>
      <c r="BN48" s="12"/>
      <c r="BO48" s="12">
        <v>0.10994352817753811</v>
      </c>
      <c r="BP48" s="12">
        <v>1.1763497355174843</v>
      </c>
      <c r="BQ48" s="12"/>
      <c r="BR48" s="12"/>
      <c r="BS48" s="12">
        <v>99.41880261236885</v>
      </c>
      <c r="BT48" s="12"/>
      <c r="BU48" s="12"/>
      <c r="BV48" s="12">
        <v>287.57087572933267</v>
      </c>
      <c r="BW48" s="12"/>
      <c r="BX48" s="12">
        <v>9616.4093685139742</v>
      </c>
      <c r="BY48" s="12">
        <v>852.54077310938885</v>
      </c>
      <c r="BZ48" s="12">
        <v>8.0748207629788471</v>
      </c>
      <c r="CA48" s="12">
        <v>39.203402682902002</v>
      </c>
      <c r="CB48" s="12">
        <v>499134.13811872783</v>
      </c>
      <c r="CC48" s="12">
        <v>11130.225721889998</v>
      </c>
      <c r="CD48" s="12">
        <v>165590.31249254875</v>
      </c>
      <c r="CE48" s="12">
        <v>8512.254990861793</v>
      </c>
      <c r="CF48" s="12"/>
      <c r="CG48" s="12">
        <v>882.32588463245133</v>
      </c>
      <c r="CH48" s="12">
        <v>113.683914599546</v>
      </c>
      <c r="CI48" s="12">
        <v>1128.2795872074194</v>
      </c>
      <c r="CJ48" s="12"/>
      <c r="CK48" s="12"/>
      <c r="CL48" s="12"/>
      <c r="CM48" s="12"/>
      <c r="CN48" s="12"/>
      <c r="CO48" s="12"/>
      <c r="CP48" s="12"/>
      <c r="CQ48" s="12"/>
      <c r="CR48" s="12"/>
      <c r="CS48" s="12"/>
      <c r="CT48" s="12"/>
      <c r="CU48" s="12">
        <v>9.7672744345492397</v>
      </c>
      <c r="CV48" s="12"/>
      <c r="CW48" s="12"/>
      <c r="CX48" s="12"/>
      <c r="CY48" s="12">
        <v>13.233167098666273</v>
      </c>
      <c r="CZ48" s="12">
        <v>16.132119874078349</v>
      </c>
      <c r="DA48" s="12"/>
      <c r="DB48" s="12"/>
      <c r="DC48" s="12">
        <v>23705886.890429959</v>
      </c>
      <c r="DD48" s="12"/>
      <c r="DE48" s="12"/>
      <c r="DF48" s="12">
        <v>51351000.943134539</v>
      </c>
      <c r="DG48" s="12"/>
      <c r="DH48" s="12">
        <v>952966776.01109564</v>
      </c>
      <c r="DI48" s="12">
        <v>142522848.04438281</v>
      </c>
      <c r="DJ48" s="12">
        <v>76851538.01941748</v>
      </c>
      <c r="DK48" s="12">
        <v>159247009.19833565</v>
      </c>
      <c r="DL48" s="12">
        <v>407942165.30374479</v>
      </c>
      <c r="DM48" s="12">
        <v>54837696.798890427</v>
      </c>
      <c r="DN48" s="12">
        <v>250846726.39112344</v>
      </c>
      <c r="DO48" s="12">
        <v>94811492.482662961</v>
      </c>
      <c r="DP48" s="12"/>
      <c r="DQ48" s="12">
        <v>126648166.61303745</v>
      </c>
      <c r="DR48" s="12">
        <v>23346404.660194173</v>
      </c>
      <c r="DS48" s="12">
        <v>495270078.31345356</v>
      </c>
      <c r="DT48" s="12"/>
      <c r="DU48" s="12"/>
      <c r="DV48" s="12"/>
      <c r="DW48" s="12"/>
      <c r="DX48" s="12"/>
      <c r="DY48" s="12"/>
      <c r="DZ48" s="12"/>
      <c r="EA48" s="12"/>
      <c r="EB48" s="12"/>
      <c r="EC48" s="12"/>
      <c r="ED48" s="12"/>
      <c r="EE48" s="12">
        <v>9990712.0998613033</v>
      </c>
      <c r="EF48" s="12"/>
      <c r="EG48" s="12"/>
      <c r="EH48" s="12"/>
      <c r="EI48" s="12">
        <v>64597976.233009711</v>
      </c>
      <c r="EJ48" s="12">
        <v>27603909.769764215</v>
      </c>
      <c r="EK48" s="12">
        <v>9.2353434858709313</v>
      </c>
      <c r="EL48" s="12">
        <v>17.903391939552801</v>
      </c>
      <c r="EM48" s="12">
        <v>8.5191535615872578</v>
      </c>
      <c r="EN48" s="12"/>
      <c r="EO48" s="12"/>
      <c r="EP48" s="12"/>
    </row>
    <row r="49" spans="1:146" x14ac:dyDescent="0.25">
      <c r="A49" s="25" t="s">
        <v>321</v>
      </c>
      <c r="B49" s="25" t="s">
        <v>322</v>
      </c>
      <c r="C49" s="17"/>
      <c r="D49" s="17"/>
      <c r="E49" s="17" t="s">
        <v>48</v>
      </c>
      <c r="F49" s="37">
        <v>16</v>
      </c>
      <c r="G49" s="37">
        <v>256</v>
      </c>
      <c r="H49" s="32"/>
      <c r="I49" s="32" t="s">
        <v>242</v>
      </c>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c r="BL49" s="12"/>
      <c r="BM49" s="12"/>
      <c r="BN49" s="12"/>
      <c r="BO49" s="12"/>
      <c r="BP49" s="12"/>
      <c r="BQ49" s="12"/>
      <c r="BR49" s="12"/>
      <c r="BS49" s="12"/>
      <c r="BT49" s="12"/>
      <c r="BU49" s="12"/>
      <c r="BV49" s="12"/>
      <c r="BW49" s="12"/>
      <c r="BX49" s="12"/>
      <c r="BY49" s="12"/>
      <c r="BZ49" s="12"/>
      <c r="CA49" s="12"/>
      <c r="CB49" s="12"/>
      <c r="CC49" s="12"/>
      <c r="CD49" s="12"/>
      <c r="CE49" s="12"/>
      <c r="CF49" s="12"/>
      <c r="CG49" s="12"/>
      <c r="CH49" s="12"/>
      <c r="CI49" s="12"/>
      <c r="CJ49" s="12"/>
      <c r="CK49" s="12"/>
      <c r="CL49" s="12"/>
      <c r="CM49" s="12"/>
      <c r="CN49" s="12"/>
      <c r="CO49" s="12"/>
      <c r="CP49" s="12"/>
      <c r="CQ49" s="12"/>
      <c r="CR49" s="12"/>
      <c r="CS49" s="12"/>
      <c r="CT49" s="12"/>
      <c r="CU49" s="12"/>
      <c r="CV49" s="12"/>
      <c r="CW49" s="12"/>
      <c r="CX49" s="12"/>
      <c r="CY49" s="12"/>
      <c r="CZ49" s="12"/>
      <c r="DA49" s="12"/>
      <c r="DB49" s="12"/>
      <c r="DC49" s="12"/>
      <c r="DD49" s="12"/>
      <c r="DE49" s="12"/>
      <c r="DF49" s="12"/>
      <c r="DG49" s="12"/>
      <c r="DH49" s="12"/>
      <c r="DI49" s="12"/>
      <c r="DJ49" s="12"/>
      <c r="DK49" s="12"/>
      <c r="DL49" s="12"/>
      <c r="DM49" s="12"/>
      <c r="DN49" s="12"/>
      <c r="DO49" s="12"/>
      <c r="DP49" s="12"/>
      <c r="DQ49" s="12"/>
      <c r="DR49" s="12"/>
      <c r="DS49" s="12"/>
      <c r="DT49" s="12"/>
      <c r="DU49" s="12"/>
      <c r="DV49" s="12"/>
      <c r="DW49" s="12"/>
      <c r="DX49" s="12"/>
      <c r="DY49" s="12"/>
      <c r="DZ49" s="12"/>
      <c r="EA49" s="12"/>
      <c r="EB49" s="12"/>
      <c r="EC49" s="12"/>
      <c r="ED49" s="12"/>
      <c r="EE49" s="12"/>
      <c r="EF49" s="12"/>
      <c r="EG49" s="12"/>
      <c r="EH49" s="12"/>
      <c r="EI49" s="12"/>
      <c r="EJ49" s="12"/>
      <c r="EK49" s="12"/>
      <c r="EL49" s="12"/>
      <c r="EM49" s="12"/>
      <c r="EN49" s="12"/>
      <c r="EO49" s="12"/>
      <c r="EP49" s="12"/>
    </row>
    <row r="50" spans="1:146" x14ac:dyDescent="0.25">
      <c r="A50" s="52" t="s">
        <v>323</v>
      </c>
      <c r="B50" s="52" t="s">
        <v>324</v>
      </c>
      <c r="C50" s="55"/>
      <c r="D50" s="55"/>
      <c r="E50" s="55" t="s">
        <v>48</v>
      </c>
      <c r="F50" s="37">
        <v>16</v>
      </c>
      <c r="G50" s="37">
        <v>256</v>
      </c>
      <c r="H50" s="53"/>
      <c r="I50" s="53" t="s">
        <v>233</v>
      </c>
      <c r="J50" s="12">
        <v>3496.3911234396674</v>
      </c>
      <c r="K50" s="12">
        <v>8613.4551214321218</v>
      </c>
      <c r="L50" s="12">
        <v>193.67705721945632</v>
      </c>
      <c r="M50" s="12"/>
      <c r="N50" s="12"/>
      <c r="O50" s="12"/>
      <c r="P50" s="12">
        <v>0.45474150031240523</v>
      </c>
      <c r="Q50" s="12">
        <v>11642.191612759994</v>
      </c>
      <c r="R50" s="12"/>
      <c r="S50" s="12"/>
      <c r="T50" s="12">
        <v>455.74572464919817</v>
      </c>
      <c r="U50" s="12"/>
      <c r="V50" s="12"/>
      <c r="W50" s="12"/>
      <c r="X50" s="12"/>
      <c r="Y50" s="12"/>
      <c r="Z50" s="12">
        <v>33364.302112179088</v>
      </c>
      <c r="AA50" s="12"/>
      <c r="AB50" s="12"/>
      <c r="AC50" s="12"/>
      <c r="AD50" s="12">
        <v>98.630697721754046</v>
      </c>
      <c r="AE50" s="12">
        <v>44379.87093184331</v>
      </c>
      <c r="AF50" s="12">
        <v>18952.805659492209</v>
      </c>
      <c r="AG50" s="12"/>
      <c r="AH50" s="12"/>
      <c r="AI50" s="12">
        <v>0.1520654876966496</v>
      </c>
      <c r="AJ50" s="12"/>
      <c r="AK50" s="12"/>
      <c r="AL50" s="12">
        <v>0.80871836593031188</v>
      </c>
      <c r="AM50" s="12"/>
      <c r="AN50" s="12">
        <v>11.733179228704659</v>
      </c>
      <c r="AO50" s="12">
        <v>9.0653434431578042E-2</v>
      </c>
      <c r="AP50" s="12">
        <v>0.14316693907162734</v>
      </c>
      <c r="AQ50" s="12">
        <v>0.65485394001708175</v>
      </c>
      <c r="AR50" s="12">
        <v>16.733002230311222</v>
      </c>
      <c r="AS50" s="12">
        <v>0.76401628874361827</v>
      </c>
      <c r="AT50" s="12">
        <v>2.2511629219283935</v>
      </c>
      <c r="AU50" s="12">
        <v>0.52594963176383136</v>
      </c>
      <c r="AV50" s="12">
        <v>3.2810622882184712E-2</v>
      </c>
      <c r="AW50" s="12">
        <v>0.85229404570372935</v>
      </c>
      <c r="AX50" s="12">
        <v>3.7758572018440767E-2</v>
      </c>
      <c r="AY50" s="12"/>
      <c r="AZ50" s="12"/>
      <c r="BA50" s="12"/>
      <c r="BB50" s="12"/>
      <c r="BC50" s="12"/>
      <c r="BD50" s="12"/>
      <c r="BE50" s="12"/>
      <c r="BF50" s="12"/>
      <c r="BG50" s="12"/>
      <c r="BH50" s="12"/>
      <c r="BI50" s="12"/>
      <c r="BJ50" s="12"/>
      <c r="BK50" s="12"/>
      <c r="BL50" s="12"/>
      <c r="BM50" s="12"/>
      <c r="BN50" s="12"/>
      <c r="BO50" s="12">
        <v>9.7099814802189169E-2</v>
      </c>
      <c r="BP50" s="12">
        <v>0.80263282249742784</v>
      </c>
      <c r="BQ50" s="12"/>
      <c r="BR50" s="12"/>
      <c r="BS50" s="12">
        <v>93.560593539964472</v>
      </c>
      <c r="BT50" s="12"/>
      <c r="BU50" s="12"/>
      <c r="BV50" s="12">
        <v>236.2579632036626</v>
      </c>
      <c r="BW50" s="12"/>
      <c r="BX50" s="12">
        <v>19056.150444042352</v>
      </c>
      <c r="BY50" s="12">
        <v>428.15484620763311</v>
      </c>
      <c r="BZ50" s="12">
        <v>99.562671856600318</v>
      </c>
      <c r="CA50" s="12">
        <v>49.205833394319143</v>
      </c>
      <c r="CB50" s="12">
        <v>423583.00821443123</v>
      </c>
      <c r="CC50" s="12">
        <v>80237.079042537749</v>
      </c>
      <c r="CD50" s="12">
        <v>103214.78928057448</v>
      </c>
      <c r="CE50" s="12">
        <v>4811.1149462266103</v>
      </c>
      <c r="CF50" s="12">
        <v>20.272169639802843</v>
      </c>
      <c r="CG50" s="12">
        <v>2229.6485404892996</v>
      </c>
      <c r="CH50" s="12">
        <v>113.88400277229304</v>
      </c>
      <c r="CI50" s="12"/>
      <c r="CJ50" s="12"/>
      <c r="CK50" s="12"/>
      <c r="CL50" s="12"/>
      <c r="CM50" s="12"/>
      <c r="CN50" s="12"/>
      <c r="CO50" s="12"/>
      <c r="CP50" s="12"/>
      <c r="CQ50" s="12"/>
      <c r="CR50" s="12"/>
      <c r="CS50" s="12"/>
      <c r="CT50" s="12"/>
      <c r="CU50" s="12"/>
      <c r="CV50" s="12"/>
      <c r="CW50" s="12"/>
      <c r="CX50" s="12"/>
      <c r="CY50" s="12">
        <v>13.159395095970465</v>
      </c>
      <c r="CZ50" s="12">
        <v>14.884411726287603</v>
      </c>
      <c r="DA50" s="12"/>
      <c r="DB50" s="12"/>
      <c r="DC50" s="12">
        <v>23416303.667128988</v>
      </c>
      <c r="DD50" s="12"/>
      <c r="DE50" s="12"/>
      <c r="DF50" s="12">
        <v>24542976.355062414</v>
      </c>
      <c r="DG50" s="12"/>
      <c r="DH50" s="12">
        <v>1249411492.3938973</v>
      </c>
      <c r="DI50" s="12">
        <v>131611484.67128988</v>
      </c>
      <c r="DJ50" s="12">
        <v>87803935.245492369</v>
      </c>
      <c r="DK50" s="12">
        <v>193566211.55062413</v>
      </c>
      <c r="DL50" s="12">
        <v>384852229.3259362</v>
      </c>
      <c r="DM50" s="12">
        <v>102884827.78363384</v>
      </c>
      <c r="DN50" s="12">
        <v>161551546.05270457</v>
      </c>
      <c r="DO50" s="12">
        <v>93754582.457697645</v>
      </c>
      <c r="DP50" s="12">
        <v>91925249.775312066</v>
      </c>
      <c r="DQ50" s="12">
        <v>295686838.23728812</v>
      </c>
      <c r="DR50" s="12">
        <v>21566701.181692094</v>
      </c>
      <c r="DS50" s="12"/>
      <c r="DT50" s="12"/>
      <c r="DU50" s="12"/>
      <c r="DV50" s="12"/>
      <c r="DW50" s="12"/>
      <c r="DX50" s="12"/>
      <c r="DY50" s="12"/>
      <c r="DZ50" s="12"/>
      <c r="EA50" s="12"/>
      <c r="EB50" s="12"/>
      <c r="EC50" s="12"/>
      <c r="ED50" s="12"/>
      <c r="EE50" s="12"/>
      <c r="EF50" s="12"/>
      <c r="EG50" s="12"/>
      <c r="EH50" s="12"/>
      <c r="EI50" s="12">
        <v>69440987.783633843</v>
      </c>
      <c r="EJ50" s="12">
        <v>27040019.528432731</v>
      </c>
      <c r="EK50" s="12">
        <v>8.5365783745989781</v>
      </c>
      <c r="EL50" s="12">
        <v>16.478085117798887</v>
      </c>
      <c r="EM50" s="12">
        <v>7.9386334098823266</v>
      </c>
      <c r="EN50" s="12"/>
      <c r="EO50" s="12"/>
      <c r="EP50" s="12"/>
    </row>
    <row r="51" spans="1:146" x14ac:dyDescent="0.25">
      <c r="A51" s="52" t="s">
        <v>325</v>
      </c>
      <c r="B51" s="52" t="s">
        <v>326</v>
      </c>
      <c r="C51" s="55"/>
      <c r="D51" s="55"/>
      <c r="E51" s="55" t="s">
        <v>48</v>
      </c>
      <c r="F51" s="68">
        <v>32</v>
      </c>
      <c r="G51" s="68" t="s">
        <v>231</v>
      </c>
      <c r="H51" s="53"/>
      <c r="I51" s="53" t="s">
        <v>233</v>
      </c>
      <c r="J51" s="12">
        <v>6909.9680998613039</v>
      </c>
      <c r="K51" s="12">
        <v>25922.990943190056</v>
      </c>
      <c r="L51" s="12">
        <v>234.48407199452564</v>
      </c>
      <c r="M51" s="12"/>
      <c r="N51" s="12"/>
      <c r="O51" s="12"/>
      <c r="P51" s="12"/>
      <c r="Q51" s="12">
        <v>46471.480959601104</v>
      </c>
      <c r="R51" s="12"/>
      <c r="S51" s="12"/>
      <c r="T51" s="12">
        <v>95071.802390414232</v>
      </c>
      <c r="U51" s="12">
        <v>10.29694213413285</v>
      </c>
      <c r="V51" s="12"/>
      <c r="W51" s="12"/>
      <c r="X51" s="12"/>
      <c r="Y51" s="12"/>
      <c r="Z51" s="12"/>
      <c r="AA51" s="12"/>
      <c r="AB51" s="12"/>
      <c r="AC51" s="12"/>
      <c r="AD51" s="12">
        <v>99.074239391949277</v>
      </c>
      <c r="AE51" s="12">
        <v>30998.135064572158</v>
      </c>
      <c r="AF51" s="12">
        <v>16636.016239123532</v>
      </c>
      <c r="AG51" s="12"/>
      <c r="AH51" s="12"/>
      <c r="AI51" s="12">
        <v>0.13845837511769499</v>
      </c>
      <c r="AJ51" s="12"/>
      <c r="AK51" s="12"/>
      <c r="AL51" s="12">
        <v>0.98959701257075372</v>
      </c>
      <c r="AM51" s="12"/>
      <c r="AN51" s="12">
        <v>13.252898242735894</v>
      </c>
      <c r="AO51" s="12"/>
      <c r="AP51" s="12"/>
      <c r="AQ51" s="12">
        <v>0.52995876322019819</v>
      </c>
      <c r="AR51" s="12">
        <v>24.298824877268544</v>
      </c>
      <c r="AS51" s="12">
        <v>6.6042180582249449E-2</v>
      </c>
      <c r="AT51" s="12">
        <v>0.1454634406234965</v>
      </c>
      <c r="AU51" s="12">
        <v>0.56842711568143867</v>
      </c>
      <c r="AV51" s="12">
        <v>5.8248000597545792E-2</v>
      </c>
      <c r="AW51" s="12"/>
      <c r="AX51" s="12">
        <v>4.8108277176561992E-2</v>
      </c>
      <c r="AY51" s="12"/>
      <c r="AZ51" s="12"/>
      <c r="BA51" s="12"/>
      <c r="BB51" s="12"/>
      <c r="BC51" s="12"/>
      <c r="BD51" s="12"/>
      <c r="BE51" s="12">
        <v>5.4678951677308731</v>
      </c>
      <c r="BF51" s="12"/>
      <c r="BG51" s="12"/>
      <c r="BH51" s="12"/>
      <c r="BI51" s="12"/>
      <c r="BJ51" s="12"/>
      <c r="BK51" s="12"/>
      <c r="BL51" s="12"/>
      <c r="BM51" s="12"/>
      <c r="BN51" s="12"/>
      <c r="BO51" s="12">
        <v>0.11306500983977454</v>
      </c>
      <c r="BP51" s="12">
        <v>0.88273875210830677</v>
      </c>
      <c r="BQ51" s="12"/>
      <c r="BR51" s="12"/>
      <c r="BS51" s="12">
        <v>96.512566313537349</v>
      </c>
      <c r="BT51" s="12"/>
      <c r="BU51" s="12"/>
      <c r="BV51" s="12">
        <v>135.90354264598167</v>
      </c>
      <c r="BW51" s="12"/>
      <c r="BX51" s="12">
        <v>5680.3515786619109</v>
      </c>
      <c r="BY51" s="12"/>
      <c r="BZ51" s="12"/>
      <c r="CA51" s="12">
        <v>0</v>
      </c>
      <c r="CB51" s="12">
        <v>1088657.3384654468</v>
      </c>
      <c r="CC51" s="12">
        <v>699.01827270866795</v>
      </c>
      <c r="CD51" s="12">
        <v>2761.4555611329561</v>
      </c>
      <c r="CE51" s="12">
        <v>19900.231657619868</v>
      </c>
      <c r="CF51" s="12">
        <v>1104.816288246617</v>
      </c>
      <c r="CG51" s="12"/>
      <c r="CH51" s="12">
        <v>119.13607184515111</v>
      </c>
      <c r="CI51" s="12"/>
      <c r="CJ51" s="12"/>
      <c r="CK51" s="12"/>
      <c r="CL51" s="12"/>
      <c r="CM51" s="12"/>
      <c r="CN51" s="12"/>
      <c r="CO51" s="12">
        <v>552953.5967301944</v>
      </c>
      <c r="CP51" s="12"/>
      <c r="CQ51" s="12"/>
      <c r="CR51" s="12"/>
      <c r="CS51" s="12"/>
      <c r="CT51" s="12"/>
      <c r="CU51" s="12"/>
      <c r="CV51" s="12"/>
      <c r="CW51" s="12"/>
      <c r="CX51" s="12"/>
      <c r="CY51" s="12">
        <v>13.329623118914192</v>
      </c>
      <c r="CZ51" s="12">
        <v>27.574072241935259</v>
      </c>
      <c r="DA51" s="12"/>
      <c r="DB51" s="12"/>
      <c r="DC51" s="12">
        <v>25175066.984743413</v>
      </c>
      <c r="DD51" s="12"/>
      <c r="DE51" s="12"/>
      <c r="DF51" s="12">
        <v>77651746.441054091</v>
      </c>
      <c r="DG51" s="12"/>
      <c r="DH51" s="12">
        <v>1815530809.8751733</v>
      </c>
      <c r="DI51" s="12"/>
      <c r="DJ51" s="12"/>
      <c r="DK51" s="12">
        <v>157824191.7337032</v>
      </c>
      <c r="DL51" s="12">
        <v>487830140.27184469</v>
      </c>
      <c r="DM51" s="12">
        <v>46388012.382801667</v>
      </c>
      <c r="DN51" s="12">
        <v>81283125.969486818</v>
      </c>
      <c r="DO51" s="12">
        <v>105478817.19833565</v>
      </c>
      <c r="DP51" s="12">
        <v>97132725.79195562</v>
      </c>
      <c r="DQ51" s="12"/>
      <c r="DR51" s="12">
        <v>23047964.760055479</v>
      </c>
      <c r="DS51" s="12"/>
      <c r="DT51" s="12"/>
      <c r="DU51" s="12"/>
      <c r="DV51" s="12"/>
      <c r="DW51" s="12"/>
      <c r="DX51" s="12"/>
      <c r="DY51" s="12">
        <v>342301123.63938975</v>
      </c>
      <c r="DZ51" s="12"/>
      <c r="EA51" s="12"/>
      <c r="EB51" s="12"/>
      <c r="EC51" s="12"/>
      <c r="ED51" s="12"/>
      <c r="EE51" s="12"/>
      <c r="EF51" s="12"/>
      <c r="EG51" s="12"/>
      <c r="EH51" s="12"/>
      <c r="EI51" s="12">
        <v>65996791.47850208</v>
      </c>
      <c r="EJ51" s="12">
        <v>28521641.009708736</v>
      </c>
      <c r="EK51" s="12">
        <v>15.845322836203026</v>
      </c>
      <c r="EL51" s="12">
        <v>27.07252887225857</v>
      </c>
      <c r="EM51" s="12">
        <v>11.227388793739468</v>
      </c>
      <c r="EN51" s="12"/>
      <c r="EO51" s="12"/>
      <c r="EP51" s="12"/>
    </row>
    <row r="52" spans="1:146" x14ac:dyDescent="0.25">
      <c r="A52" s="52" t="s">
        <v>327</v>
      </c>
      <c r="B52" s="52" t="s">
        <v>328</v>
      </c>
      <c r="C52" s="53"/>
      <c r="D52" s="53"/>
      <c r="E52" s="55" t="s">
        <v>47</v>
      </c>
      <c r="F52" s="50">
        <v>32</v>
      </c>
      <c r="G52" s="50">
        <v>512</v>
      </c>
      <c r="H52" s="53"/>
      <c r="I52" s="53" t="s">
        <v>233</v>
      </c>
      <c r="J52" s="12">
        <v>14263.477115117892</v>
      </c>
      <c r="K52" s="12">
        <v>14063.288734937754</v>
      </c>
      <c r="L52" s="12">
        <v>49.281549736499763</v>
      </c>
      <c r="M52" s="12"/>
      <c r="N52" s="12"/>
      <c r="O52" s="12"/>
      <c r="P52" s="12">
        <v>7.1926353835881224E-2</v>
      </c>
      <c r="Q52" s="12">
        <v>28126.615900581164</v>
      </c>
      <c r="R52" s="12"/>
      <c r="S52" s="12"/>
      <c r="T52" s="12"/>
      <c r="U52" s="12"/>
      <c r="V52" s="12"/>
      <c r="W52" s="12"/>
      <c r="X52" s="12"/>
      <c r="Y52" s="12"/>
      <c r="Z52" s="12">
        <v>60878.1748139306</v>
      </c>
      <c r="AA52" s="12"/>
      <c r="AB52" s="12"/>
      <c r="AC52" s="12"/>
      <c r="AD52" s="12">
        <v>99.543376396358326</v>
      </c>
      <c r="AE52" s="12">
        <v>67046.248673989132</v>
      </c>
      <c r="AF52" s="12">
        <v>15684.432094571832</v>
      </c>
      <c r="AG52" s="12"/>
      <c r="AH52" s="12"/>
      <c r="AI52" s="12">
        <v>0.10844728324347915</v>
      </c>
      <c r="AJ52" s="12"/>
      <c r="AK52" s="12"/>
      <c r="AL52" s="12">
        <v>0.42069387109043044</v>
      </c>
      <c r="AM52" s="12"/>
      <c r="AN52" s="12"/>
      <c r="AO52" s="12">
        <v>0.43438312904833809</v>
      </c>
      <c r="AP52" s="12">
        <v>0.1457582403553474</v>
      </c>
      <c r="AQ52" s="12">
        <v>0.34699028942622095</v>
      </c>
      <c r="AR52" s="12">
        <v>8.8034709961487163</v>
      </c>
      <c r="AS52" s="12">
        <v>2.0637369949968107E-2</v>
      </c>
      <c r="AT52" s="12">
        <v>0.32029707667476381</v>
      </c>
      <c r="AU52" s="12">
        <v>0.10879755065286641</v>
      </c>
      <c r="AV52" s="12"/>
      <c r="AW52" s="12">
        <v>0.12542465738300401</v>
      </c>
      <c r="AX52" s="12">
        <v>2.9297463793178158E-2</v>
      </c>
      <c r="AY52" s="12"/>
      <c r="AZ52" s="12"/>
      <c r="BA52" s="12"/>
      <c r="BB52" s="12"/>
      <c r="BC52" s="12"/>
      <c r="BD52" s="12"/>
      <c r="BE52" s="12"/>
      <c r="BF52" s="12"/>
      <c r="BG52" s="12"/>
      <c r="BH52" s="12"/>
      <c r="BI52" s="12"/>
      <c r="BJ52" s="12"/>
      <c r="BK52" s="12"/>
      <c r="BL52" s="12"/>
      <c r="BM52" s="12"/>
      <c r="BN52" s="12"/>
      <c r="BO52" s="12">
        <v>2.857224254457226E-2</v>
      </c>
      <c r="BP52" s="12">
        <v>0.28764106020391639</v>
      </c>
      <c r="BQ52" s="12"/>
      <c r="BR52" s="12"/>
      <c r="BS52" s="12">
        <v>105.27412865981847</v>
      </c>
      <c r="BT52" s="12"/>
      <c r="BU52" s="12"/>
      <c r="BV52" s="12">
        <v>131.84943563269695</v>
      </c>
      <c r="BW52" s="12"/>
      <c r="BX52" s="12"/>
      <c r="BY52" s="12">
        <v>3542.9899146058365</v>
      </c>
      <c r="BZ52" s="12">
        <v>6.8910986241654895</v>
      </c>
      <c r="CA52" s="12">
        <v>40.188495931678617</v>
      </c>
      <c r="CB52" s="12">
        <v>145311.00198823638</v>
      </c>
      <c r="CC52" s="12">
        <v>123.84805276629804</v>
      </c>
      <c r="CD52" s="12">
        <v>133421.67662380275</v>
      </c>
      <c r="CE52" s="12">
        <v>6560.8679049897319</v>
      </c>
      <c r="CF52" s="12"/>
      <c r="CG52" s="12">
        <v>24.983154499415637</v>
      </c>
      <c r="CH52" s="12">
        <v>119.12550987062762</v>
      </c>
      <c r="CI52" s="12"/>
      <c r="CJ52" s="12"/>
      <c r="CK52" s="12"/>
      <c r="CL52" s="12"/>
      <c r="CM52" s="12"/>
      <c r="CN52" s="12"/>
      <c r="CO52" s="12"/>
      <c r="CP52" s="12"/>
      <c r="CQ52" s="12"/>
      <c r="CR52" s="12"/>
      <c r="CS52" s="12"/>
      <c r="CT52" s="12"/>
      <c r="CU52" s="12"/>
      <c r="CV52" s="12"/>
      <c r="CW52" s="12"/>
      <c r="CX52" s="12"/>
      <c r="CY52" s="12">
        <v>13.232440361871586</v>
      </c>
      <c r="CZ52" s="12">
        <v>12.565066058328593</v>
      </c>
      <c r="DA52" s="12"/>
      <c r="DB52" s="12"/>
      <c r="DC52" s="12">
        <v>25978087.500693481</v>
      </c>
      <c r="DD52" s="12"/>
      <c r="DE52" s="12"/>
      <c r="DF52" s="12">
        <v>44003612.049930654</v>
      </c>
      <c r="DG52" s="12"/>
      <c r="DH52" s="12"/>
      <c r="DI52" s="12">
        <v>117738486.05825242</v>
      </c>
      <c r="DJ52" s="12">
        <v>74449572.038834944</v>
      </c>
      <c r="DK52" s="12">
        <v>190958241.19833565</v>
      </c>
      <c r="DL52" s="12">
        <v>496928412.93758667</v>
      </c>
      <c r="DM52" s="12">
        <v>43414225.486823857</v>
      </c>
      <c r="DN52" s="12">
        <v>129369643.31761442</v>
      </c>
      <c r="DO52" s="12">
        <v>104862656.08876561</v>
      </c>
      <c r="DP52" s="12"/>
      <c r="DQ52" s="12">
        <v>291445625.07628292</v>
      </c>
      <c r="DR52" s="12">
        <v>23279925.614424411</v>
      </c>
      <c r="DS52" s="12"/>
      <c r="DT52" s="12"/>
      <c r="DU52" s="12"/>
      <c r="DV52" s="12"/>
      <c r="DW52" s="12"/>
      <c r="DX52" s="12"/>
      <c r="DY52" s="12"/>
      <c r="DZ52" s="12"/>
      <c r="EA52" s="12"/>
      <c r="EB52" s="12"/>
      <c r="EC52" s="12"/>
      <c r="ED52" s="12"/>
      <c r="EE52" s="12"/>
      <c r="EF52" s="12"/>
      <c r="EG52" s="12"/>
      <c r="EH52" s="12"/>
      <c r="EI52" s="12">
        <v>66724783.045769766</v>
      </c>
      <c r="EJ52" s="12">
        <v>29016722.995839112</v>
      </c>
      <c r="EK52" s="12">
        <v>3.2499869758594926</v>
      </c>
      <c r="EL52" s="12">
        <v>6.3147755002316517</v>
      </c>
      <c r="EM52" s="12">
        <v>3.0643554916511162</v>
      </c>
      <c r="EN52" s="12"/>
      <c r="EO52" s="12"/>
      <c r="EP52" s="12"/>
    </row>
    <row r="53" spans="1:146" x14ac:dyDescent="0.25">
      <c r="A53" s="52" t="s">
        <v>329</v>
      </c>
      <c r="B53" s="52" t="s">
        <v>330</v>
      </c>
      <c r="C53" s="55"/>
      <c r="D53" s="55"/>
      <c r="E53" s="55" t="s">
        <v>47</v>
      </c>
      <c r="F53" s="24">
        <v>16</v>
      </c>
      <c r="G53" s="24">
        <v>256</v>
      </c>
      <c r="H53" s="53"/>
      <c r="I53" s="53" t="s">
        <v>233</v>
      </c>
      <c r="J53" s="12">
        <v>2782.1650485436894</v>
      </c>
      <c r="K53" s="12">
        <v>11110.622170493958</v>
      </c>
      <c r="L53" s="12">
        <v>803.5227638559461</v>
      </c>
      <c r="M53" s="12"/>
      <c r="N53" s="12"/>
      <c r="O53" s="12"/>
      <c r="P53" s="12">
        <v>0.17386036216472411</v>
      </c>
      <c r="Q53" s="12">
        <v>32348.870057971097</v>
      </c>
      <c r="R53" s="12"/>
      <c r="S53" s="12"/>
      <c r="T53" s="12"/>
      <c r="U53" s="12"/>
      <c r="V53" s="12"/>
      <c r="W53" s="12"/>
      <c r="X53" s="12"/>
      <c r="Y53" s="12"/>
      <c r="Z53" s="12">
        <v>46408.794430338021</v>
      </c>
      <c r="AA53" s="12"/>
      <c r="AB53" s="12"/>
      <c r="AC53" s="12"/>
      <c r="AD53" s="12">
        <v>98.027484687125778</v>
      </c>
      <c r="AE53" s="12">
        <v>43302.091267101074</v>
      </c>
      <c r="AF53" s="12">
        <v>31872.064504763883</v>
      </c>
      <c r="AG53" s="12">
        <v>6.4250149982414637</v>
      </c>
      <c r="AH53" s="12"/>
      <c r="AI53" s="12">
        <v>0.16261435709986632</v>
      </c>
      <c r="AJ53" s="12">
        <v>3.0404482592478894</v>
      </c>
      <c r="AK53" s="12">
        <v>4.767885138612022</v>
      </c>
      <c r="AL53" s="12">
        <v>0.81264295015664445</v>
      </c>
      <c r="AM53" s="12"/>
      <c r="AN53" s="12">
        <v>12.687651540383222</v>
      </c>
      <c r="AO53" s="12">
        <v>10.848591791750792</v>
      </c>
      <c r="AP53" s="12">
        <v>0.25781916273063665</v>
      </c>
      <c r="AQ53" s="12">
        <v>0.78941435136144966</v>
      </c>
      <c r="AR53" s="12">
        <v>12.842992878097688</v>
      </c>
      <c r="AS53" s="12">
        <v>4.3318859095420159E-2</v>
      </c>
      <c r="AT53" s="12">
        <v>0.8786884962473972</v>
      </c>
      <c r="AU53" s="12">
        <v>1.064661718613469</v>
      </c>
      <c r="AV53" s="12">
        <v>2.8152608922015175E-2</v>
      </c>
      <c r="AW53" s="12">
        <v>0.56697729845223022</v>
      </c>
      <c r="AX53" s="12">
        <v>2.5969612226216986E-2</v>
      </c>
      <c r="AY53" s="12"/>
      <c r="AZ53" s="12">
        <v>2.6758471741051608E-2</v>
      </c>
      <c r="BA53" s="12">
        <v>6.9594973624392986E-2</v>
      </c>
      <c r="BB53" s="12">
        <v>0.87097644000263441</v>
      </c>
      <c r="BC53" s="12">
        <v>0.15670227323751096</v>
      </c>
      <c r="BD53" s="12"/>
      <c r="BE53" s="12"/>
      <c r="BF53" s="12">
        <v>0</v>
      </c>
      <c r="BG53" s="12">
        <v>0</v>
      </c>
      <c r="BH53" s="12">
        <v>1.1171066791830692E-2</v>
      </c>
      <c r="BI53" s="12">
        <v>2.1038771810813275E-3</v>
      </c>
      <c r="BJ53" s="12">
        <v>9.9528179054595767E-2</v>
      </c>
      <c r="BK53" s="12">
        <v>2.011734653101613E-3</v>
      </c>
      <c r="BL53" s="12"/>
      <c r="BM53" s="12"/>
      <c r="BN53" s="12"/>
      <c r="BO53" s="12">
        <v>5.5319870474505012E-2</v>
      </c>
      <c r="BP53" s="12">
        <v>0.64316199220684389</v>
      </c>
      <c r="BQ53" s="12">
        <v>20331.755143162834</v>
      </c>
      <c r="BR53" s="12"/>
      <c r="BS53" s="12">
        <v>77.751265707225073</v>
      </c>
      <c r="BT53" s="12">
        <v>506273.39002151391</v>
      </c>
      <c r="BU53" s="12">
        <v>185915.00278938308</v>
      </c>
      <c r="BV53" s="12">
        <v>257.33473857728825</v>
      </c>
      <c r="BW53" s="12"/>
      <c r="BX53" s="12">
        <v>57847.302773109557</v>
      </c>
      <c r="BY53" s="12">
        <v>86328.523501851552</v>
      </c>
      <c r="BZ53" s="12">
        <v>187.0144921344918</v>
      </c>
      <c r="CA53" s="12">
        <v>274.35479559111042</v>
      </c>
      <c r="CB53" s="12">
        <v>822765.03907924611</v>
      </c>
      <c r="CC53" s="12">
        <v>854.91250218855157</v>
      </c>
      <c r="CD53" s="12">
        <v>84256.509062422352</v>
      </c>
      <c r="CE53" s="12">
        <v>8062.6774558774905</v>
      </c>
      <c r="CF53" s="12">
        <v>919.03466209432236</v>
      </c>
      <c r="CG53" s="12">
        <v>28.025584148456378</v>
      </c>
      <c r="CH53" s="12">
        <v>123.66416592302696</v>
      </c>
      <c r="CI53" s="12"/>
      <c r="CJ53" s="12">
        <v>87.231328123173384</v>
      </c>
      <c r="CK53" s="12">
        <v>842.31602862427189</v>
      </c>
      <c r="CL53" s="12">
        <v>865535.84368998045</v>
      </c>
      <c r="CM53" s="12">
        <v>1184.9334431058255</v>
      </c>
      <c r="CN53" s="12"/>
      <c r="CO53" s="12"/>
      <c r="CP53" s="12">
        <v>0</v>
      </c>
      <c r="CQ53" s="12">
        <v>0</v>
      </c>
      <c r="CR53" s="12">
        <v>608.52019232945861</v>
      </c>
      <c r="CS53" s="12">
        <v>1.7663908366384415</v>
      </c>
      <c r="CT53" s="12">
        <v>6484.1562500456575</v>
      </c>
      <c r="CU53" s="12">
        <v>0.2820683977769054</v>
      </c>
      <c r="CV53" s="12"/>
      <c r="CW53" s="12"/>
      <c r="CX53" s="12"/>
      <c r="CY53" s="12">
        <v>13.263053970932146</v>
      </c>
      <c r="CZ53" s="12">
        <v>16.253129255926378</v>
      </c>
      <c r="DA53" s="12">
        <v>1155293072.8969259</v>
      </c>
      <c r="DB53" s="12"/>
      <c r="DC53" s="12">
        <v>24695735.478753541</v>
      </c>
      <c r="DD53" s="12">
        <v>1475218081.5033557</v>
      </c>
      <c r="DE53" s="12">
        <v>139022052.76595744</v>
      </c>
      <c r="DF53" s="12">
        <v>35074195.705963939</v>
      </c>
      <c r="DG53" s="12"/>
      <c r="DH53" s="12">
        <v>1306521420.6553671</v>
      </c>
      <c r="DI53" s="12">
        <v>206636741.81818181</v>
      </c>
      <c r="DJ53" s="12">
        <v>86817757.288135588</v>
      </c>
      <c r="DK53" s="12">
        <v>326803832.04519773</v>
      </c>
      <c r="DL53" s="12">
        <v>417679777.55339807</v>
      </c>
      <c r="DM53" s="12">
        <v>44480379.312676057</v>
      </c>
      <c r="DN53" s="12">
        <v>141959324.42432815</v>
      </c>
      <c r="DO53" s="12">
        <v>104306297.07122508</v>
      </c>
      <c r="DP53" s="12">
        <v>98571982.497237563</v>
      </c>
      <c r="DQ53" s="12">
        <v>112702855.82930298</v>
      </c>
      <c r="DR53" s="12">
        <v>22819457.952843275</v>
      </c>
      <c r="DS53" s="12"/>
      <c r="DT53" s="12">
        <v>235694262.43678162</v>
      </c>
      <c r="DU53" s="12">
        <v>14678839.908045977</v>
      </c>
      <c r="DV53" s="12">
        <v>91577214.528735638</v>
      </c>
      <c r="DW53" s="12">
        <v>34173004.395982787</v>
      </c>
      <c r="DX53" s="12"/>
      <c r="DY53" s="12"/>
      <c r="DZ53" s="12">
        <v>600558.3448275862</v>
      </c>
      <c r="EA53" s="12">
        <v>639338.23129251704</v>
      </c>
      <c r="EB53" s="12">
        <v>4414839.4666666668</v>
      </c>
      <c r="EC53" s="12">
        <v>34670544.919540226</v>
      </c>
      <c r="ED53" s="12">
        <v>7108294.5007153079</v>
      </c>
      <c r="EE53" s="12">
        <v>9683066.7047075611</v>
      </c>
      <c r="EF53" s="12"/>
      <c r="EG53" s="12"/>
      <c r="EH53" s="12"/>
      <c r="EI53" s="12">
        <v>69872158.287323937</v>
      </c>
      <c r="EJ53" s="12">
        <v>28697672.432732318</v>
      </c>
      <c r="EK53" s="12">
        <v>3.262672938938882</v>
      </c>
      <c r="EL53" s="12">
        <v>6.2534635415585269</v>
      </c>
      <c r="EM53" s="12">
        <v>2.8458440812811809</v>
      </c>
      <c r="EN53" s="12"/>
      <c r="EO53" s="12"/>
      <c r="EP53" s="12"/>
    </row>
    <row r="54" spans="1:146" x14ac:dyDescent="0.25">
      <c r="A54" s="52" t="s">
        <v>331</v>
      </c>
      <c r="B54" s="52" t="s">
        <v>332</v>
      </c>
      <c r="C54" s="55"/>
      <c r="D54" s="55"/>
      <c r="E54" s="55" t="s">
        <v>47</v>
      </c>
      <c r="F54" s="24">
        <v>16</v>
      </c>
      <c r="G54" s="24">
        <v>256</v>
      </c>
      <c r="H54" s="53"/>
      <c r="I54" s="53" t="s">
        <v>233</v>
      </c>
      <c r="J54" s="12">
        <v>2729.2316227461861</v>
      </c>
      <c r="K54" s="12">
        <v>8780.2696757983394</v>
      </c>
      <c r="L54" s="12">
        <v>384.99009065520022</v>
      </c>
      <c r="M54" s="12"/>
      <c r="N54" s="12"/>
      <c r="O54" s="12"/>
      <c r="P54" s="12">
        <v>4.08394792060114E-2</v>
      </c>
      <c r="Q54" s="12">
        <v>7531.0355510674899</v>
      </c>
      <c r="R54" s="12"/>
      <c r="S54" s="12"/>
      <c r="T54" s="12"/>
      <c r="U54" s="12"/>
      <c r="V54" s="12"/>
      <c r="W54" s="12"/>
      <c r="X54" s="12"/>
      <c r="Y54" s="12"/>
      <c r="Z54" s="12">
        <v>42699.515279534971</v>
      </c>
      <c r="AA54" s="12"/>
      <c r="AB54" s="12"/>
      <c r="AC54" s="12"/>
      <c r="AD54" s="12">
        <v>95.837890332481052</v>
      </c>
      <c r="AE54" s="12">
        <v>39394.922915695373</v>
      </c>
      <c r="AF54" s="12">
        <v>18149.80034882238</v>
      </c>
      <c r="AG54" s="12"/>
      <c r="AH54" s="12"/>
      <c r="AI54" s="12">
        <v>0.25273101822441996</v>
      </c>
      <c r="AJ54" s="12"/>
      <c r="AK54" s="12"/>
      <c r="AL54" s="12">
        <v>0.89956992897168719</v>
      </c>
      <c r="AM54" s="12"/>
      <c r="AN54" s="12">
        <v>2.1996561880370011</v>
      </c>
      <c r="AO54" s="12">
        <v>0.1893948521378708</v>
      </c>
      <c r="AP54" s="12">
        <v>0.29163610334057022</v>
      </c>
      <c r="AQ54" s="12">
        <v>0.54969130721073434</v>
      </c>
      <c r="AR54" s="12">
        <v>10.369069427939527</v>
      </c>
      <c r="AS54" s="12">
        <v>0.12467803262326785</v>
      </c>
      <c r="AT54" s="12"/>
      <c r="AU54" s="12">
        <v>1.1735835449222187</v>
      </c>
      <c r="AV54" s="12">
        <v>6.4351789980352774E-3</v>
      </c>
      <c r="AW54" s="12">
        <v>0.37134648113408275</v>
      </c>
      <c r="AX54" s="12">
        <v>4.979968715411516E-2</v>
      </c>
      <c r="AY54" s="12"/>
      <c r="AZ54" s="12"/>
      <c r="BA54" s="12"/>
      <c r="BB54" s="12"/>
      <c r="BC54" s="12"/>
      <c r="BD54" s="12"/>
      <c r="BE54" s="12">
        <v>1.1841397639241207</v>
      </c>
      <c r="BF54" s="12"/>
      <c r="BG54" s="12"/>
      <c r="BH54" s="12"/>
      <c r="BI54" s="12"/>
      <c r="BJ54" s="12"/>
      <c r="BK54" s="12"/>
      <c r="BL54" s="12"/>
      <c r="BM54" s="12"/>
      <c r="BN54" s="12"/>
      <c r="BO54" s="12">
        <v>8.423919638434102E-2</v>
      </c>
      <c r="BP54" s="12">
        <v>0.4651764428532722</v>
      </c>
      <c r="BQ54" s="12"/>
      <c r="BR54" s="12"/>
      <c r="BS54" s="12">
        <v>74.03680092783037</v>
      </c>
      <c r="BT54" s="12"/>
      <c r="BU54" s="12"/>
      <c r="BV54" s="12">
        <v>213.54226560026351</v>
      </c>
      <c r="BW54" s="12"/>
      <c r="BX54" s="12">
        <v>21475.296128109556</v>
      </c>
      <c r="BY54" s="12">
        <v>10510.714427090828</v>
      </c>
      <c r="BZ54" s="12">
        <v>7.049171192143489</v>
      </c>
      <c r="CA54" s="12">
        <v>35.734676612912956</v>
      </c>
      <c r="CB54" s="12">
        <v>551592.51432932704</v>
      </c>
      <c r="CC54" s="12">
        <v>133.95240113728158</v>
      </c>
      <c r="CD54" s="12"/>
      <c r="CE54" s="12">
        <v>11555.088595922991</v>
      </c>
      <c r="CF54" s="12">
        <v>0.15070844308165868</v>
      </c>
      <c r="CG54" s="12">
        <v>262.11092369722866</v>
      </c>
      <c r="CH54" s="12">
        <v>120.76325943119001</v>
      </c>
      <c r="CI54" s="12"/>
      <c r="CJ54" s="12"/>
      <c r="CK54" s="12"/>
      <c r="CL54" s="12"/>
      <c r="CM54" s="12"/>
      <c r="CN54" s="12"/>
      <c r="CO54" s="12">
        <v>337759.81909298623</v>
      </c>
      <c r="CP54" s="12"/>
      <c r="CQ54" s="12"/>
      <c r="CR54" s="12"/>
      <c r="CS54" s="12"/>
      <c r="CT54" s="12"/>
      <c r="CU54" s="12"/>
      <c r="CV54" s="12"/>
      <c r="CW54" s="12"/>
      <c r="CX54" s="12"/>
      <c r="CY54" s="12">
        <v>13.272418599801826</v>
      </c>
      <c r="CZ54" s="12">
        <v>18.949526176549128</v>
      </c>
      <c r="DA54" s="12"/>
      <c r="DB54" s="12"/>
      <c r="DC54" s="12">
        <v>27629260.656381488</v>
      </c>
      <c r="DD54" s="12"/>
      <c r="DE54" s="12"/>
      <c r="DF54" s="12">
        <v>80524127.511789188</v>
      </c>
      <c r="DG54" s="12"/>
      <c r="DH54" s="12">
        <v>506687593.17546362</v>
      </c>
      <c r="DI54" s="12">
        <v>142343795.05617976</v>
      </c>
      <c r="DJ54" s="12">
        <v>76339472.679886684</v>
      </c>
      <c r="DK54" s="12">
        <v>150568136.15864024</v>
      </c>
      <c r="DL54" s="12">
        <v>398578073.03190017</v>
      </c>
      <c r="DM54" s="12">
        <v>43292506.562674098</v>
      </c>
      <c r="DN54" s="12"/>
      <c r="DO54" s="12">
        <v>101938063.50422536</v>
      </c>
      <c r="DP54" s="12">
        <v>101164280.19738752</v>
      </c>
      <c r="DQ54" s="12">
        <v>104197890.52039382</v>
      </c>
      <c r="DR54" s="12">
        <v>24036333.536754508</v>
      </c>
      <c r="DS54" s="12"/>
      <c r="DT54" s="12"/>
      <c r="DU54" s="12"/>
      <c r="DV54" s="12"/>
      <c r="DW54" s="12"/>
      <c r="DX54" s="12"/>
      <c r="DY54" s="12">
        <v>119189312.59813084</v>
      </c>
      <c r="DZ54" s="12"/>
      <c r="EA54" s="12"/>
      <c r="EB54" s="12"/>
      <c r="EC54" s="12"/>
      <c r="ED54" s="12"/>
      <c r="EE54" s="12"/>
      <c r="EF54" s="12"/>
      <c r="EG54" s="12"/>
      <c r="EH54" s="12"/>
      <c r="EI54" s="12">
        <v>67258584.779944286</v>
      </c>
      <c r="EJ54" s="12">
        <v>30437466.89597781</v>
      </c>
      <c r="EK54" s="12">
        <v>4.3321390601027181</v>
      </c>
      <c r="EL54" s="12">
        <v>7.0269753546758684</v>
      </c>
      <c r="EM54" s="12">
        <v>2.5562797582126238</v>
      </c>
      <c r="EN54" s="12"/>
      <c r="EO54" s="12"/>
      <c r="EP54" s="12"/>
    </row>
    <row r="55" spans="1:146" x14ac:dyDescent="0.25">
      <c r="A55" s="25" t="s">
        <v>333</v>
      </c>
      <c r="B55" s="25" t="s">
        <v>308</v>
      </c>
      <c r="C55" s="17"/>
      <c r="D55" s="17"/>
      <c r="E55" s="17" t="s">
        <v>396</v>
      </c>
      <c r="F55" s="37">
        <v>16</v>
      </c>
      <c r="G55" s="37">
        <v>256</v>
      </c>
      <c r="H55" s="32"/>
      <c r="I55" s="32" t="s">
        <v>242</v>
      </c>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2"/>
      <c r="BQ55" s="12"/>
      <c r="BR55" s="12"/>
      <c r="BS55" s="12"/>
      <c r="BT55" s="12"/>
      <c r="BU55" s="12"/>
      <c r="BV55" s="12"/>
      <c r="BW55" s="12"/>
      <c r="BX55" s="12"/>
      <c r="BY55" s="12"/>
      <c r="BZ55" s="12"/>
      <c r="CA55" s="12"/>
      <c r="CB55" s="12"/>
      <c r="CC55" s="12"/>
      <c r="CD55" s="12"/>
      <c r="CE55" s="12"/>
      <c r="CF55" s="12"/>
      <c r="CG55" s="12"/>
      <c r="CH55" s="12"/>
      <c r="CI55" s="12"/>
      <c r="CJ55" s="12"/>
      <c r="CK55" s="12"/>
      <c r="CL55" s="12"/>
      <c r="CM55" s="12"/>
      <c r="CN55" s="12"/>
      <c r="CO55" s="12"/>
      <c r="CP55" s="12"/>
      <c r="CQ55" s="12"/>
      <c r="CR55" s="12"/>
      <c r="CS55" s="12"/>
      <c r="CT55" s="12"/>
      <c r="CU55" s="12"/>
      <c r="CV55" s="12"/>
      <c r="CW55" s="12"/>
      <c r="CX55" s="12"/>
      <c r="CY55" s="12"/>
      <c r="CZ55" s="12"/>
      <c r="DA55" s="12"/>
      <c r="DB55" s="12"/>
      <c r="DC55" s="12"/>
      <c r="DD55" s="12"/>
      <c r="DE55" s="12"/>
      <c r="DF55" s="12"/>
      <c r="DG55" s="12"/>
      <c r="DH55" s="12"/>
      <c r="DI55" s="12"/>
      <c r="DJ55" s="12"/>
      <c r="DK55" s="12"/>
      <c r="DL55" s="12"/>
      <c r="DM55" s="12"/>
      <c r="DN55" s="12"/>
      <c r="DO55" s="12"/>
      <c r="DP55" s="12"/>
      <c r="DQ55" s="12"/>
      <c r="DR55" s="12"/>
      <c r="DS55" s="12"/>
      <c r="DT55" s="12"/>
      <c r="DU55" s="12"/>
      <c r="DV55" s="12"/>
      <c r="DW55" s="12"/>
      <c r="DX55" s="12"/>
      <c r="DY55" s="12"/>
      <c r="DZ55" s="12"/>
      <c r="EA55" s="12"/>
      <c r="EB55" s="12"/>
      <c r="EC55" s="12"/>
      <c r="ED55" s="12"/>
      <c r="EE55" s="12"/>
      <c r="EF55" s="12"/>
      <c r="EG55" s="12"/>
      <c r="EH55" s="12"/>
      <c r="EI55" s="12"/>
      <c r="EJ55" s="12"/>
      <c r="EK55" s="12"/>
      <c r="EL55" s="12"/>
      <c r="EM55" s="12"/>
      <c r="EN55" s="12"/>
      <c r="EO55" s="12"/>
      <c r="EP55" s="12"/>
    </row>
    <row r="56" spans="1:146" x14ac:dyDescent="0.25">
      <c r="A56" s="52" t="s">
        <v>334</v>
      </c>
      <c r="B56" s="52" t="s">
        <v>335</v>
      </c>
      <c r="C56" s="55"/>
      <c r="D56" s="55"/>
      <c r="E56" s="55" t="s">
        <v>196</v>
      </c>
      <c r="F56" s="75">
        <v>32</v>
      </c>
      <c r="G56" s="75">
        <v>256</v>
      </c>
      <c r="H56" s="53"/>
      <c r="I56" s="53" t="s">
        <v>233</v>
      </c>
      <c r="J56" s="12">
        <v>9589.4438280166432</v>
      </c>
      <c r="K56" s="12">
        <v>18573.995931331578</v>
      </c>
      <c r="L56" s="12">
        <v>173.98074969737323</v>
      </c>
      <c r="M56" s="12"/>
      <c r="N56" s="12"/>
      <c r="O56" s="12"/>
      <c r="P56" s="12">
        <v>4.0259646537673298E-2</v>
      </c>
      <c r="Q56" s="12">
        <v>38303.985696573953</v>
      </c>
      <c r="R56" s="12"/>
      <c r="S56" s="12"/>
      <c r="T56" s="12">
        <v>199.9463964132029</v>
      </c>
      <c r="U56" s="12"/>
      <c r="V56" s="12"/>
      <c r="W56" s="12"/>
      <c r="X56" s="12"/>
      <c r="Y56" s="12"/>
      <c r="Z56" s="12"/>
      <c r="AA56" s="12"/>
      <c r="AB56" s="12"/>
      <c r="AC56" s="12">
        <v>85621.443953698923</v>
      </c>
      <c r="AD56" s="12">
        <v>99.186434200072611</v>
      </c>
      <c r="AE56" s="12">
        <v>39546.274453568687</v>
      </c>
      <c r="AF56" s="12">
        <v>19506.977717267557</v>
      </c>
      <c r="AG56" s="12"/>
      <c r="AH56" s="12"/>
      <c r="AI56" s="12">
        <v>3.8273763268860332E-2</v>
      </c>
      <c r="AJ56" s="12"/>
      <c r="AK56" s="12">
        <v>0.75549650138255431</v>
      </c>
      <c r="AL56" s="12">
        <v>0.68483858801606956</v>
      </c>
      <c r="AM56" s="12"/>
      <c r="AN56" s="12"/>
      <c r="AO56" s="12">
        <v>0.85286725046568312</v>
      </c>
      <c r="AP56" s="12">
        <v>7.3346315848470858E-2</v>
      </c>
      <c r="AQ56" s="12">
        <v>0.35482542071111572</v>
      </c>
      <c r="AR56" s="12">
        <v>6.8215183988234207</v>
      </c>
      <c r="AS56" s="12">
        <v>5.4452040251445767E-2</v>
      </c>
      <c r="AT56" s="12">
        <v>2.5462892552873546</v>
      </c>
      <c r="AU56" s="12">
        <v>0.4634914792997577</v>
      </c>
      <c r="AV56" s="12">
        <v>7.0887794909267393E-3</v>
      </c>
      <c r="AW56" s="12">
        <v>0.42466509544914666</v>
      </c>
      <c r="AX56" s="12">
        <v>2.7191199097293169E-2</v>
      </c>
      <c r="AY56" s="12">
        <v>0.16746964310429899</v>
      </c>
      <c r="AZ56" s="12"/>
      <c r="BA56" s="12"/>
      <c r="BB56" s="12"/>
      <c r="BC56" s="12"/>
      <c r="BD56" s="12"/>
      <c r="BE56" s="12">
        <v>0.69604426586662427</v>
      </c>
      <c r="BF56" s="12"/>
      <c r="BG56" s="12"/>
      <c r="BH56" s="12"/>
      <c r="BI56" s="12"/>
      <c r="BJ56" s="12"/>
      <c r="BK56" s="12"/>
      <c r="BL56" s="12"/>
      <c r="BM56" s="12"/>
      <c r="BN56" s="12"/>
      <c r="BO56" s="12">
        <v>4.1971015895069082E-2</v>
      </c>
      <c r="BP56" s="12">
        <v>0.30919741696713082</v>
      </c>
      <c r="BQ56" s="12"/>
      <c r="BR56" s="12"/>
      <c r="BS56" s="12">
        <v>102.25070653413215</v>
      </c>
      <c r="BT56" s="12"/>
      <c r="BU56" s="12">
        <v>499.12651060284725</v>
      </c>
      <c r="BV56" s="12">
        <v>236.30181524081814</v>
      </c>
      <c r="BW56" s="12"/>
      <c r="BX56" s="12"/>
      <c r="BY56" s="12">
        <v>5059.3627751929125</v>
      </c>
      <c r="BZ56" s="12">
        <v>6.891732478299871</v>
      </c>
      <c r="CA56" s="12">
        <v>13.517801131612375</v>
      </c>
      <c r="CB56" s="12">
        <v>681313.03248650755</v>
      </c>
      <c r="CC56" s="12">
        <v>128.02322303210337</v>
      </c>
      <c r="CD56" s="12">
        <v>238021.78979657785</v>
      </c>
      <c r="CE56" s="12">
        <v>9837.959098064086</v>
      </c>
      <c r="CF56" s="12">
        <v>4.3808329549046565</v>
      </c>
      <c r="CG56" s="12">
        <v>31.380618566798834</v>
      </c>
      <c r="CH56" s="12">
        <v>120.58463983369646</v>
      </c>
      <c r="CI56" s="12">
        <v>1970.73395913129</v>
      </c>
      <c r="CJ56" s="12"/>
      <c r="CK56" s="12"/>
      <c r="CL56" s="12"/>
      <c r="CM56" s="12"/>
      <c r="CN56" s="12"/>
      <c r="CO56" s="12">
        <v>26533.210691604523</v>
      </c>
      <c r="CP56" s="12"/>
      <c r="CQ56" s="12"/>
      <c r="CR56" s="12"/>
      <c r="CS56" s="12"/>
      <c r="CT56" s="12"/>
      <c r="CU56" s="12"/>
      <c r="CV56" s="12"/>
      <c r="CW56" s="12"/>
      <c r="CX56" s="12"/>
      <c r="CY56" s="12">
        <v>13.262586822675974</v>
      </c>
      <c r="CZ56" s="12">
        <v>537.14768268906028</v>
      </c>
      <c r="DA56" s="12"/>
      <c r="DB56" s="12"/>
      <c r="DC56" s="12">
        <v>19647438.291262135</v>
      </c>
      <c r="DD56" s="12"/>
      <c r="DE56" s="12">
        <v>526845807.19191921</v>
      </c>
      <c r="DF56" s="12">
        <v>31780909.447988905</v>
      </c>
      <c r="DG56" s="12"/>
      <c r="DH56" s="12"/>
      <c r="DI56" s="12">
        <v>130171368.56588072</v>
      </c>
      <c r="DJ56" s="12">
        <v>72456581.148404986</v>
      </c>
      <c r="DK56" s="12">
        <v>214423026.50762829</v>
      </c>
      <c r="DL56" s="12">
        <v>388430008.63245493</v>
      </c>
      <c r="DM56" s="12">
        <v>45190134.058252424</v>
      </c>
      <c r="DN56" s="12">
        <v>245231638.72399446</v>
      </c>
      <c r="DO56" s="12">
        <v>97198659.461858526</v>
      </c>
      <c r="DP56" s="12">
        <v>91301226.163661584</v>
      </c>
      <c r="DQ56" s="12">
        <v>112415674.40776698</v>
      </c>
      <c r="DR56" s="12">
        <v>21489530.496532593</v>
      </c>
      <c r="DS56" s="12">
        <v>379499017.30909091</v>
      </c>
      <c r="DT56" s="12"/>
      <c r="DU56" s="12"/>
      <c r="DV56" s="12"/>
      <c r="DW56" s="12"/>
      <c r="DX56" s="12"/>
      <c r="DY56" s="12">
        <v>102558232.56088561</v>
      </c>
      <c r="DZ56" s="12"/>
      <c r="EA56" s="12"/>
      <c r="EB56" s="12"/>
      <c r="EC56" s="12"/>
      <c r="ED56" s="12"/>
      <c r="EE56" s="12"/>
      <c r="EF56" s="12"/>
      <c r="EG56" s="12"/>
      <c r="EH56" s="12"/>
      <c r="EI56" s="12">
        <v>64390318.690707348</v>
      </c>
      <c r="EJ56" s="12">
        <v>26800184.809986129</v>
      </c>
      <c r="EK56" s="12">
        <v>8.0609862227898823</v>
      </c>
      <c r="EL56" s="12">
        <v>19.699592284137029</v>
      </c>
      <c r="EM56" s="12">
        <v>11.637794331745042</v>
      </c>
      <c r="EN56" s="12"/>
      <c r="EO56" s="12"/>
      <c r="EP56" s="12"/>
    </row>
    <row r="57" spans="1:146" x14ac:dyDescent="0.25">
      <c r="A57" s="52" t="s">
        <v>336</v>
      </c>
      <c r="B57" s="52" t="s">
        <v>337</v>
      </c>
      <c r="C57" s="55"/>
      <c r="D57" s="55"/>
      <c r="E57" s="55" t="s">
        <v>196</v>
      </c>
      <c r="F57" s="50">
        <v>32</v>
      </c>
      <c r="G57" s="50">
        <v>512</v>
      </c>
      <c r="H57" s="53"/>
      <c r="I57" s="53" t="s">
        <v>233</v>
      </c>
      <c r="J57" s="12">
        <v>5514.2149791955617</v>
      </c>
      <c r="K57" s="12">
        <v>15991.67660258489</v>
      </c>
      <c r="L57" s="12">
        <v>58.154581599656389</v>
      </c>
      <c r="M57" s="12"/>
      <c r="N57" s="12"/>
      <c r="O57" s="12"/>
      <c r="P57" s="12"/>
      <c r="Q57" s="12">
        <v>17075.80975287742</v>
      </c>
      <c r="R57" s="12"/>
      <c r="S57" s="12"/>
      <c r="T57" s="12"/>
      <c r="U57" s="12">
        <v>0.33441203397764768</v>
      </c>
      <c r="V57" s="12"/>
      <c r="W57" s="12"/>
      <c r="X57" s="12"/>
      <c r="Y57" s="12"/>
      <c r="Z57" s="12"/>
      <c r="AA57" s="12"/>
      <c r="AB57" s="12"/>
      <c r="AC57" s="12">
        <v>23647.155710035015</v>
      </c>
      <c r="AD57" s="12">
        <v>99.026095863066075</v>
      </c>
      <c r="AE57" s="12">
        <v>11886.748614524624</v>
      </c>
      <c r="AF57" s="12">
        <v>19616.417943779481</v>
      </c>
      <c r="AG57" s="12"/>
      <c r="AH57" s="12"/>
      <c r="AI57" s="12">
        <v>3.7325519278430502E-2</v>
      </c>
      <c r="AJ57" s="12"/>
      <c r="AK57" s="12"/>
      <c r="AL57" s="12">
        <v>0.87731965168653092</v>
      </c>
      <c r="AM57" s="12"/>
      <c r="AN57" s="12">
        <v>0.42666587934415517</v>
      </c>
      <c r="AO57" s="12">
        <v>2.6333284280785463E-2</v>
      </c>
      <c r="AP57" s="12">
        <v>7.2479787125041564E-2</v>
      </c>
      <c r="AQ57" s="12">
        <v>0.26315740040171398</v>
      </c>
      <c r="AR57" s="12">
        <v>11.217041518503466</v>
      </c>
      <c r="AS57" s="12">
        <v>4.0486838458059678E-2</v>
      </c>
      <c r="AT57" s="12">
        <v>7.5189847984353603E-2</v>
      </c>
      <c r="AU57" s="12">
        <v>0.35250400811072424</v>
      </c>
      <c r="AV57" s="12">
        <v>1.1289334119800544E-2</v>
      </c>
      <c r="AW57" s="12">
        <v>0.2245175558806442</v>
      </c>
      <c r="AX57" s="12">
        <v>2.1196021657070716E-2</v>
      </c>
      <c r="AY57" s="12"/>
      <c r="AZ57" s="12"/>
      <c r="BA57" s="12"/>
      <c r="BB57" s="12"/>
      <c r="BC57" s="12"/>
      <c r="BD57" s="12"/>
      <c r="BE57" s="12">
        <v>0.26259314871381195</v>
      </c>
      <c r="BF57" s="12"/>
      <c r="BG57" s="12"/>
      <c r="BH57" s="12"/>
      <c r="BI57" s="12"/>
      <c r="BJ57" s="12"/>
      <c r="BK57" s="12"/>
      <c r="BL57" s="12"/>
      <c r="BM57" s="12"/>
      <c r="BN57" s="12"/>
      <c r="BO57" s="12">
        <v>3.9934711800732159E-2</v>
      </c>
      <c r="BP57" s="12">
        <v>0.29587104856689311</v>
      </c>
      <c r="BQ57" s="12"/>
      <c r="BR57" s="12"/>
      <c r="BS57" s="12">
        <v>90.633643645955004</v>
      </c>
      <c r="BT57" s="12"/>
      <c r="BU57" s="12"/>
      <c r="BV57" s="12">
        <v>277.87517304688754</v>
      </c>
      <c r="BW57" s="12"/>
      <c r="BX57" s="12">
        <v>3150.4125060763322</v>
      </c>
      <c r="BY57" s="12">
        <v>411.11165867551898</v>
      </c>
      <c r="BZ57" s="12">
        <v>6.8798947760534679</v>
      </c>
      <c r="CA57" s="12">
        <v>34.889694136934089</v>
      </c>
      <c r="CB57" s="12">
        <v>384387.6990773229</v>
      </c>
      <c r="CC57" s="12">
        <v>115.9556515017883</v>
      </c>
      <c r="CD57" s="12">
        <v>2021.4626023962669</v>
      </c>
      <c r="CE57" s="12">
        <v>5272.2042489525129</v>
      </c>
      <c r="CF57" s="12">
        <v>19.661263629464138</v>
      </c>
      <c r="CG57" s="12">
        <v>23.395635043590055</v>
      </c>
      <c r="CH57" s="12">
        <v>119.22315094494799</v>
      </c>
      <c r="CI57" s="12"/>
      <c r="CJ57" s="12"/>
      <c r="CK57" s="12"/>
      <c r="CL57" s="12"/>
      <c r="CM57" s="12"/>
      <c r="CN57" s="12"/>
      <c r="CO57" s="12">
        <v>12059.100194556528</v>
      </c>
      <c r="CP57" s="12"/>
      <c r="CQ57" s="12"/>
      <c r="CR57" s="12"/>
      <c r="CS57" s="12"/>
      <c r="CT57" s="12"/>
      <c r="CU57" s="12"/>
      <c r="CV57" s="12"/>
      <c r="CW57" s="12"/>
      <c r="CX57" s="12"/>
      <c r="CY57" s="12">
        <v>13.262083844581269</v>
      </c>
      <c r="CZ57" s="12">
        <v>12.295343590989173</v>
      </c>
      <c r="DA57" s="12"/>
      <c r="DB57" s="12"/>
      <c r="DC57" s="12">
        <v>20749444.083217755</v>
      </c>
      <c r="DD57" s="12"/>
      <c r="DE57" s="12"/>
      <c r="DF57" s="12">
        <v>62774034.818307906</v>
      </c>
      <c r="DG57" s="12"/>
      <c r="DH57" s="12">
        <v>850462092.24965322</v>
      </c>
      <c r="DI57" s="12">
        <v>114299544.67683773</v>
      </c>
      <c r="DJ57" s="12">
        <v>70031470.779472947</v>
      </c>
      <c r="DK57" s="12">
        <v>137221652.59361997</v>
      </c>
      <c r="DL57" s="12">
        <v>393658447.53398061</v>
      </c>
      <c r="DM57" s="12">
        <v>45778549.170596391</v>
      </c>
      <c r="DN57" s="12">
        <v>60484791.212205268</v>
      </c>
      <c r="DO57" s="12">
        <v>116281486.02496533</v>
      </c>
      <c r="DP57" s="12">
        <v>88667293.647711515</v>
      </c>
      <c r="DQ57" s="12">
        <v>114816913.22052705</v>
      </c>
      <c r="DR57" s="12">
        <v>21052389.015256587</v>
      </c>
      <c r="DS57" s="12"/>
      <c r="DT57" s="12"/>
      <c r="DU57" s="12"/>
      <c r="DV57" s="12"/>
      <c r="DW57" s="12"/>
      <c r="DX57" s="12"/>
      <c r="DY57" s="12">
        <v>88504180.815533981</v>
      </c>
      <c r="DZ57" s="12"/>
      <c r="EA57" s="12"/>
      <c r="EB57" s="12"/>
      <c r="EC57" s="12"/>
      <c r="ED57" s="12"/>
      <c r="EE57" s="12"/>
      <c r="EF57" s="12"/>
      <c r="EG57" s="12"/>
      <c r="EH57" s="12"/>
      <c r="EI57" s="12">
        <v>64746943.378640778</v>
      </c>
      <c r="EJ57" s="12">
        <v>26763485.558945909</v>
      </c>
      <c r="EK57" s="12">
        <v>14.824552959790008</v>
      </c>
      <c r="EL57" s="12">
        <v>19.26610815960662</v>
      </c>
      <c r="EM57" s="12">
        <v>4.4422110727515616</v>
      </c>
      <c r="EN57" s="12"/>
      <c r="EO57" s="12"/>
      <c r="EP57" s="12"/>
    </row>
    <row r="58" spans="1:146" x14ac:dyDescent="0.25">
      <c r="A58" s="52" t="s">
        <v>338</v>
      </c>
      <c r="B58" s="52" t="s">
        <v>339</v>
      </c>
      <c r="C58" s="55"/>
      <c r="D58" s="55"/>
      <c r="E58" s="55" t="s">
        <v>196</v>
      </c>
      <c r="F58" s="50">
        <v>32</v>
      </c>
      <c r="G58" s="50">
        <v>512</v>
      </c>
      <c r="H58" s="53"/>
      <c r="I58" s="53" t="s">
        <v>233</v>
      </c>
      <c r="J58" s="12">
        <v>9361.4909847434119</v>
      </c>
      <c r="K58" s="12">
        <v>10547.892807553229</v>
      </c>
      <c r="L58" s="12">
        <v>36.562053930789695</v>
      </c>
      <c r="M58" s="12"/>
      <c r="N58" s="12"/>
      <c r="O58" s="12"/>
      <c r="P58" s="12"/>
      <c r="Q58" s="12">
        <v>8168.0258914713258</v>
      </c>
      <c r="R58" s="12"/>
      <c r="S58" s="12"/>
      <c r="T58" s="12"/>
      <c r="U58" s="12">
        <v>0.83510164270636156</v>
      </c>
      <c r="V58" s="12"/>
      <c r="W58" s="12"/>
      <c r="X58" s="12"/>
      <c r="Y58" s="12"/>
      <c r="Z58" s="12"/>
      <c r="AA58" s="12"/>
      <c r="AB58" s="12"/>
      <c r="AC58" s="12">
        <v>37971.779785029954</v>
      </c>
      <c r="AD58" s="12">
        <v>98.998606204890848</v>
      </c>
      <c r="AE58" s="12">
        <v>34368.696976373096</v>
      </c>
      <c r="AF58" s="12">
        <v>12249.786713876816</v>
      </c>
      <c r="AG58" s="12"/>
      <c r="AH58" s="12"/>
      <c r="AI58" s="12">
        <v>3.5891115232764087E-2</v>
      </c>
      <c r="AJ58" s="12"/>
      <c r="AK58" s="12"/>
      <c r="AL58" s="12">
        <v>0.58837853960569564</v>
      </c>
      <c r="AM58" s="12">
        <v>2.0128030058185042</v>
      </c>
      <c r="AN58" s="12">
        <v>5.0854929566428888</v>
      </c>
      <c r="AO58" s="12">
        <v>0.6137414916125371</v>
      </c>
      <c r="AP58" s="12"/>
      <c r="AQ58" s="12">
        <v>0.31110159565936868</v>
      </c>
      <c r="AR58" s="12">
        <v>6.0448212499441558</v>
      </c>
      <c r="AS58" s="12">
        <v>0.38447746313574138</v>
      </c>
      <c r="AT58" s="12">
        <v>0.77808118785674685</v>
      </c>
      <c r="AU58" s="12">
        <v>0.11631146372693725</v>
      </c>
      <c r="AV58" s="12">
        <v>1.7725725881595714E-2</v>
      </c>
      <c r="AW58" s="12"/>
      <c r="AX58" s="12">
        <v>1.0486735480233085E-2</v>
      </c>
      <c r="AY58" s="12"/>
      <c r="AZ58" s="12"/>
      <c r="BA58" s="12"/>
      <c r="BB58" s="12"/>
      <c r="BC58" s="12"/>
      <c r="BD58" s="12"/>
      <c r="BE58" s="12"/>
      <c r="BF58" s="12"/>
      <c r="BG58" s="12"/>
      <c r="BH58" s="12"/>
      <c r="BI58" s="12"/>
      <c r="BJ58" s="12"/>
      <c r="BK58" s="12"/>
      <c r="BL58" s="12"/>
      <c r="BM58" s="12"/>
      <c r="BN58" s="12"/>
      <c r="BO58" s="12">
        <v>3.6304704478569615E-2</v>
      </c>
      <c r="BP58" s="12">
        <v>0.57610258728949704</v>
      </c>
      <c r="BQ58" s="12"/>
      <c r="BR58" s="12"/>
      <c r="BS58" s="12">
        <v>105.05647530807445</v>
      </c>
      <c r="BT58" s="12"/>
      <c r="BU58" s="12"/>
      <c r="BV58" s="12">
        <v>189.10990299322657</v>
      </c>
      <c r="BW58" s="12">
        <v>532.9128290757285</v>
      </c>
      <c r="BX58" s="12">
        <v>6104.1770380008238</v>
      </c>
      <c r="BY58" s="12">
        <v>2435.2000579252008</v>
      </c>
      <c r="BZ58" s="12"/>
      <c r="CA58" s="12">
        <v>0</v>
      </c>
      <c r="CB58" s="12">
        <v>178385.16448245171</v>
      </c>
      <c r="CC58" s="12">
        <v>39138.3560441304</v>
      </c>
      <c r="CD58" s="12">
        <v>89644.598305892272</v>
      </c>
      <c r="CE58" s="12">
        <v>8079.0636610162583</v>
      </c>
      <c r="CF58" s="12">
        <v>27.351766303085228</v>
      </c>
      <c r="CG58" s="12"/>
      <c r="CH58" s="12">
        <v>721.22485766235491</v>
      </c>
      <c r="CI58" s="12"/>
      <c r="CJ58" s="12"/>
      <c r="CK58" s="12"/>
      <c r="CL58" s="12"/>
      <c r="CM58" s="12"/>
      <c r="CN58" s="12"/>
      <c r="CO58" s="12"/>
      <c r="CP58" s="12"/>
      <c r="CQ58" s="12"/>
      <c r="CR58" s="12"/>
      <c r="CS58" s="12"/>
      <c r="CT58" s="12"/>
      <c r="CU58" s="12"/>
      <c r="CV58" s="12"/>
      <c r="CW58" s="12"/>
      <c r="CX58" s="12"/>
      <c r="CY58" s="12">
        <v>13.312807478839462</v>
      </c>
      <c r="CZ58" s="12">
        <v>13.532101550763041</v>
      </c>
      <c r="DA58" s="12"/>
      <c r="DB58" s="12"/>
      <c r="DC58" s="12">
        <v>20889503.423023578</v>
      </c>
      <c r="DD58" s="12"/>
      <c r="DE58" s="12"/>
      <c r="DF58" s="12">
        <v>42108521.808599167</v>
      </c>
      <c r="DG58" s="12">
        <v>394013953.06518722</v>
      </c>
      <c r="DH58" s="12">
        <v>1042869113.076283</v>
      </c>
      <c r="DI58" s="12">
        <v>152019773.42579749</v>
      </c>
      <c r="DJ58" s="12"/>
      <c r="DK58" s="12">
        <v>171645669.37031901</v>
      </c>
      <c r="DL58" s="12">
        <v>394198858.20804441</v>
      </c>
      <c r="DM58" s="12">
        <v>89294822.43550624</v>
      </c>
      <c r="DN58" s="12">
        <v>202453628.27184466</v>
      </c>
      <c r="DO58" s="12">
        <v>95373871.578363389</v>
      </c>
      <c r="DP58" s="12">
        <v>93935022.335644931</v>
      </c>
      <c r="DQ58" s="12"/>
      <c r="DR58" s="12">
        <v>22310644.993065186</v>
      </c>
      <c r="DS58" s="12"/>
      <c r="DT58" s="12"/>
      <c r="DU58" s="12"/>
      <c r="DV58" s="12"/>
      <c r="DW58" s="12"/>
      <c r="DX58" s="12"/>
      <c r="DY58" s="12"/>
      <c r="DZ58" s="12"/>
      <c r="EA58" s="12"/>
      <c r="EB58" s="12"/>
      <c r="EC58" s="12"/>
      <c r="ED58" s="12"/>
      <c r="EE58" s="12"/>
      <c r="EF58" s="12"/>
      <c r="EG58" s="12"/>
      <c r="EH58" s="12"/>
      <c r="EI58" s="12">
        <v>63887737.786407769</v>
      </c>
      <c r="EJ58" s="12">
        <v>27358956.471567269</v>
      </c>
      <c r="EK58" s="12">
        <v>18.091106893623746</v>
      </c>
      <c r="EL58" s="12">
        <v>30.509518353906991</v>
      </c>
      <c r="EM58" s="12">
        <v>12.416054871664219</v>
      </c>
      <c r="EN58" s="12"/>
      <c r="EO58" s="12"/>
      <c r="EP58" s="12"/>
    </row>
    <row r="59" spans="1:146" x14ac:dyDescent="0.25">
      <c r="A59" s="52" t="s">
        <v>340</v>
      </c>
      <c r="B59" s="52" t="s">
        <v>341</v>
      </c>
      <c r="C59" s="55"/>
      <c r="D59" s="55"/>
      <c r="E59" s="55" t="s">
        <v>196</v>
      </c>
      <c r="F59" s="75">
        <v>32</v>
      </c>
      <c r="G59" s="75">
        <v>256</v>
      </c>
      <c r="H59" s="53"/>
      <c r="I59" s="53" t="s">
        <v>233</v>
      </c>
      <c r="J59" s="12">
        <v>10038.002242152466</v>
      </c>
      <c r="K59" s="12">
        <v>7350.3126820124025</v>
      </c>
      <c r="L59" s="12">
        <v>40.248916773871407</v>
      </c>
      <c r="M59" s="12"/>
      <c r="N59" s="12"/>
      <c r="O59" s="12"/>
      <c r="P59" s="12">
        <v>0.85698914314845176</v>
      </c>
      <c r="Q59" s="12"/>
      <c r="R59" s="12"/>
      <c r="S59" s="12"/>
      <c r="T59" s="12"/>
      <c r="U59" s="12"/>
      <c r="V59" s="12"/>
      <c r="W59" s="12"/>
      <c r="X59" s="12"/>
      <c r="Y59" s="12"/>
      <c r="Z59" s="12"/>
      <c r="AA59" s="12"/>
      <c r="AB59" s="12"/>
      <c r="AC59" s="12">
        <v>205292.85831110855</v>
      </c>
      <c r="AD59" s="12">
        <v>99.445010145053018</v>
      </c>
      <c r="AE59" s="12">
        <v>25381.185694517848</v>
      </c>
      <c r="AF59" s="12">
        <v>14967.4558086538</v>
      </c>
      <c r="AG59" s="12">
        <v>0.41735769071332357</v>
      </c>
      <c r="AH59" s="12"/>
      <c r="AI59" s="12">
        <v>4.8571294677296664E-2</v>
      </c>
      <c r="AJ59" s="12">
        <v>0.41864971144442131</v>
      </c>
      <c r="AK59" s="12">
        <v>1.6286071323001172</v>
      </c>
      <c r="AL59" s="12">
        <v>0.19241316623387836</v>
      </c>
      <c r="AM59" s="12"/>
      <c r="AN59" s="12">
        <v>2.5899052595480621</v>
      </c>
      <c r="AO59" s="12">
        <v>1.1417360354440746</v>
      </c>
      <c r="AP59" s="12">
        <v>9.3749428581216807E-2</v>
      </c>
      <c r="AQ59" s="12">
        <v>0.34632590475828173</v>
      </c>
      <c r="AR59" s="12">
        <v>4.3240084893429032</v>
      </c>
      <c r="AS59" s="12">
        <v>6.4257543785978949E-2</v>
      </c>
      <c r="AT59" s="12">
        <v>0.56846018673823218</v>
      </c>
      <c r="AU59" s="12">
        <v>0.44481172953016351</v>
      </c>
      <c r="AV59" s="12">
        <v>5.6179098183495738E-3</v>
      </c>
      <c r="AW59" s="12">
        <v>0.3697280335423499</v>
      </c>
      <c r="AX59" s="12">
        <v>9.4805185246723822E-3</v>
      </c>
      <c r="AY59" s="12">
        <v>0.49366969152416984</v>
      </c>
      <c r="AZ59" s="12"/>
      <c r="BA59" s="12"/>
      <c r="BB59" s="12"/>
      <c r="BC59" s="12"/>
      <c r="BD59" s="12"/>
      <c r="BE59" s="12"/>
      <c r="BF59" s="12"/>
      <c r="BG59" s="12"/>
      <c r="BH59" s="12"/>
      <c r="BI59" s="12"/>
      <c r="BJ59" s="12"/>
      <c r="BK59" s="12"/>
      <c r="BL59" s="12"/>
      <c r="BM59" s="12"/>
      <c r="BN59" s="12"/>
      <c r="BO59" s="12">
        <v>5.653168571210776E-2</v>
      </c>
      <c r="BP59" s="12">
        <v>0.15297460832020368</v>
      </c>
      <c r="BQ59" s="12">
        <v>486.9300187407257</v>
      </c>
      <c r="BR59" s="12"/>
      <c r="BS59" s="12">
        <v>104.08720169664224</v>
      </c>
      <c r="BT59" s="12">
        <v>920.64430721085068</v>
      </c>
      <c r="BU59" s="12">
        <v>67.290315638144719</v>
      </c>
      <c r="BV59" s="12">
        <v>445.31317360695584</v>
      </c>
      <c r="BW59" s="12"/>
      <c r="BX59" s="12">
        <v>25060.279409263614</v>
      </c>
      <c r="BY59" s="12">
        <v>1090.4603202497917</v>
      </c>
      <c r="BZ59" s="12">
        <v>7.4313742322664753</v>
      </c>
      <c r="CA59" s="12">
        <v>36.039419317446182</v>
      </c>
      <c r="CB59" s="12">
        <v>159826.17275303506</v>
      </c>
      <c r="CC59" s="12">
        <v>102.07902287776356</v>
      </c>
      <c r="CD59" s="12">
        <v>53571.989755522693</v>
      </c>
      <c r="CE59" s="12">
        <v>12159.528542795822</v>
      </c>
      <c r="CF59" s="12">
        <v>0.33232959436270754</v>
      </c>
      <c r="CG59" s="12">
        <v>21.451034519529411</v>
      </c>
      <c r="CH59" s="12">
        <v>121.28259155971794</v>
      </c>
      <c r="CI59" s="12">
        <v>1184.0424773522823</v>
      </c>
      <c r="CJ59" s="12"/>
      <c r="CK59" s="12"/>
      <c r="CL59" s="12"/>
      <c r="CM59" s="12"/>
      <c r="CN59" s="12"/>
      <c r="CO59" s="12"/>
      <c r="CP59" s="12"/>
      <c r="CQ59" s="12"/>
      <c r="CR59" s="12"/>
      <c r="CS59" s="12"/>
      <c r="CT59" s="12"/>
      <c r="CU59" s="12"/>
      <c r="CV59" s="12"/>
      <c r="CW59" s="12"/>
      <c r="CX59" s="12"/>
      <c r="CY59" s="12">
        <v>13.248711830648837</v>
      </c>
      <c r="CZ59" s="12">
        <v>8.7542254136540603</v>
      </c>
      <c r="DA59" s="12">
        <v>379945657.97309417</v>
      </c>
      <c r="DB59" s="12"/>
      <c r="DC59" s="12">
        <v>22441405.417040359</v>
      </c>
      <c r="DD59" s="12">
        <v>644946948.59192824</v>
      </c>
      <c r="DE59" s="12">
        <v>589196852.80717492</v>
      </c>
      <c r="DF59" s="12">
        <v>25401500.125560537</v>
      </c>
      <c r="DG59" s="12"/>
      <c r="DH59" s="12">
        <v>1149053726.9955156</v>
      </c>
      <c r="DI59" s="12">
        <v>113098246.88789238</v>
      </c>
      <c r="DJ59" s="12">
        <v>71659896.538116589</v>
      </c>
      <c r="DK59" s="12">
        <v>191631451.83856502</v>
      </c>
      <c r="DL59" s="12">
        <v>371957695.71300447</v>
      </c>
      <c r="DM59" s="12">
        <v>45898628.017937221</v>
      </c>
      <c r="DN59" s="12">
        <v>192602497.72197309</v>
      </c>
      <c r="DO59" s="12">
        <v>99117267.22869955</v>
      </c>
      <c r="DP59" s="12">
        <v>91115804.699551567</v>
      </c>
      <c r="DQ59" s="12">
        <v>969666881.43497753</v>
      </c>
      <c r="DR59" s="12">
        <v>21222781.130044844</v>
      </c>
      <c r="DS59" s="12">
        <v>523201182.42152464</v>
      </c>
      <c r="DT59" s="12"/>
      <c r="DU59" s="12"/>
      <c r="DV59" s="12"/>
      <c r="DW59" s="12"/>
      <c r="DX59" s="12"/>
      <c r="DY59" s="12"/>
      <c r="DZ59" s="12"/>
      <c r="EA59" s="12"/>
      <c r="EB59" s="12"/>
      <c r="EC59" s="12"/>
      <c r="ED59" s="12"/>
      <c r="EE59" s="12"/>
      <c r="EF59" s="12"/>
      <c r="EG59" s="12"/>
      <c r="EH59" s="12"/>
      <c r="EI59" s="12">
        <v>64771701.094170406</v>
      </c>
      <c r="EJ59" s="12">
        <v>25825463.677130044</v>
      </c>
      <c r="EK59" s="12">
        <v>6.8332370456849576</v>
      </c>
      <c r="EL59" s="12">
        <v>13.295506085271112</v>
      </c>
      <c r="EM59" s="12">
        <v>6.4608662131707728</v>
      </c>
      <c r="EN59" s="12"/>
      <c r="EO59" s="12"/>
      <c r="EP59" s="12"/>
    </row>
    <row r="60" spans="1:146" x14ac:dyDescent="0.25">
      <c r="A60" s="25" t="s">
        <v>342</v>
      </c>
      <c r="B60" s="25" t="s">
        <v>343</v>
      </c>
      <c r="C60" s="17"/>
      <c r="D60" s="17"/>
      <c r="E60" s="17" t="s">
        <v>196</v>
      </c>
      <c r="F60" s="68">
        <v>32</v>
      </c>
      <c r="G60" s="68" t="s">
        <v>231</v>
      </c>
      <c r="H60" s="32"/>
      <c r="I60" s="32" t="s">
        <v>242</v>
      </c>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c r="BL60" s="12"/>
      <c r="BM60" s="12"/>
      <c r="BN60" s="12"/>
      <c r="BO60" s="12"/>
      <c r="BP60" s="12"/>
      <c r="BQ60" s="12"/>
      <c r="BR60" s="12"/>
      <c r="BS60" s="12"/>
      <c r="BT60" s="12"/>
      <c r="BU60" s="12"/>
      <c r="BV60" s="12"/>
      <c r="BW60" s="12"/>
      <c r="BX60" s="12"/>
      <c r="BY60" s="12"/>
      <c r="BZ60" s="12"/>
      <c r="CA60" s="12"/>
      <c r="CB60" s="12"/>
      <c r="CC60" s="12"/>
      <c r="CD60" s="12"/>
      <c r="CE60" s="12"/>
      <c r="CF60" s="12"/>
      <c r="CG60" s="12"/>
      <c r="CH60" s="12"/>
      <c r="CI60" s="12"/>
      <c r="CJ60" s="12"/>
      <c r="CK60" s="12"/>
      <c r="CL60" s="12"/>
      <c r="CM60" s="12"/>
      <c r="CN60" s="12"/>
      <c r="CO60" s="12"/>
      <c r="CP60" s="12"/>
      <c r="CQ60" s="12"/>
      <c r="CR60" s="12"/>
      <c r="CS60" s="12"/>
      <c r="CT60" s="12"/>
      <c r="CU60" s="12"/>
      <c r="CV60" s="12"/>
      <c r="CW60" s="12"/>
      <c r="CX60" s="12"/>
      <c r="CY60" s="12"/>
      <c r="CZ60" s="12"/>
      <c r="DA60" s="12"/>
      <c r="DB60" s="12"/>
      <c r="DC60" s="12"/>
      <c r="DD60" s="12"/>
      <c r="DE60" s="12"/>
      <c r="DF60" s="12"/>
      <c r="DG60" s="12"/>
      <c r="DH60" s="12"/>
      <c r="DI60" s="12"/>
      <c r="DJ60" s="12"/>
      <c r="DK60" s="12"/>
      <c r="DL60" s="12"/>
      <c r="DM60" s="12"/>
      <c r="DN60" s="12"/>
      <c r="DO60" s="12"/>
      <c r="DP60" s="12"/>
      <c r="DQ60" s="12"/>
      <c r="DR60" s="12"/>
      <c r="DS60" s="12"/>
      <c r="DT60" s="12"/>
      <c r="DU60" s="12"/>
      <c r="DV60" s="12"/>
      <c r="DW60" s="12"/>
      <c r="DX60" s="12"/>
      <c r="DY60" s="12"/>
      <c r="DZ60" s="12"/>
      <c r="EA60" s="12"/>
      <c r="EB60" s="12"/>
      <c r="EC60" s="12"/>
      <c r="ED60" s="12"/>
      <c r="EE60" s="12"/>
      <c r="EF60" s="12"/>
      <c r="EG60" s="12"/>
      <c r="EH60" s="12"/>
      <c r="EI60" s="12"/>
      <c r="EJ60" s="12"/>
      <c r="EK60" s="12"/>
      <c r="EL60" s="12"/>
      <c r="EM60" s="12"/>
      <c r="EN60" s="12"/>
      <c r="EO60" s="12"/>
      <c r="EP60" s="12"/>
    </row>
    <row r="61" spans="1:146" s="70" customFormat="1" ht="26.25" customHeight="1" x14ac:dyDescent="0.35">
      <c r="A61" s="71"/>
      <c r="B61" s="72"/>
      <c r="C61" s="72"/>
      <c r="D61" s="72"/>
      <c r="E61" s="72"/>
      <c r="F61" s="72"/>
      <c r="G61" s="72"/>
      <c r="H61" s="72"/>
      <c r="I61" s="73" t="s">
        <v>353</v>
      </c>
      <c r="J61" s="69">
        <f>AVERAGE(J4:J60)</f>
        <v>8877.9451015717968</v>
      </c>
      <c r="K61" s="69">
        <f>AVERAGE(K4:K60)</f>
        <v>10691.585836051128</v>
      </c>
      <c r="L61" s="69">
        <f>AVERAGE(L5:L60)</f>
        <v>270.89671876960915</v>
      </c>
      <c r="M61" s="69"/>
      <c r="N61" s="69"/>
      <c r="O61" s="69"/>
      <c r="P61" s="69">
        <f>AVERAGE(P4:P60)</f>
        <v>84.390292532770388</v>
      </c>
      <c r="Q61" s="69">
        <f>AVERAGE(Q4:Q60)</f>
        <v>101514.84193732023</v>
      </c>
      <c r="R61" s="69">
        <f>AVERAGE(R4:R60)</f>
        <v>93303.605388292999</v>
      </c>
      <c r="S61" s="69"/>
      <c r="T61" s="69">
        <f>AVERAGE(T4:T60)</f>
        <v>207074.63173870055</v>
      </c>
      <c r="U61" s="69">
        <f>AVERAGE(U4:U60)</f>
        <v>5.8892295999171598</v>
      </c>
      <c r="V61" s="69"/>
      <c r="W61" s="69"/>
      <c r="X61" s="69"/>
      <c r="Y61" s="69"/>
      <c r="Z61" s="69">
        <f>AVERAGE(Z4:Z60)</f>
        <v>36248.107580198986</v>
      </c>
      <c r="AA61" s="69"/>
      <c r="AB61" s="69"/>
      <c r="AC61" s="69">
        <f>AVERAGE(AC4:AC60)</f>
        <v>66565.885274548695</v>
      </c>
      <c r="AD61" s="69">
        <f>AVERAGE(AD4:AD60)</f>
        <v>98.143269397695292</v>
      </c>
      <c r="AE61" s="69">
        <f>AVERAGE(AE4:AE60)</f>
        <v>39638.033448452392</v>
      </c>
      <c r="AF61" s="69">
        <f>AVERAGE(AF4:AF60)</f>
        <v>20113.55017777277</v>
      </c>
      <c r="AG61" s="69">
        <f>AVERAGE(AG4:AG60)</f>
        <v>2.8190939453700454</v>
      </c>
      <c r="AH61" s="69"/>
      <c r="AI61" s="69">
        <f t="shared" ref="AI61:BC61" si="0">AVERAGE(AI4:AI60)</f>
        <v>0.10217986716108279</v>
      </c>
      <c r="AJ61" s="69">
        <f t="shared" si="0"/>
        <v>0.95640353753898177</v>
      </c>
      <c r="AK61" s="69">
        <f t="shared" si="0"/>
        <v>2.166683031897668</v>
      </c>
      <c r="AL61" s="69">
        <f t="shared" si="0"/>
        <v>0.822419530361017</v>
      </c>
      <c r="AM61" s="69">
        <f t="shared" si="0"/>
        <v>2.208010771515764</v>
      </c>
      <c r="AN61" s="69">
        <f t="shared" si="0"/>
        <v>8.1276610161493146</v>
      </c>
      <c r="AO61" s="69">
        <f t="shared" si="0"/>
        <v>0.89149361688783701</v>
      </c>
      <c r="AP61" s="69">
        <f t="shared" si="0"/>
        <v>0.14712819328167018</v>
      </c>
      <c r="AQ61" s="69">
        <f t="shared" si="0"/>
        <v>0.54279031074872985</v>
      </c>
      <c r="AR61" s="69">
        <f t="shared" si="0"/>
        <v>9.3247345791443248</v>
      </c>
      <c r="AS61" s="69">
        <f t="shared" si="0"/>
        <v>0.33305582919550075</v>
      </c>
      <c r="AT61" s="69">
        <f t="shared" si="0"/>
        <v>1.9823537950089469</v>
      </c>
      <c r="AU61" s="69">
        <f t="shared" si="0"/>
        <v>0.44982229223432335</v>
      </c>
      <c r="AV61" s="69">
        <f t="shared" si="0"/>
        <v>2.5684496327988068E-2</v>
      </c>
      <c r="AW61" s="69">
        <f t="shared" si="0"/>
        <v>0.47851407231679205</v>
      </c>
      <c r="AX61" s="69">
        <f t="shared" si="0"/>
        <v>3.6120226282723371E-2</v>
      </c>
      <c r="AY61" s="69">
        <f t="shared" si="0"/>
        <v>1.7159817501195123</v>
      </c>
      <c r="AZ61" s="69">
        <f t="shared" si="0"/>
        <v>1.5003760119479575E-2</v>
      </c>
      <c r="BA61" s="69">
        <f t="shared" si="0"/>
        <v>8.7794137192756819E-2</v>
      </c>
      <c r="BB61" s="69">
        <f t="shared" si="0"/>
        <v>0.83447594247801127</v>
      </c>
      <c r="BC61" s="69">
        <f t="shared" si="0"/>
        <v>0.19210381519570346</v>
      </c>
      <c r="BD61" s="69"/>
      <c r="BE61" s="69">
        <f t="shared" ref="BE61:BK61" si="1">AVERAGE(BE4:BE60)</f>
        <v>2.9510388501076159</v>
      </c>
      <c r="BF61" s="69">
        <f t="shared" si="1"/>
        <v>0</v>
      </c>
      <c r="BG61" s="69">
        <f t="shared" si="1"/>
        <v>0</v>
      </c>
      <c r="BH61" s="69">
        <f t="shared" si="1"/>
        <v>1.0262274505146076E-2</v>
      </c>
      <c r="BI61" s="69">
        <f t="shared" si="1"/>
        <v>5.8019528973513219E-4</v>
      </c>
      <c r="BJ61" s="69">
        <f t="shared" si="1"/>
        <v>0.12869624624812759</v>
      </c>
      <c r="BK61" s="69">
        <f t="shared" si="1"/>
        <v>1.5785166556724077E-3</v>
      </c>
      <c r="BL61" s="69"/>
      <c r="BM61" s="69"/>
      <c r="BN61" s="69">
        <f>AVERAGE(BN4:BN60)</f>
        <v>21.062478450775298</v>
      </c>
      <c r="BO61" s="69">
        <f>AVERAGE(BO4:BO60)</f>
        <v>6.8108560416143174E-2</v>
      </c>
      <c r="BP61" s="69">
        <f>AVERAGE(BP4:BP60)</f>
        <v>0.50307065644846694</v>
      </c>
      <c r="BQ61" s="69">
        <f>AVERAGE(BQ4:BQ60)</f>
        <v>26542.228234751045</v>
      </c>
      <c r="BR61" s="69"/>
      <c r="BS61" s="69">
        <f t="shared" ref="BS61:CM61" si="2">AVERAGE(BS4:BS60)</f>
        <v>94.938780255947009</v>
      </c>
      <c r="BT61" s="69">
        <f t="shared" si="2"/>
        <v>145334.23396565055</v>
      </c>
      <c r="BU61" s="69">
        <f t="shared" si="2"/>
        <v>31097.515328665759</v>
      </c>
      <c r="BV61" s="69">
        <f t="shared" si="2"/>
        <v>456.04232057147658</v>
      </c>
      <c r="BW61" s="69">
        <f t="shared" si="2"/>
        <v>248.186354812339</v>
      </c>
      <c r="BX61" s="69">
        <f t="shared" si="2"/>
        <v>22111.959205766143</v>
      </c>
      <c r="BY61" s="69">
        <f t="shared" si="2"/>
        <v>31119.549692698467</v>
      </c>
      <c r="BZ61" s="69">
        <f t="shared" si="2"/>
        <v>145.87090236161563</v>
      </c>
      <c r="CA61" s="69">
        <f t="shared" si="2"/>
        <v>220.76719484734963</v>
      </c>
      <c r="CB61" s="69">
        <f t="shared" si="2"/>
        <v>395409.45574120333</v>
      </c>
      <c r="CC61" s="69">
        <f t="shared" si="2"/>
        <v>34245.907848712995</v>
      </c>
      <c r="CD61" s="69">
        <f t="shared" si="2"/>
        <v>143808.99486227368</v>
      </c>
      <c r="CE61" s="69">
        <f t="shared" si="2"/>
        <v>8597.4992954647769</v>
      </c>
      <c r="CF61" s="69">
        <f t="shared" si="2"/>
        <v>522.77133844649927</v>
      </c>
      <c r="CG61" s="69">
        <f t="shared" si="2"/>
        <v>346.69723229250968</v>
      </c>
      <c r="CH61" s="69">
        <f t="shared" si="2"/>
        <v>286.89543590496896</v>
      </c>
      <c r="CI61" s="69">
        <f t="shared" si="2"/>
        <v>44578.240629778404</v>
      </c>
      <c r="CJ61" s="69">
        <f t="shared" si="2"/>
        <v>99.243579115586499</v>
      </c>
      <c r="CK61" s="69">
        <f t="shared" si="2"/>
        <v>1095.0661053242611</v>
      </c>
      <c r="CL61" s="69">
        <f t="shared" si="2"/>
        <v>524794.90066972328</v>
      </c>
      <c r="CM61" s="69">
        <f t="shared" si="2"/>
        <v>1504.0031265043731</v>
      </c>
      <c r="CN61" s="69"/>
      <c r="CO61" s="69">
        <f t="shared" ref="CO61:CU61" si="3">AVERAGE(CO4:CO60)</f>
        <v>263563.65182293166</v>
      </c>
      <c r="CP61" s="69">
        <f t="shared" si="3"/>
        <v>0</v>
      </c>
      <c r="CQ61" s="69">
        <f t="shared" si="3"/>
        <v>0</v>
      </c>
      <c r="CR61" s="69">
        <f t="shared" si="3"/>
        <v>161.82016022335694</v>
      </c>
      <c r="CS61" s="69">
        <f t="shared" si="3"/>
        <v>0.5065541301908083</v>
      </c>
      <c r="CT61" s="69">
        <f t="shared" si="3"/>
        <v>7883.6027937999461</v>
      </c>
      <c r="CU61" s="69">
        <f t="shared" si="3"/>
        <v>1.515250707874958</v>
      </c>
      <c r="CV61" s="69"/>
      <c r="CW61" s="69"/>
      <c r="CX61" s="69">
        <f>AVERAGE(CX5:CX60)</f>
        <v>5225040.0797845796</v>
      </c>
      <c r="CY61" s="69">
        <f>AVERAGE(CY4:CY60)</f>
        <v>13.580709721252951</v>
      </c>
      <c r="CZ61" s="69">
        <f>AVERAGE(CZ4:CZ60)</f>
        <v>207.38320004852608</v>
      </c>
      <c r="DA61" s="69">
        <f>AVERAGE(DA4:DA60)</f>
        <v>576904665.91300476</v>
      </c>
      <c r="DB61" s="69"/>
      <c r="DC61" s="69">
        <f t="shared" ref="DC61:DW61" si="4">AVERAGE(DC4:DC60)</f>
        <v>23973771.895417303</v>
      </c>
      <c r="DD61" s="69">
        <f t="shared" si="4"/>
        <v>807978922.23394585</v>
      </c>
      <c r="DE61" s="69">
        <f t="shared" si="4"/>
        <v>351572178.53612286</v>
      </c>
      <c r="DF61" s="69">
        <f t="shared" si="4"/>
        <v>66540828.300041601</v>
      </c>
      <c r="DG61" s="69">
        <f t="shared" si="4"/>
        <v>262200682.69675407</v>
      </c>
      <c r="DH61" s="69">
        <f t="shared" si="4"/>
        <v>1100453891.7540951</v>
      </c>
      <c r="DI61" s="69">
        <f t="shared" si="4"/>
        <v>176584232.47314441</v>
      </c>
      <c r="DJ61" s="69">
        <f t="shared" si="4"/>
        <v>73673590.10069415</v>
      </c>
      <c r="DK61" s="69">
        <f t="shared" si="4"/>
        <v>178945287.18101943</v>
      </c>
      <c r="DL61" s="69">
        <f t="shared" si="4"/>
        <v>400649207.22734696</v>
      </c>
      <c r="DM61" s="69">
        <f t="shared" si="4"/>
        <v>53726017.970449254</v>
      </c>
      <c r="DN61" s="69">
        <f t="shared" si="4"/>
        <v>206796913.58016863</v>
      </c>
      <c r="DO61" s="69">
        <f t="shared" si="4"/>
        <v>96996216.711538061</v>
      </c>
      <c r="DP61" s="69">
        <f t="shared" si="4"/>
        <v>93826913.377193302</v>
      </c>
      <c r="DQ61" s="69">
        <f t="shared" si="4"/>
        <v>267388165.18406895</v>
      </c>
      <c r="DR61" s="69">
        <f t="shared" si="4"/>
        <v>22333939.761660181</v>
      </c>
      <c r="DS61" s="69">
        <f t="shared" si="4"/>
        <v>534506780.50235271</v>
      </c>
      <c r="DT61" s="69">
        <f t="shared" si="4"/>
        <v>205372565.99754491</v>
      </c>
      <c r="DU61" s="69">
        <f t="shared" si="4"/>
        <v>14166351.929854767</v>
      </c>
      <c r="DV61" s="69">
        <f t="shared" si="4"/>
        <v>138056658.4948746</v>
      </c>
      <c r="DW61" s="69">
        <f t="shared" si="4"/>
        <v>36794100.208565742</v>
      </c>
      <c r="DX61" s="69"/>
      <c r="DY61" s="69">
        <f t="shared" ref="DY61:EE61" si="5">AVERAGE(DY4:DY60)</f>
        <v>142695995.3702192</v>
      </c>
      <c r="DZ61" s="69">
        <f t="shared" si="5"/>
        <v>605167.54293206555</v>
      </c>
      <c r="EA61" s="69">
        <f t="shared" si="5"/>
        <v>635084.33560090698</v>
      </c>
      <c r="EB61" s="69">
        <f t="shared" si="5"/>
        <v>3642979.9027276929</v>
      </c>
      <c r="EC61" s="69">
        <f t="shared" si="5"/>
        <v>36756995.852631241</v>
      </c>
      <c r="ED61" s="69">
        <f t="shared" si="5"/>
        <v>6843737.5697003249</v>
      </c>
      <c r="EE61" s="69">
        <f t="shared" si="5"/>
        <v>9421932.8324733879</v>
      </c>
      <c r="EF61" s="69"/>
      <c r="EG61" s="69">
        <f t="shared" ref="EG61:EM61" si="6">AVERAGE(EG4:EG60)</f>
        <v>22405120</v>
      </c>
      <c r="EH61" s="69">
        <f t="shared" si="6"/>
        <v>54099968</v>
      </c>
      <c r="EI61" s="69">
        <f t="shared" si="6"/>
        <v>67426586.984997094</v>
      </c>
      <c r="EJ61" s="69">
        <f t="shared" si="6"/>
        <v>27548109.226248614</v>
      </c>
      <c r="EK61" s="69">
        <f t="shared" si="6"/>
        <v>9.9867137616816404</v>
      </c>
      <c r="EL61" s="69">
        <f t="shared" si="6"/>
        <v>17.541132605176546</v>
      </c>
      <c r="EM61" s="69">
        <f t="shared" si="6"/>
        <v>7.5182827950453666</v>
      </c>
      <c r="EN61" s="69"/>
      <c r="EO61" s="69"/>
      <c r="EP61" s="69"/>
    </row>
    <row r="62" spans="1:146" ht="29.25" customHeight="1" x14ac:dyDescent="0.25"/>
    <row r="67" customFormat="1" x14ac:dyDescent="0.25"/>
    <row r="70" customFormat="1" x14ac:dyDescent="0.25"/>
    <row r="86" customFormat="1" x14ac:dyDescent="0.25"/>
    <row r="114" spans="1:146" s="95" customFormat="1" x14ac:dyDescent="0.25"/>
    <row r="115" spans="1:146" x14ac:dyDescent="0.25">
      <c r="A115" s="81"/>
      <c r="B115" s="81"/>
      <c r="C115" s="82"/>
      <c r="D115" s="82"/>
      <c r="E115" s="82"/>
      <c r="F115" s="81"/>
      <c r="G115" s="81"/>
      <c r="H115" s="81"/>
      <c r="I115" s="84"/>
      <c r="J115" s="92"/>
      <c r="K115" s="92"/>
      <c r="L115" s="92"/>
      <c r="M115" s="92"/>
      <c r="N115" s="92"/>
      <c r="O115" s="92"/>
      <c r="P115" s="92"/>
      <c r="Q115" s="92"/>
      <c r="R115" s="92"/>
      <c r="S115" s="92"/>
      <c r="T115" s="92"/>
      <c r="U115" s="92"/>
      <c r="V115" s="92"/>
      <c r="W115" s="92"/>
      <c r="X115" s="92"/>
      <c r="Y115" s="92"/>
      <c r="Z115" s="92"/>
      <c r="AA115" s="92"/>
      <c r="AB115" s="92"/>
      <c r="AC115" s="92"/>
      <c r="AD115" s="92"/>
      <c r="AE115" s="92"/>
      <c r="AF115" s="92"/>
      <c r="AG115" s="92"/>
      <c r="AH115" s="92"/>
      <c r="AI115" s="92"/>
      <c r="AJ115" s="92"/>
      <c r="AK115" s="92"/>
      <c r="AL115" s="92"/>
      <c r="AM115" s="92"/>
      <c r="AN115" s="92"/>
      <c r="AO115" s="92"/>
      <c r="AP115" s="92"/>
      <c r="AQ115" s="92"/>
      <c r="AR115" s="92"/>
      <c r="AS115" s="92"/>
      <c r="AT115" s="92"/>
      <c r="AU115" s="92"/>
      <c r="AV115" s="92"/>
      <c r="AW115" s="92"/>
      <c r="AX115" s="92"/>
      <c r="AY115" s="92"/>
      <c r="AZ115" s="92"/>
      <c r="BA115" s="92"/>
      <c r="BB115" s="92"/>
      <c r="BC115" s="92"/>
      <c r="BD115" s="92"/>
      <c r="BE115" s="92"/>
      <c r="BF115" s="92"/>
      <c r="BG115" s="92"/>
      <c r="BH115" s="92"/>
      <c r="BI115" s="92"/>
      <c r="BJ115" s="92"/>
      <c r="BK115" s="92"/>
      <c r="BL115" s="92"/>
      <c r="BM115" s="92"/>
      <c r="BN115" s="92"/>
      <c r="BO115" s="92"/>
      <c r="BP115" s="92"/>
      <c r="BQ115" s="92"/>
      <c r="BR115" s="92"/>
      <c r="BS115" s="92"/>
      <c r="BT115" s="92"/>
      <c r="BU115" s="92"/>
      <c r="BV115" s="92"/>
      <c r="BW115" s="92"/>
      <c r="BX115" s="92"/>
      <c r="BY115" s="92"/>
      <c r="BZ115" s="92"/>
      <c r="CA115" s="92"/>
      <c r="CB115" s="92"/>
      <c r="CC115" s="92"/>
      <c r="CD115" s="92"/>
      <c r="CE115" s="92"/>
      <c r="CF115" s="92"/>
      <c r="CG115" s="92"/>
      <c r="CH115" s="92"/>
      <c r="CI115" s="92"/>
      <c r="CJ115" s="92"/>
      <c r="CK115" s="92"/>
      <c r="CL115" s="92"/>
      <c r="CM115" s="92"/>
      <c r="CN115" s="92"/>
      <c r="CO115" s="92"/>
      <c r="CP115" s="92"/>
      <c r="CQ115" s="92"/>
      <c r="CR115" s="92"/>
      <c r="CS115" s="92"/>
      <c r="CT115" s="92"/>
      <c r="CU115" s="92"/>
      <c r="CV115" s="92"/>
      <c r="CW115" s="92"/>
      <c r="CX115" s="92"/>
      <c r="CY115" s="92"/>
      <c r="CZ115" s="92"/>
      <c r="DA115" s="92"/>
      <c r="DB115" s="92"/>
      <c r="DC115" s="92"/>
      <c r="DD115" s="92"/>
      <c r="DE115" s="92"/>
      <c r="DF115" s="92"/>
      <c r="DG115" s="92"/>
      <c r="DH115" s="92"/>
      <c r="DI115" s="92"/>
      <c r="DJ115" s="92"/>
      <c r="DK115" s="92"/>
      <c r="DL115" s="92"/>
      <c r="DM115" s="92"/>
      <c r="DN115" s="92"/>
      <c r="DO115" s="92"/>
      <c r="DP115" s="92"/>
      <c r="DQ115" s="92"/>
      <c r="DR115" s="92"/>
      <c r="DS115" s="92"/>
      <c r="DT115" s="92"/>
      <c r="DU115" s="92"/>
      <c r="DV115" s="92"/>
      <c r="DW115" s="92"/>
      <c r="DX115" s="92"/>
      <c r="DY115" s="92"/>
      <c r="DZ115" s="92"/>
      <c r="EA115" s="92"/>
      <c r="EB115" s="92"/>
      <c r="EC115" s="92"/>
      <c r="ED115" s="92"/>
      <c r="EE115" s="92"/>
      <c r="EF115" s="92"/>
      <c r="EG115" s="92"/>
      <c r="EH115" s="92"/>
      <c r="EI115" s="92"/>
      <c r="EJ115" s="92"/>
      <c r="EK115" s="92"/>
      <c r="EL115" s="92"/>
      <c r="EM115" s="92"/>
      <c r="EN115" s="92"/>
      <c r="EO115" s="92"/>
      <c r="EP115" s="92"/>
    </row>
    <row r="116" spans="1:146" x14ac:dyDescent="0.25">
      <c r="A116" s="81"/>
      <c r="B116" s="81"/>
      <c r="C116" s="82"/>
      <c r="D116" s="82"/>
      <c r="E116" s="82"/>
      <c r="F116" s="81"/>
      <c r="G116" s="81"/>
      <c r="H116" s="81"/>
      <c r="I116" s="84"/>
      <c r="J116" s="92"/>
      <c r="K116" s="92"/>
      <c r="L116" s="92"/>
      <c r="M116" s="92"/>
      <c r="N116" s="92"/>
      <c r="O116" s="92"/>
      <c r="P116" s="92"/>
      <c r="Q116" s="92"/>
      <c r="R116" s="92"/>
      <c r="S116" s="92"/>
      <c r="T116" s="92"/>
      <c r="U116" s="92"/>
      <c r="V116" s="92"/>
      <c r="W116" s="92"/>
      <c r="X116" s="92"/>
      <c r="Y116" s="92"/>
      <c r="Z116" s="92"/>
      <c r="AA116" s="92"/>
      <c r="AB116" s="92"/>
      <c r="AC116" s="92"/>
      <c r="AD116" s="92"/>
      <c r="AE116" s="92"/>
      <c r="AF116" s="92"/>
      <c r="AG116" s="92"/>
      <c r="AH116" s="92"/>
      <c r="AI116" s="92"/>
      <c r="AJ116" s="92"/>
      <c r="AK116" s="92"/>
      <c r="AL116" s="92"/>
      <c r="AM116" s="92"/>
      <c r="AN116" s="92"/>
      <c r="AO116" s="92"/>
      <c r="AP116" s="92"/>
      <c r="AQ116" s="92"/>
      <c r="AR116" s="92"/>
      <c r="AS116" s="92"/>
      <c r="AT116" s="92"/>
      <c r="AU116" s="92"/>
      <c r="AV116" s="92"/>
      <c r="AW116" s="92"/>
      <c r="AX116" s="92"/>
      <c r="AY116" s="92"/>
      <c r="AZ116" s="92"/>
      <c r="BA116" s="92"/>
      <c r="BB116" s="92"/>
      <c r="BC116" s="92"/>
      <c r="BD116" s="92"/>
      <c r="BE116" s="92"/>
      <c r="BF116" s="92"/>
      <c r="BG116" s="92"/>
      <c r="BH116" s="92"/>
      <c r="BI116" s="92"/>
      <c r="BJ116" s="92"/>
      <c r="BK116" s="92"/>
      <c r="BL116" s="92"/>
      <c r="BM116" s="92"/>
      <c r="BN116" s="92"/>
      <c r="BO116" s="92"/>
      <c r="BP116" s="92"/>
      <c r="BQ116" s="92"/>
      <c r="BR116" s="92"/>
      <c r="BS116" s="92"/>
      <c r="BT116" s="92"/>
      <c r="BU116" s="92"/>
      <c r="BV116" s="92"/>
      <c r="BW116" s="92"/>
      <c r="BX116" s="92"/>
      <c r="BY116" s="92"/>
      <c r="BZ116" s="92"/>
      <c r="CA116" s="92"/>
      <c r="CB116" s="92"/>
      <c r="CC116" s="92"/>
      <c r="CD116" s="92"/>
      <c r="CE116" s="92"/>
      <c r="CF116" s="92"/>
      <c r="CG116" s="92"/>
      <c r="CH116" s="92"/>
      <c r="CI116" s="92"/>
      <c r="CJ116" s="92"/>
      <c r="CK116" s="92"/>
      <c r="CL116" s="92"/>
      <c r="CM116" s="92"/>
      <c r="CN116" s="92"/>
      <c r="CO116" s="92"/>
      <c r="CP116" s="92"/>
      <c r="CQ116" s="92"/>
      <c r="CR116" s="92"/>
      <c r="CS116" s="92"/>
      <c r="CT116" s="92"/>
      <c r="CU116" s="92"/>
      <c r="CV116" s="92"/>
      <c r="CW116" s="92"/>
      <c r="CX116" s="92"/>
      <c r="CY116" s="92"/>
      <c r="CZ116" s="92"/>
      <c r="DA116" s="92"/>
      <c r="DB116" s="92"/>
      <c r="DC116" s="92"/>
      <c r="DD116" s="92"/>
      <c r="DE116" s="92"/>
      <c r="DF116" s="92"/>
      <c r="DG116" s="92"/>
      <c r="DH116" s="92"/>
      <c r="DI116" s="92"/>
      <c r="DJ116" s="92"/>
      <c r="DK116" s="92"/>
      <c r="DL116" s="92"/>
      <c r="DM116" s="92"/>
      <c r="DN116" s="92"/>
      <c r="DO116" s="92"/>
      <c r="DP116" s="92"/>
      <c r="DQ116" s="92"/>
      <c r="DR116" s="92"/>
      <c r="DS116" s="92"/>
      <c r="DT116" s="92"/>
      <c r="DU116" s="92"/>
      <c r="DV116" s="92"/>
      <c r="DW116" s="92"/>
      <c r="DX116" s="92"/>
      <c r="DY116" s="92"/>
      <c r="DZ116" s="92"/>
      <c r="EA116" s="92"/>
      <c r="EB116" s="92"/>
      <c r="EC116" s="92"/>
      <c r="ED116" s="92"/>
      <c r="EE116" s="92"/>
      <c r="EF116" s="92"/>
      <c r="EG116" s="92"/>
      <c r="EH116" s="92"/>
      <c r="EI116" s="92"/>
      <c r="EJ116" s="92"/>
      <c r="EK116" s="92"/>
      <c r="EL116" s="92"/>
      <c r="EM116" s="92"/>
      <c r="EN116" s="92"/>
      <c r="EO116" s="92"/>
      <c r="EP116" s="92"/>
    </row>
    <row r="117" spans="1:146" x14ac:dyDescent="0.25">
      <c r="A117" s="81"/>
      <c r="B117" s="81"/>
      <c r="C117" s="82"/>
      <c r="D117" s="82"/>
      <c r="E117" s="82"/>
      <c r="F117" s="81"/>
      <c r="G117" s="81"/>
      <c r="H117" s="81"/>
      <c r="I117" s="84"/>
      <c r="J117" s="92"/>
      <c r="K117" s="92"/>
      <c r="L117" s="92"/>
      <c r="M117" s="92"/>
      <c r="N117" s="92"/>
      <c r="O117" s="92"/>
      <c r="P117" s="92"/>
      <c r="Q117" s="92"/>
      <c r="R117" s="92"/>
      <c r="S117" s="92"/>
      <c r="T117" s="92"/>
      <c r="U117" s="92"/>
      <c r="V117" s="92"/>
      <c r="W117" s="92"/>
      <c r="X117" s="92"/>
      <c r="Y117" s="92"/>
      <c r="Z117" s="92"/>
      <c r="AA117" s="92"/>
      <c r="AB117" s="92"/>
      <c r="AC117" s="92"/>
      <c r="AD117" s="92"/>
      <c r="AE117" s="92"/>
      <c r="AF117" s="92"/>
      <c r="AG117" s="92"/>
      <c r="AH117" s="92"/>
      <c r="AI117" s="92"/>
      <c r="AJ117" s="92"/>
      <c r="AK117" s="92"/>
      <c r="AL117" s="92"/>
      <c r="AM117" s="92"/>
      <c r="AN117" s="92"/>
      <c r="AO117" s="92"/>
      <c r="AP117" s="92"/>
      <c r="AQ117" s="92"/>
      <c r="AR117" s="92"/>
      <c r="AS117" s="92"/>
      <c r="AT117" s="92"/>
      <c r="AU117" s="92"/>
      <c r="AV117" s="92"/>
      <c r="AW117" s="92"/>
      <c r="AX117" s="92"/>
      <c r="AY117" s="92"/>
      <c r="AZ117" s="92"/>
      <c r="BA117" s="92"/>
      <c r="BB117" s="92"/>
      <c r="BC117" s="92"/>
      <c r="BD117" s="92"/>
      <c r="BE117" s="92"/>
      <c r="BF117" s="92"/>
      <c r="BG117" s="92"/>
      <c r="BH117" s="92"/>
      <c r="BI117" s="92"/>
      <c r="BJ117" s="92"/>
      <c r="BK117" s="92"/>
      <c r="BL117" s="92"/>
      <c r="BM117" s="92"/>
      <c r="BN117" s="92"/>
      <c r="BO117" s="92"/>
      <c r="BP117" s="92"/>
      <c r="BQ117" s="92"/>
      <c r="BR117" s="92"/>
      <c r="BS117" s="92"/>
      <c r="BT117" s="92"/>
      <c r="BU117" s="92"/>
      <c r="BV117" s="92"/>
      <c r="BW117" s="92"/>
      <c r="BX117" s="92"/>
      <c r="BY117" s="92"/>
      <c r="BZ117" s="92"/>
      <c r="CA117" s="92"/>
      <c r="CB117" s="92"/>
      <c r="CC117" s="92"/>
      <c r="CD117" s="92"/>
      <c r="CE117" s="92"/>
      <c r="CF117" s="92"/>
      <c r="CG117" s="92"/>
      <c r="CH117" s="92"/>
      <c r="CI117" s="92"/>
      <c r="CJ117" s="92"/>
      <c r="CK117" s="92"/>
      <c r="CL117" s="92"/>
      <c r="CM117" s="92"/>
      <c r="CN117" s="92"/>
      <c r="CO117" s="92"/>
      <c r="CP117" s="92"/>
      <c r="CQ117" s="92"/>
      <c r="CR117" s="92"/>
      <c r="CS117" s="92"/>
      <c r="CT117" s="92"/>
      <c r="CU117" s="92"/>
      <c r="CV117" s="92"/>
      <c r="CW117" s="92"/>
      <c r="CX117" s="92"/>
      <c r="CY117" s="92"/>
      <c r="CZ117" s="92"/>
      <c r="DA117" s="92"/>
      <c r="DB117" s="92"/>
      <c r="DC117" s="92"/>
      <c r="DD117" s="92"/>
      <c r="DE117" s="92"/>
      <c r="DF117" s="92"/>
      <c r="DG117" s="92"/>
      <c r="DH117" s="92"/>
      <c r="DI117" s="92"/>
      <c r="DJ117" s="92"/>
      <c r="DK117" s="92"/>
      <c r="DL117" s="92"/>
      <c r="DM117" s="92"/>
      <c r="DN117" s="92"/>
      <c r="DO117" s="92"/>
      <c r="DP117" s="92"/>
      <c r="DQ117" s="92"/>
      <c r="DR117" s="92"/>
      <c r="DS117" s="92"/>
      <c r="DT117" s="92"/>
      <c r="DU117" s="92"/>
      <c r="DV117" s="92"/>
      <c r="DW117" s="92"/>
      <c r="DX117" s="92"/>
      <c r="DY117" s="92"/>
      <c r="DZ117" s="92"/>
      <c r="EA117" s="92"/>
      <c r="EB117" s="92"/>
      <c r="EC117" s="92"/>
      <c r="ED117" s="92"/>
      <c r="EE117" s="92"/>
      <c r="EF117" s="92"/>
      <c r="EG117" s="92"/>
      <c r="EH117" s="92"/>
      <c r="EI117" s="92"/>
      <c r="EJ117" s="92"/>
      <c r="EK117" s="92"/>
      <c r="EL117" s="92"/>
      <c r="EM117" s="92"/>
      <c r="EN117" s="92"/>
      <c r="EO117" s="92"/>
      <c r="EP117" s="92"/>
    </row>
    <row r="118" spans="1:146" x14ac:dyDescent="0.25">
      <c r="A118" s="81"/>
      <c r="B118" s="81"/>
      <c r="C118" s="82"/>
      <c r="D118" s="82"/>
      <c r="E118" s="82"/>
      <c r="F118" s="81"/>
      <c r="G118" s="81"/>
      <c r="H118" s="81"/>
      <c r="I118" s="84"/>
      <c r="J118" s="92"/>
      <c r="K118" s="92"/>
      <c r="L118" s="92"/>
      <c r="M118" s="92"/>
      <c r="N118" s="92"/>
      <c r="O118" s="92"/>
      <c r="P118" s="92"/>
      <c r="Q118" s="92"/>
      <c r="R118" s="92"/>
      <c r="S118" s="92"/>
      <c r="T118" s="92"/>
      <c r="U118" s="92"/>
      <c r="V118" s="92"/>
      <c r="W118" s="92"/>
      <c r="X118" s="92"/>
      <c r="Y118" s="92"/>
      <c r="Z118" s="92"/>
      <c r="AA118" s="92"/>
      <c r="AB118" s="92"/>
      <c r="AC118" s="92"/>
      <c r="AD118" s="92"/>
      <c r="AE118" s="92"/>
      <c r="AF118" s="92"/>
      <c r="AG118" s="92"/>
      <c r="AH118" s="92"/>
      <c r="AI118" s="92"/>
      <c r="AJ118" s="92"/>
      <c r="AK118" s="92"/>
      <c r="AL118" s="92"/>
      <c r="AM118" s="92"/>
      <c r="AN118" s="92"/>
      <c r="AO118" s="92"/>
      <c r="AP118" s="92"/>
      <c r="AQ118" s="92"/>
      <c r="AR118" s="92"/>
      <c r="AS118" s="92"/>
      <c r="AT118" s="92"/>
      <c r="AU118" s="92"/>
      <c r="AV118" s="92"/>
      <c r="AW118" s="92"/>
      <c r="AX118" s="92"/>
      <c r="AY118" s="92"/>
      <c r="AZ118" s="92"/>
      <c r="BA118" s="92"/>
      <c r="BB118" s="92"/>
      <c r="BC118" s="92"/>
      <c r="BD118" s="92"/>
      <c r="BE118" s="92"/>
      <c r="BF118" s="92"/>
      <c r="BG118" s="92"/>
      <c r="BH118" s="92"/>
      <c r="BI118" s="92"/>
      <c r="BJ118" s="92"/>
      <c r="BK118" s="92"/>
      <c r="BL118" s="92"/>
      <c r="BM118" s="92"/>
      <c r="BN118" s="92"/>
      <c r="BO118" s="92"/>
      <c r="BP118" s="92"/>
      <c r="BQ118" s="92"/>
      <c r="BR118" s="92"/>
      <c r="BS118" s="92"/>
      <c r="BT118" s="92"/>
      <c r="BU118" s="92"/>
      <c r="BV118" s="92"/>
      <c r="BW118" s="92"/>
      <c r="BX118" s="92"/>
      <c r="BY118" s="92"/>
      <c r="BZ118" s="92"/>
      <c r="CA118" s="92"/>
      <c r="CB118" s="92"/>
      <c r="CC118" s="92"/>
      <c r="CD118" s="92"/>
      <c r="CE118" s="92"/>
      <c r="CF118" s="92"/>
      <c r="CG118" s="92"/>
      <c r="CH118" s="92"/>
      <c r="CI118" s="92"/>
      <c r="CJ118" s="92"/>
      <c r="CK118" s="92"/>
      <c r="CL118" s="92"/>
      <c r="CM118" s="92"/>
      <c r="CN118" s="92"/>
      <c r="CO118" s="92"/>
      <c r="CP118" s="92"/>
      <c r="CQ118" s="92"/>
      <c r="CR118" s="92"/>
      <c r="CS118" s="92"/>
      <c r="CT118" s="92"/>
      <c r="CU118" s="92"/>
      <c r="CV118" s="92"/>
      <c r="CW118" s="92"/>
      <c r="CX118" s="92"/>
      <c r="CY118" s="92"/>
      <c r="CZ118" s="92"/>
      <c r="DA118" s="92"/>
      <c r="DB118" s="92"/>
      <c r="DC118" s="92"/>
      <c r="DD118" s="92"/>
      <c r="DE118" s="92"/>
      <c r="DF118" s="92"/>
      <c r="DG118" s="92"/>
      <c r="DH118" s="92"/>
      <c r="DI118" s="92"/>
      <c r="DJ118" s="92"/>
      <c r="DK118" s="92"/>
      <c r="DL118" s="92"/>
      <c r="DM118" s="92"/>
      <c r="DN118" s="92"/>
      <c r="DO118" s="92"/>
      <c r="DP118" s="92"/>
      <c r="DQ118" s="92"/>
      <c r="DR118" s="92"/>
      <c r="DS118" s="92"/>
      <c r="DT118" s="92"/>
      <c r="DU118" s="92"/>
      <c r="DV118" s="92"/>
      <c r="DW118" s="92"/>
      <c r="DX118" s="92"/>
      <c r="DY118" s="92"/>
      <c r="DZ118" s="92"/>
      <c r="EA118" s="92"/>
      <c r="EB118" s="92"/>
      <c r="EC118" s="92"/>
      <c r="ED118" s="92"/>
      <c r="EE118" s="92"/>
      <c r="EF118" s="92"/>
      <c r="EG118" s="92"/>
      <c r="EH118" s="92"/>
      <c r="EI118" s="92"/>
      <c r="EJ118" s="92"/>
      <c r="EK118" s="92"/>
      <c r="EL118" s="92"/>
      <c r="EM118" s="92"/>
      <c r="EN118" s="92"/>
      <c r="EO118" s="92"/>
      <c r="EP118" s="92"/>
    </row>
    <row r="119" spans="1:146" x14ac:dyDescent="0.25">
      <c r="A119" s="81"/>
      <c r="B119" s="81"/>
      <c r="C119" s="82"/>
      <c r="D119" s="82"/>
      <c r="E119" s="82"/>
      <c r="F119" s="81"/>
      <c r="G119" s="81"/>
      <c r="H119" s="81"/>
      <c r="I119" s="84"/>
      <c r="J119" s="92"/>
      <c r="K119" s="92"/>
      <c r="L119" s="92"/>
      <c r="M119" s="92"/>
      <c r="N119" s="92"/>
      <c r="O119" s="92"/>
      <c r="P119" s="92"/>
      <c r="Q119" s="92"/>
      <c r="R119" s="92"/>
      <c r="S119" s="92"/>
      <c r="T119" s="92"/>
      <c r="U119" s="92"/>
      <c r="V119" s="92"/>
      <c r="W119" s="92"/>
      <c r="X119" s="92"/>
      <c r="Y119" s="92"/>
      <c r="Z119" s="92"/>
      <c r="AA119" s="92"/>
      <c r="AB119" s="92"/>
      <c r="AC119" s="92"/>
      <c r="AD119" s="92"/>
      <c r="AE119" s="92"/>
      <c r="AF119" s="92"/>
      <c r="AG119" s="92"/>
      <c r="AH119" s="92"/>
      <c r="AI119" s="92"/>
      <c r="AJ119" s="92"/>
      <c r="AK119" s="92"/>
      <c r="AL119" s="92"/>
      <c r="AM119" s="92"/>
      <c r="AN119" s="92"/>
      <c r="AO119" s="92"/>
      <c r="AP119" s="92"/>
      <c r="AQ119" s="92"/>
      <c r="AR119" s="92"/>
      <c r="AS119" s="92"/>
      <c r="AT119" s="92"/>
      <c r="AU119" s="92"/>
      <c r="AV119" s="92"/>
      <c r="AW119" s="92"/>
      <c r="AX119" s="92"/>
      <c r="AY119" s="92"/>
      <c r="AZ119" s="92"/>
      <c r="BA119" s="92"/>
      <c r="BB119" s="92"/>
      <c r="BC119" s="92"/>
      <c r="BD119" s="92"/>
      <c r="BE119" s="92"/>
      <c r="BF119" s="92"/>
      <c r="BG119" s="92"/>
      <c r="BH119" s="92"/>
      <c r="BI119" s="92"/>
      <c r="BJ119" s="92"/>
      <c r="BK119" s="92"/>
      <c r="BL119" s="92"/>
      <c r="BM119" s="92"/>
      <c r="BN119" s="92"/>
      <c r="BO119" s="92"/>
      <c r="BP119" s="92"/>
      <c r="BQ119" s="92"/>
      <c r="BR119" s="92"/>
      <c r="BS119" s="92"/>
      <c r="BT119" s="92"/>
      <c r="BU119" s="92"/>
      <c r="BV119" s="92"/>
      <c r="BW119" s="92"/>
      <c r="BX119" s="92"/>
      <c r="BY119" s="92"/>
      <c r="BZ119" s="92"/>
      <c r="CA119" s="92"/>
      <c r="CB119" s="92"/>
      <c r="CC119" s="92"/>
      <c r="CD119" s="92"/>
      <c r="CE119" s="92"/>
      <c r="CF119" s="92"/>
      <c r="CG119" s="92"/>
      <c r="CH119" s="92"/>
      <c r="CI119" s="92"/>
      <c r="CJ119" s="92"/>
      <c r="CK119" s="92"/>
      <c r="CL119" s="92"/>
      <c r="CM119" s="92"/>
      <c r="CN119" s="92"/>
      <c r="CO119" s="92"/>
      <c r="CP119" s="92"/>
      <c r="CQ119" s="92"/>
      <c r="CR119" s="92"/>
      <c r="CS119" s="92"/>
      <c r="CT119" s="92"/>
      <c r="CU119" s="92"/>
      <c r="CV119" s="92"/>
      <c r="CW119" s="92"/>
      <c r="CX119" s="92"/>
      <c r="CY119" s="92"/>
      <c r="CZ119" s="92"/>
      <c r="DA119" s="92"/>
      <c r="DB119" s="92"/>
      <c r="DC119" s="92"/>
      <c r="DD119" s="92"/>
      <c r="DE119" s="92"/>
      <c r="DF119" s="92"/>
      <c r="DG119" s="92"/>
      <c r="DH119" s="92"/>
      <c r="DI119" s="92"/>
      <c r="DJ119" s="92"/>
      <c r="DK119" s="92"/>
      <c r="DL119" s="92"/>
      <c r="DM119" s="92"/>
      <c r="DN119" s="92"/>
      <c r="DO119" s="92"/>
      <c r="DP119" s="92"/>
      <c r="DQ119" s="92"/>
      <c r="DR119" s="92"/>
      <c r="DS119" s="92"/>
      <c r="DT119" s="92"/>
      <c r="DU119" s="92"/>
      <c r="DV119" s="92"/>
      <c r="DW119" s="92"/>
      <c r="DX119" s="92"/>
      <c r="DY119" s="92"/>
      <c r="DZ119" s="92"/>
      <c r="EA119" s="92"/>
      <c r="EB119" s="92"/>
      <c r="EC119" s="92"/>
      <c r="ED119" s="92"/>
      <c r="EE119" s="92"/>
      <c r="EF119" s="92"/>
      <c r="EG119" s="92"/>
      <c r="EH119" s="92"/>
      <c r="EI119" s="92"/>
      <c r="EJ119" s="92"/>
      <c r="EK119" s="92"/>
      <c r="EL119" s="92"/>
      <c r="EM119" s="92"/>
      <c r="EN119" s="92"/>
      <c r="EO119" s="92"/>
      <c r="EP119" s="92"/>
    </row>
    <row r="120" spans="1:146" x14ac:dyDescent="0.25">
      <c r="A120" s="85"/>
      <c r="B120" s="86"/>
      <c r="C120" s="87"/>
      <c r="D120" s="84"/>
      <c r="E120" s="84"/>
      <c r="F120" s="83"/>
      <c r="G120" s="83"/>
      <c r="H120" s="83"/>
      <c r="I120" s="84"/>
      <c r="J120" s="92"/>
      <c r="K120" s="92"/>
      <c r="L120" s="92"/>
      <c r="M120" s="92"/>
      <c r="N120" s="92"/>
      <c r="O120" s="92"/>
      <c r="P120" s="92"/>
      <c r="Q120" s="92"/>
      <c r="R120" s="92"/>
      <c r="S120" s="92"/>
      <c r="T120" s="92"/>
      <c r="U120" s="92"/>
      <c r="V120" s="92"/>
      <c r="W120" s="92"/>
      <c r="X120" s="92"/>
      <c r="Y120" s="92"/>
      <c r="Z120" s="92"/>
      <c r="AA120" s="92"/>
      <c r="AB120" s="92"/>
      <c r="AC120" s="92"/>
      <c r="AD120" s="92"/>
      <c r="AE120" s="92"/>
      <c r="AF120" s="92"/>
      <c r="AG120" s="92"/>
      <c r="AH120" s="92"/>
      <c r="AI120" s="92"/>
      <c r="AJ120" s="92"/>
      <c r="AK120" s="92"/>
      <c r="AL120" s="92"/>
      <c r="AM120" s="92"/>
      <c r="AN120" s="92"/>
      <c r="AO120" s="92"/>
      <c r="AP120" s="92"/>
      <c r="AQ120" s="92"/>
      <c r="AR120" s="92"/>
      <c r="AS120" s="92"/>
      <c r="AT120" s="92"/>
      <c r="AU120" s="92"/>
      <c r="AV120" s="92"/>
      <c r="AW120" s="92"/>
      <c r="AX120" s="92"/>
      <c r="AY120" s="92"/>
      <c r="AZ120" s="92"/>
      <c r="BA120" s="92"/>
      <c r="BB120" s="92"/>
      <c r="BC120" s="92"/>
      <c r="BD120" s="92"/>
      <c r="BE120" s="92"/>
      <c r="BF120" s="92"/>
      <c r="BG120" s="92"/>
      <c r="BH120" s="92"/>
      <c r="BI120" s="92"/>
      <c r="BJ120" s="92"/>
      <c r="BK120" s="92"/>
      <c r="BL120" s="92"/>
      <c r="BM120" s="92"/>
      <c r="BN120" s="92"/>
      <c r="BO120" s="92"/>
      <c r="BP120" s="92"/>
      <c r="BQ120" s="92"/>
      <c r="BR120" s="92"/>
      <c r="BS120" s="92"/>
      <c r="BT120" s="92"/>
      <c r="BU120" s="92"/>
      <c r="BV120" s="92"/>
      <c r="BW120" s="92"/>
      <c r="BX120" s="92"/>
      <c r="BY120" s="92"/>
      <c r="BZ120" s="92"/>
      <c r="CA120" s="92"/>
      <c r="CB120" s="92"/>
      <c r="CC120" s="92"/>
      <c r="CD120" s="92"/>
      <c r="CE120" s="92"/>
      <c r="CF120" s="92"/>
      <c r="CG120" s="92"/>
      <c r="CH120" s="92"/>
      <c r="CI120" s="92"/>
      <c r="CJ120" s="92"/>
      <c r="CK120" s="92"/>
      <c r="CL120" s="92"/>
      <c r="CM120" s="92"/>
      <c r="CN120" s="92"/>
      <c r="CO120" s="92"/>
      <c r="CP120" s="92"/>
      <c r="CQ120" s="92"/>
      <c r="CR120" s="92"/>
      <c r="CS120" s="92"/>
      <c r="CT120" s="92"/>
      <c r="CU120" s="92"/>
      <c r="CV120" s="92"/>
      <c r="CW120" s="92"/>
      <c r="CX120" s="92"/>
      <c r="CY120" s="92"/>
      <c r="CZ120" s="92"/>
      <c r="DA120" s="92"/>
      <c r="DB120" s="92"/>
      <c r="DC120" s="92"/>
      <c r="DD120" s="92"/>
      <c r="DE120" s="92"/>
      <c r="DF120" s="92"/>
      <c r="DG120" s="92"/>
      <c r="DH120" s="92"/>
      <c r="DI120" s="92"/>
      <c r="DJ120" s="92"/>
      <c r="DK120" s="92"/>
      <c r="DL120" s="92"/>
      <c r="DM120" s="92"/>
      <c r="DN120" s="92"/>
      <c r="DO120" s="92"/>
      <c r="DP120" s="92"/>
      <c r="DQ120" s="92"/>
      <c r="DR120" s="92"/>
      <c r="DS120" s="92"/>
      <c r="DT120" s="92"/>
      <c r="DU120" s="92"/>
      <c r="DV120" s="92"/>
      <c r="DW120" s="92"/>
      <c r="DX120" s="92"/>
      <c r="DY120" s="92"/>
      <c r="DZ120" s="92"/>
      <c r="EA120" s="92"/>
      <c r="EB120" s="92"/>
      <c r="EC120" s="92"/>
      <c r="ED120" s="92"/>
      <c r="EE120" s="92"/>
      <c r="EF120" s="92"/>
      <c r="EG120" s="92"/>
      <c r="EH120" s="92"/>
      <c r="EI120" s="92"/>
      <c r="EJ120" s="92"/>
      <c r="EK120" s="92"/>
      <c r="EL120" s="92"/>
      <c r="EM120" s="92"/>
      <c r="EN120" s="92"/>
      <c r="EO120" s="92"/>
      <c r="EP120" s="92"/>
    </row>
    <row r="121" spans="1:146" x14ac:dyDescent="0.25">
      <c r="A121" s="81"/>
      <c r="B121" s="81"/>
      <c r="C121" s="82"/>
      <c r="D121" s="82"/>
      <c r="E121" s="82"/>
      <c r="F121" s="81"/>
      <c r="G121" s="81"/>
      <c r="H121" s="81"/>
      <c r="I121" s="84"/>
      <c r="J121" s="92"/>
      <c r="K121" s="92"/>
      <c r="L121" s="92"/>
      <c r="M121" s="92"/>
      <c r="N121" s="92"/>
      <c r="O121" s="92"/>
      <c r="P121" s="92"/>
      <c r="Q121" s="92"/>
      <c r="R121" s="92"/>
      <c r="S121" s="92"/>
      <c r="T121" s="92"/>
      <c r="U121" s="92"/>
      <c r="V121" s="92"/>
      <c r="W121" s="92"/>
      <c r="X121" s="92"/>
      <c r="Y121" s="92"/>
      <c r="Z121" s="92"/>
      <c r="AA121" s="92"/>
      <c r="AB121" s="92"/>
      <c r="AC121" s="92"/>
      <c r="AD121" s="92"/>
      <c r="AE121" s="92"/>
      <c r="AF121" s="92"/>
      <c r="AG121" s="92"/>
      <c r="AH121" s="92"/>
      <c r="AI121" s="92"/>
      <c r="AJ121" s="92"/>
      <c r="AK121" s="92"/>
      <c r="AL121" s="92"/>
      <c r="AM121" s="92"/>
      <c r="AN121" s="92"/>
      <c r="AO121" s="92"/>
      <c r="AP121" s="92"/>
      <c r="AQ121" s="92"/>
      <c r="AR121" s="92"/>
      <c r="AS121" s="92"/>
      <c r="AT121" s="92"/>
      <c r="AU121" s="92"/>
      <c r="AV121" s="92"/>
      <c r="AW121" s="92"/>
      <c r="AX121" s="92"/>
      <c r="AY121" s="92"/>
      <c r="AZ121" s="92"/>
      <c r="BA121" s="92"/>
      <c r="BB121" s="92"/>
      <c r="BC121" s="92"/>
      <c r="BD121" s="92"/>
      <c r="BE121" s="92"/>
      <c r="BF121" s="92"/>
      <c r="BG121" s="92"/>
      <c r="BH121" s="92"/>
      <c r="BI121" s="92"/>
      <c r="BJ121" s="92"/>
      <c r="BK121" s="92"/>
      <c r="BL121" s="92"/>
      <c r="BM121" s="92"/>
      <c r="BN121" s="92"/>
      <c r="BO121" s="92"/>
      <c r="BP121" s="92"/>
      <c r="BQ121" s="92"/>
      <c r="BR121" s="92"/>
      <c r="BS121" s="92"/>
      <c r="BT121" s="92"/>
      <c r="BU121" s="92"/>
      <c r="BV121" s="92"/>
      <c r="BW121" s="92"/>
      <c r="BX121" s="92"/>
      <c r="BY121" s="92"/>
      <c r="BZ121" s="92"/>
      <c r="CA121" s="92"/>
      <c r="CB121" s="92"/>
      <c r="CC121" s="92"/>
      <c r="CD121" s="92"/>
      <c r="CE121" s="92"/>
      <c r="CF121" s="92"/>
      <c r="CG121" s="92"/>
      <c r="CH121" s="92"/>
      <c r="CI121" s="92"/>
      <c r="CJ121" s="92"/>
      <c r="CK121" s="92"/>
      <c r="CL121" s="92"/>
      <c r="CM121" s="92"/>
      <c r="CN121" s="92"/>
      <c r="CO121" s="92"/>
      <c r="CP121" s="92"/>
      <c r="CQ121" s="92"/>
      <c r="CR121" s="92"/>
      <c r="CS121" s="92"/>
      <c r="CT121" s="92"/>
      <c r="CU121" s="92"/>
      <c r="CV121" s="92"/>
      <c r="CW121" s="92"/>
      <c r="CX121" s="92"/>
      <c r="CY121" s="92"/>
      <c r="CZ121" s="92"/>
      <c r="DA121" s="92"/>
      <c r="DB121" s="92"/>
      <c r="DC121" s="92"/>
      <c r="DD121" s="92"/>
      <c r="DE121" s="92"/>
      <c r="DF121" s="92"/>
      <c r="DG121" s="92"/>
      <c r="DH121" s="92"/>
      <c r="DI121" s="92"/>
      <c r="DJ121" s="92"/>
      <c r="DK121" s="92"/>
      <c r="DL121" s="92"/>
      <c r="DM121" s="92"/>
      <c r="DN121" s="92"/>
      <c r="DO121" s="92"/>
      <c r="DP121" s="92"/>
      <c r="DQ121" s="92"/>
      <c r="DR121" s="92"/>
      <c r="DS121" s="92"/>
      <c r="DT121" s="92"/>
      <c r="DU121" s="92"/>
      <c r="DV121" s="92"/>
      <c r="DW121" s="92"/>
      <c r="DX121" s="92"/>
      <c r="DY121" s="92"/>
      <c r="DZ121" s="92"/>
      <c r="EA121" s="92"/>
      <c r="EB121" s="92"/>
      <c r="EC121" s="92"/>
      <c r="ED121" s="92"/>
      <c r="EE121" s="92"/>
      <c r="EF121" s="92"/>
      <c r="EG121" s="92"/>
      <c r="EH121" s="92"/>
      <c r="EI121" s="92"/>
      <c r="EJ121" s="92"/>
      <c r="EK121" s="92"/>
      <c r="EL121" s="92"/>
      <c r="EM121" s="92"/>
      <c r="EN121" s="92"/>
      <c r="EO121" s="92"/>
      <c r="EP121" s="92"/>
    </row>
    <row r="122" spans="1:146" x14ac:dyDescent="0.25">
      <c r="J122" s="92"/>
      <c r="K122" s="92"/>
      <c r="L122" s="92"/>
      <c r="M122" s="92"/>
      <c r="N122" s="92"/>
      <c r="O122" s="92"/>
      <c r="P122" s="92"/>
      <c r="Q122" s="92"/>
      <c r="R122" s="92"/>
      <c r="S122" s="92"/>
      <c r="T122" s="92"/>
      <c r="U122" s="92"/>
      <c r="V122" s="92"/>
      <c r="W122" s="92"/>
      <c r="X122" s="92"/>
      <c r="Y122" s="92"/>
      <c r="Z122" s="92"/>
      <c r="AA122" s="92"/>
      <c r="AB122" s="92"/>
      <c r="AC122" s="92"/>
      <c r="AD122" s="92"/>
      <c r="AE122" s="92"/>
      <c r="AF122" s="92"/>
      <c r="AG122" s="92"/>
      <c r="AH122" s="92"/>
      <c r="AI122" s="92"/>
      <c r="AJ122" s="92"/>
      <c r="AK122" s="92"/>
      <c r="AL122" s="92"/>
      <c r="AM122" s="92"/>
      <c r="AN122" s="92"/>
      <c r="AO122" s="92"/>
      <c r="AP122" s="92"/>
      <c r="AQ122" s="92"/>
      <c r="AR122" s="92"/>
      <c r="AS122" s="92"/>
      <c r="AT122" s="92"/>
      <c r="AU122" s="92"/>
      <c r="AV122" s="92"/>
      <c r="AW122" s="92"/>
      <c r="AX122" s="92"/>
      <c r="AY122" s="92"/>
      <c r="AZ122" s="92"/>
      <c r="BA122" s="92"/>
      <c r="BB122" s="92"/>
      <c r="BC122" s="92"/>
      <c r="BD122" s="92"/>
      <c r="BE122" s="92"/>
      <c r="BF122" s="92"/>
      <c r="BG122" s="92"/>
      <c r="BH122" s="92"/>
      <c r="BI122" s="92"/>
      <c r="BJ122" s="92"/>
      <c r="BK122" s="92"/>
      <c r="BL122" s="92"/>
      <c r="BM122" s="92"/>
      <c r="BN122" s="92"/>
      <c r="BO122" s="92"/>
      <c r="BP122" s="92"/>
      <c r="BQ122" s="92"/>
      <c r="BR122" s="92"/>
      <c r="BS122" s="92"/>
      <c r="BT122" s="92"/>
      <c r="BU122" s="92"/>
      <c r="BV122" s="92"/>
      <c r="BW122" s="92"/>
      <c r="BX122" s="92"/>
      <c r="BY122" s="92"/>
      <c r="BZ122" s="92"/>
      <c r="CA122" s="92"/>
      <c r="CB122" s="92"/>
      <c r="CC122" s="92"/>
      <c r="CD122" s="92"/>
      <c r="CE122" s="92"/>
      <c r="CF122" s="92"/>
      <c r="CG122" s="92"/>
      <c r="CH122" s="92"/>
      <c r="CI122" s="92"/>
      <c r="CJ122" s="92"/>
      <c r="CK122" s="92"/>
      <c r="CL122" s="92"/>
      <c r="CM122" s="92"/>
      <c r="CN122" s="92"/>
      <c r="CO122" s="92"/>
      <c r="CP122" s="92"/>
      <c r="CQ122" s="92"/>
      <c r="CR122" s="92"/>
      <c r="CS122" s="92"/>
      <c r="CT122" s="92"/>
      <c r="CU122" s="92"/>
      <c r="CV122" s="92"/>
      <c r="CW122" s="92"/>
      <c r="CX122" s="92"/>
      <c r="CY122" s="92"/>
      <c r="CZ122" s="92"/>
      <c r="DA122" s="92"/>
      <c r="DB122" s="92"/>
      <c r="DC122" s="92"/>
      <c r="DD122" s="92"/>
      <c r="DE122" s="92"/>
      <c r="DF122" s="92"/>
      <c r="DG122" s="92"/>
      <c r="DH122" s="92"/>
      <c r="DI122" s="92"/>
      <c r="DJ122" s="92"/>
      <c r="DK122" s="92"/>
      <c r="DL122" s="92"/>
      <c r="DM122" s="92"/>
      <c r="DN122" s="92"/>
      <c r="DO122" s="92"/>
      <c r="DP122" s="92"/>
      <c r="DQ122" s="92"/>
      <c r="DR122" s="92"/>
      <c r="DS122" s="92"/>
      <c r="DT122" s="92"/>
      <c r="DU122" s="92"/>
      <c r="DV122" s="92"/>
      <c r="DW122" s="92"/>
      <c r="DX122" s="92"/>
      <c r="DY122" s="92"/>
      <c r="DZ122" s="92"/>
      <c r="EA122" s="92"/>
      <c r="EB122" s="92"/>
      <c r="EC122" s="92"/>
      <c r="ED122" s="92"/>
      <c r="EE122" s="92"/>
      <c r="EF122" s="92"/>
      <c r="EG122" s="92"/>
      <c r="EH122" s="92"/>
      <c r="EI122" s="92"/>
      <c r="EJ122" s="92"/>
      <c r="EK122" s="92"/>
      <c r="EL122" s="92"/>
      <c r="EM122" s="92"/>
      <c r="EN122" s="92"/>
      <c r="EO122" s="92"/>
      <c r="EP122" s="92"/>
    </row>
    <row r="123" spans="1:146" x14ac:dyDescent="0.25">
      <c r="J123" s="92"/>
      <c r="K123" s="92"/>
      <c r="L123" s="92"/>
      <c r="M123" s="92"/>
      <c r="N123" s="92"/>
      <c r="O123" s="92"/>
      <c r="P123" s="92"/>
      <c r="Q123" s="92"/>
      <c r="R123" s="92"/>
      <c r="S123" s="92"/>
      <c r="T123" s="92"/>
      <c r="U123" s="92"/>
      <c r="V123" s="92"/>
      <c r="W123" s="92"/>
      <c r="X123" s="92"/>
      <c r="Y123" s="92"/>
      <c r="Z123" s="92"/>
      <c r="AA123" s="92"/>
      <c r="AB123" s="92"/>
      <c r="AC123" s="92"/>
      <c r="AD123" s="92"/>
      <c r="AE123" s="92"/>
      <c r="AF123" s="92"/>
      <c r="AG123" s="92"/>
      <c r="AH123" s="92"/>
      <c r="AI123" s="92"/>
      <c r="AJ123" s="92"/>
      <c r="AK123" s="92"/>
      <c r="AL123" s="92"/>
      <c r="AM123" s="92"/>
      <c r="AN123" s="92"/>
      <c r="AO123" s="92"/>
      <c r="AP123" s="92"/>
      <c r="AQ123" s="92"/>
      <c r="AR123" s="92"/>
      <c r="AS123" s="92"/>
      <c r="AT123" s="92"/>
      <c r="AU123" s="92"/>
      <c r="AV123" s="92"/>
      <c r="AW123" s="92"/>
      <c r="AX123" s="92"/>
      <c r="AY123" s="92"/>
      <c r="AZ123" s="92"/>
      <c r="BA123" s="92"/>
      <c r="BB123" s="92"/>
      <c r="BC123" s="92"/>
      <c r="BD123" s="92"/>
      <c r="BE123" s="92"/>
      <c r="BF123" s="92"/>
      <c r="BG123" s="92"/>
      <c r="BH123" s="92"/>
      <c r="BI123" s="92"/>
      <c r="BJ123" s="92"/>
      <c r="BK123" s="92"/>
      <c r="BL123" s="92"/>
      <c r="BM123" s="92"/>
      <c r="BN123" s="92"/>
      <c r="BO123" s="92"/>
      <c r="BP123" s="92"/>
      <c r="BQ123" s="92"/>
      <c r="BR123" s="92"/>
      <c r="BS123" s="92"/>
      <c r="BT123" s="92"/>
      <c r="BU123" s="92"/>
      <c r="BV123" s="92"/>
      <c r="BW123" s="92"/>
      <c r="BX123" s="92"/>
      <c r="BY123" s="92"/>
      <c r="BZ123" s="92"/>
      <c r="CA123" s="92"/>
      <c r="CB123" s="92"/>
      <c r="CC123" s="92"/>
      <c r="CD123" s="92"/>
      <c r="CE123" s="92"/>
      <c r="CF123" s="92"/>
      <c r="CG123" s="92"/>
      <c r="CH123" s="92"/>
      <c r="CI123" s="92"/>
      <c r="CJ123" s="92"/>
      <c r="CK123" s="92"/>
      <c r="CL123" s="92"/>
      <c r="CM123" s="92"/>
      <c r="CN123" s="92"/>
      <c r="CO123" s="92"/>
      <c r="CP123" s="92"/>
      <c r="CQ123" s="92"/>
      <c r="CR123" s="92"/>
      <c r="CS123" s="92"/>
      <c r="CT123" s="92"/>
      <c r="CU123" s="92"/>
      <c r="CV123" s="92"/>
      <c r="CW123" s="92"/>
      <c r="CX123" s="92"/>
      <c r="CY123" s="92"/>
      <c r="CZ123" s="92"/>
      <c r="DA123" s="92"/>
      <c r="DB123" s="92"/>
      <c r="DC123" s="92"/>
      <c r="DD123" s="92"/>
      <c r="DE123" s="92"/>
      <c r="DF123" s="92"/>
      <c r="DG123" s="92"/>
      <c r="DH123" s="92"/>
      <c r="DI123" s="92"/>
      <c r="DJ123" s="92"/>
      <c r="DK123" s="92"/>
      <c r="DL123" s="92"/>
      <c r="DM123" s="92"/>
      <c r="DN123" s="92"/>
      <c r="DO123" s="92"/>
      <c r="DP123" s="92"/>
      <c r="DQ123" s="92"/>
      <c r="DR123" s="92"/>
      <c r="DS123" s="92"/>
      <c r="DT123" s="92"/>
      <c r="DU123" s="92"/>
      <c r="DV123" s="92"/>
      <c r="DW123" s="92"/>
      <c r="DX123" s="92"/>
      <c r="DY123" s="92"/>
      <c r="DZ123" s="92"/>
      <c r="EA123" s="92"/>
      <c r="EB123" s="92"/>
      <c r="EC123" s="92"/>
      <c r="ED123" s="92"/>
      <c r="EE123" s="92"/>
      <c r="EF123" s="92"/>
      <c r="EG123" s="92"/>
      <c r="EH123" s="92"/>
      <c r="EI123" s="92"/>
      <c r="EJ123" s="92"/>
      <c r="EK123" s="92"/>
      <c r="EL123" s="92"/>
      <c r="EM123" s="92"/>
      <c r="EN123" s="92"/>
      <c r="EO123" s="92"/>
      <c r="EP123" s="92"/>
    </row>
    <row r="124" spans="1:146" x14ac:dyDescent="0.25">
      <c r="J124" s="92"/>
      <c r="K124" s="92"/>
      <c r="L124" s="92"/>
      <c r="M124" s="92"/>
      <c r="N124" s="92"/>
      <c r="O124" s="92"/>
      <c r="P124" s="92"/>
      <c r="Q124" s="92"/>
      <c r="R124" s="92"/>
      <c r="S124" s="92"/>
      <c r="T124" s="92"/>
      <c r="U124" s="92"/>
      <c r="V124" s="92"/>
      <c r="W124" s="92"/>
      <c r="X124" s="92"/>
      <c r="Y124" s="92"/>
      <c r="Z124" s="92"/>
      <c r="AA124" s="92"/>
      <c r="AB124" s="92"/>
      <c r="AC124" s="92"/>
      <c r="AD124" s="92"/>
      <c r="AE124" s="92"/>
      <c r="AF124" s="92"/>
      <c r="AG124" s="92"/>
      <c r="AH124" s="92"/>
      <c r="AI124" s="92"/>
      <c r="AJ124" s="92"/>
      <c r="AK124" s="92"/>
      <c r="AL124" s="92"/>
      <c r="AM124" s="92"/>
      <c r="AN124" s="92"/>
      <c r="AO124" s="92"/>
      <c r="AP124" s="92"/>
      <c r="AQ124" s="92"/>
      <c r="AR124" s="92"/>
      <c r="AS124" s="92"/>
      <c r="AT124" s="92"/>
      <c r="AU124" s="92"/>
      <c r="AV124" s="92"/>
      <c r="AW124" s="92"/>
      <c r="AX124" s="92"/>
      <c r="AY124" s="92"/>
      <c r="AZ124" s="92"/>
      <c r="BA124" s="92"/>
      <c r="BB124" s="92"/>
      <c r="BC124" s="92"/>
      <c r="BD124" s="92"/>
      <c r="BE124" s="92"/>
      <c r="BF124" s="92"/>
      <c r="BG124" s="92"/>
      <c r="BH124" s="92"/>
      <c r="BI124" s="92"/>
      <c r="BJ124" s="92"/>
      <c r="BK124" s="92"/>
      <c r="BL124" s="92"/>
      <c r="BM124" s="92"/>
      <c r="BN124" s="92"/>
      <c r="BO124" s="92"/>
      <c r="BP124" s="92"/>
      <c r="BQ124" s="92"/>
      <c r="BR124" s="92"/>
      <c r="BS124" s="92"/>
      <c r="BT124" s="92"/>
      <c r="BU124" s="92"/>
      <c r="BV124" s="92"/>
      <c r="BW124" s="92"/>
      <c r="BX124" s="92"/>
      <c r="BY124" s="92"/>
      <c r="BZ124" s="92"/>
      <c r="CA124" s="92"/>
      <c r="CB124" s="92"/>
      <c r="CC124" s="92"/>
      <c r="CD124" s="92"/>
      <c r="CE124" s="92"/>
      <c r="CF124" s="92"/>
      <c r="CG124" s="92"/>
      <c r="CH124" s="92"/>
      <c r="CI124" s="92"/>
      <c r="CJ124" s="92"/>
      <c r="CK124" s="92"/>
      <c r="CL124" s="92"/>
      <c r="CM124" s="92"/>
      <c r="CN124" s="92"/>
      <c r="CO124" s="92"/>
      <c r="CP124" s="92"/>
      <c r="CQ124" s="92"/>
      <c r="CR124" s="92"/>
      <c r="CS124" s="92"/>
      <c r="CT124" s="92"/>
      <c r="CU124" s="92"/>
      <c r="CV124" s="92"/>
      <c r="CW124" s="92"/>
      <c r="CX124" s="92"/>
      <c r="CY124" s="92"/>
      <c r="CZ124" s="92"/>
      <c r="DA124" s="92"/>
      <c r="DB124" s="92"/>
      <c r="DC124" s="92"/>
      <c r="DD124" s="92"/>
      <c r="DE124" s="92"/>
      <c r="DF124" s="92"/>
      <c r="DG124" s="92"/>
      <c r="DH124" s="92"/>
      <c r="DI124" s="92"/>
      <c r="DJ124" s="92"/>
      <c r="DK124" s="92"/>
      <c r="DL124" s="92"/>
      <c r="DM124" s="92"/>
      <c r="DN124" s="92"/>
      <c r="DO124" s="92"/>
      <c r="DP124" s="92"/>
      <c r="DQ124" s="92"/>
      <c r="DR124" s="92"/>
      <c r="DS124" s="92"/>
      <c r="DT124" s="92"/>
      <c r="DU124" s="92"/>
      <c r="DV124" s="92"/>
      <c r="DW124" s="92"/>
      <c r="DX124" s="92"/>
      <c r="DY124" s="92"/>
      <c r="DZ124" s="92"/>
      <c r="EA124" s="92"/>
      <c r="EB124" s="92"/>
      <c r="EC124" s="92"/>
      <c r="ED124" s="92"/>
      <c r="EE124" s="92"/>
      <c r="EF124" s="92"/>
      <c r="EG124" s="92"/>
      <c r="EH124" s="92"/>
      <c r="EI124" s="92"/>
      <c r="EJ124" s="92"/>
      <c r="EK124" s="92"/>
      <c r="EL124" s="92"/>
      <c r="EM124" s="92"/>
      <c r="EN124" s="92"/>
      <c r="EO124" s="92"/>
      <c r="EP124" s="92"/>
    </row>
    <row r="125" spans="1:146" x14ac:dyDescent="0.25">
      <c r="J125" s="92"/>
      <c r="K125" s="92"/>
      <c r="L125" s="92"/>
      <c r="M125" s="92"/>
      <c r="N125" s="92"/>
      <c r="O125" s="92"/>
      <c r="P125" s="92"/>
      <c r="Q125" s="92"/>
      <c r="R125" s="92"/>
      <c r="S125" s="92"/>
      <c r="T125" s="92"/>
      <c r="U125" s="92"/>
      <c r="V125" s="92"/>
      <c r="W125" s="92"/>
      <c r="X125" s="92"/>
      <c r="Y125" s="92"/>
      <c r="Z125" s="92"/>
      <c r="AA125" s="92"/>
      <c r="AB125" s="92"/>
      <c r="AC125" s="92"/>
      <c r="AD125" s="92"/>
      <c r="AE125" s="92"/>
      <c r="AF125" s="92"/>
      <c r="AG125" s="92"/>
      <c r="AH125" s="92"/>
      <c r="AI125" s="92"/>
      <c r="AJ125" s="92"/>
      <c r="AK125" s="92"/>
      <c r="AL125" s="92"/>
      <c r="AM125" s="92"/>
      <c r="AN125" s="92"/>
      <c r="AO125" s="92"/>
      <c r="AP125" s="92"/>
      <c r="AQ125" s="92"/>
      <c r="AR125" s="92"/>
      <c r="AS125" s="92"/>
      <c r="AT125" s="92"/>
      <c r="AU125" s="92"/>
      <c r="AV125" s="92"/>
      <c r="AW125" s="92"/>
      <c r="AX125" s="92"/>
      <c r="AY125" s="92"/>
      <c r="AZ125" s="92"/>
      <c r="BA125" s="92"/>
      <c r="BB125" s="92"/>
      <c r="BC125" s="92"/>
      <c r="BD125" s="92"/>
      <c r="BE125" s="92"/>
      <c r="BF125" s="92"/>
      <c r="BG125" s="92"/>
      <c r="BH125" s="92"/>
      <c r="BI125" s="92"/>
      <c r="BJ125" s="92"/>
      <c r="BK125" s="92"/>
      <c r="BL125" s="92"/>
      <c r="BM125" s="92"/>
      <c r="BN125" s="92"/>
      <c r="BO125" s="92"/>
      <c r="BP125" s="92"/>
      <c r="BQ125" s="92"/>
      <c r="BR125" s="92"/>
      <c r="BS125" s="92"/>
      <c r="BT125" s="92"/>
      <c r="BU125" s="92"/>
      <c r="BV125" s="92"/>
      <c r="BW125" s="92"/>
      <c r="BX125" s="92"/>
      <c r="BY125" s="92"/>
      <c r="BZ125" s="92"/>
      <c r="CA125" s="92"/>
      <c r="CB125" s="92"/>
      <c r="CC125" s="92"/>
      <c r="CD125" s="92"/>
      <c r="CE125" s="92"/>
      <c r="CF125" s="92"/>
      <c r="CG125" s="92"/>
      <c r="CH125" s="92"/>
      <c r="CI125" s="92"/>
      <c r="CJ125" s="92"/>
      <c r="CK125" s="92"/>
      <c r="CL125" s="92"/>
      <c r="CM125" s="92"/>
      <c r="CN125" s="92"/>
      <c r="CO125" s="92"/>
      <c r="CP125" s="92"/>
      <c r="CQ125" s="92"/>
      <c r="CR125" s="92"/>
      <c r="CS125" s="92"/>
      <c r="CT125" s="92"/>
      <c r="CU125" s="92"/>
      <c r="CV125" s="92"/>
      <c r="CW125" s="92"/>
      <c r="CX125" s="92"/>
      <c r="CY125" s="92"/>
      <c r="CZ125" s="92"/>
      <c r="DA125" s="92"/>
      <c r="DB125" s="92"/>
      <c r="DC125" s="92"/>
      <c r="DD125" s="92"/>
      <c r="DE125" s="92"/>
      <c r="DF125" s="92"/>
      <c r="DG125" s="92"/>
      <c r="DH125" s="92"/>
      <c r="DI125" s="92"/>
      <c r="DJ125" s="92"/>
      <c r="DK125" s="92"/>
      <c r="DL125" s="92"/>
      <c r="DM125" s="92"/>
      <c r="DN125" s="92"/>
      <c r="DO125" s="92"/>
      <c r="DP125" s="92"/>
      <c r="DQ125" s="92"/>
      <c r="DR125" s="92"/>
      <c r="DS125" s="92"/>
      <c r="DT125" s="92"/>
      <c r="DU125" s="92"/>
      <c r="DV125" s="92"/>
      <c r="DW125" s="92"/>
      <c r="DX125" s="92"/>
      <c r="DY125" s="92"/>
      <c r="DZ125" s="92"/>
      <c r="EA125" s="92"/>
      <c r="EB125" s="92"/>
      <c r="EC125" s="92"/>
      <c r="ED125" s="92"/>
      <c r="EE125" s="92"/>
      <c r="EF125" s="92"/>
      <c r="EG125" s="92"/>
      <c r="EH125" s="92"/>
      <c r="EI125" s="92"/>
      <c r="EJ125" s="92"/>
      <c r="EK125" s="92"/>
      <c r="EL125" s="92"/>
      <c r="EM125" s="92"/>
      <c r="EN125" s="92"/>
      <c r="EO125" s="92"/>
      <c r="EP125" s="92"/>
    </row>
    <row r="126" spans="1:146" x14ac:dyDescent="0.25">
      <c r="J126" s="92"/>
      <c r="K126" s="92"/>
      <c r="L126" s="92"/>
      <c r="M126" s="92"/>
      <c r="N126" s="92"/>
      <c r="O126" s="92"/>
      <c r="P126" s="92"/>
      <c r="Q126" s="92"/>
      <c r="R126" s="92"/>
      <c r="S126" s="92"/>
      <c r="T126" s="92"/>
      <c r="U126" s="92"/>
      <c r="V126" s="92"/>
      <c r="W126" s="92"/>
      <c r="X126" s="92"/>
      <c r="Y126" s="92"/>
      <c r="Z126" s="92"/>
      <c r="AA126" s="92"/>
      <c r="AB126" s="92"/>
      <c r="AC126" s="92"/>
      <c r="AD126" s="92"/>
      <c r="AE126" s="92"/>
      <c r="AF126" s="92"/>
      <c r="AG126" s="92"/>
      <c r="AH126" s="92"/>
      <c r="AI126" s="92"/>
      <c r="AJ126" s="92"/>
      <c r="AK126" s="92"/>
      <c r="AL126" s="92"/>
      <c r="AM126" s="92"/>
      <c r="AN126" s="92"/>
      <c r="AO126" s="92"/>
      <c r="AP126" s="92"/>
      <c r="AQ126" s="92"/>
      <c r="AR126" s="92"/>
      <c r="AS126" s="92"/>
      <c r="AT126" s="92"/>
      <c r="AU126" s="92"/>
      <c r="AV126" s="92"/>
      <c r="AW126" s="92"/>
      <c r="AX126" s="92"/>
      <c r="AY126" s="92"/>
      <c r="AZ126" s="92"/>
      <c r="BA126" s="92"/>
      <c r="BB126" s="92"/>
      <c r="BC126" s="92"/>
      <c r="BD126" s="92"/>
      <c r="BE126" s="92"/>
      <c r="BF126" s="92"/>
      <c r="BG126" s="92"/>
      <c r="BH126" s="92"/>
      <c r="BI126" s="92"/>
      <c r="BJ126" s="92"/>
      <c r="BK126" s="92"/>
      <c r="BL126" s="92"/>
      <c r="BM126" s="92"/>
      <c r="BN126" s="92"/>
      <c r="BO126" s="92"/>
      <c r="BP126" s="92"/>
      <c r="BQ126" s="92"/>
      <c r="BR126" s="92"/>
      <c r="BS126" s="92"/>
      <c r="BT126" s="92"/>
      <c r="BU126" s="92"/>
      <c r="BV126" s="92"/>
      <c r="BW126" s="92"/>
      <c r="BX126" s="92"/>
      <c r="BY126" s="92"/>
      <c r="BZ126" s="92"/>
      <c r="CA126" s="92"/>
      <c r="CB126" s="92"/>
      <c r="CC126" s="92"/>
      <c r="CD126" s="92"/>
      <c r="CE126" s="92"/>
      <c r="CF126" s="92"/>
      <c r="CG126" s="92"/>
      <c r="CH126" s="92"/>
      <c r="CI126" s="92"/>
      <c r="CJ126" s="92"/>
      <c r="CK126" s="92"/>
      <c r="CL126" s="92"/>
      <c r="CM126" s="92"/>
      <c r="CN126" s="92"/>
      <c r="CO126" s="92"/>
      <c r="CP126" s="92"/>
      <c r="CQ126" s="92"/>
      <c r="CR126" s="92"/>
      <c r="CS126" s="92"/>
      <c r="CT126" s="92"/>
      <c r="CU126" s="92"/>
      <c r="CV126" s="92"/>
      <c r="CW126" s="92"/>
      <c r="CX126" s="92"/>
      <c r="CY126" s="92"/>
      <c r="CZ126" s="92"/>
      <c r="DA126" s="92"/>
      <c r="DB126" s="92"/>
      <c r="DC126" s="92"/>
      <c r="DD126" s="92"/>
      <c r="DE126" s="92"/>
      <c r="DF126" s="92"/>
      <c r="DG126" s="92"/>
      <c r="DH126" s="92"/>
      <c r="DI126" s="92"/>
      <c r="DJ126" s="92"/>
      <c r="DK126" s="92"/>
      <c r="DL126" s="92"/>
      <c r="DM126" s="92"/>
      <c r="DN126" s="92"/>
      <c r="DO126" s="92"/>
      <c r="DP126" s="92"/>
      <c r="DQ126" s="92"/>
      <c r="DR126" s="92"/>
      <c r="DS126" s="92"/>
      <c r="DT126" s="92"/>
      <c r="DU126" s="92"/>
      <c r="DV126" s="92"/>
      <c r="DW126" s="92"/>
      <c r="DX126" s="92"/>
      <c r="DY126" s="92"/>
      <c r="DZ126" s="92"/>
      <c r="EA126" s="92"/>
      <c r="EB126" s="92"/>
      <c r="EC126" s="92"/>
      <c r="ED126" s="92"/>
      <c r="EE126" s="92"/>
      <c r="EF126" s="92"/>
      <c r="EG126" s="92"/>
      <c r="EH126" s="92"/>
      <c r="EI126" s="92"/>
      <c r="EJ126" s="92"/>
      <c r="EK126" s="92"/>
      <c r="EL126" s="92"/>
      <c r="EM126" s="92"/>
      <c r="EN126" s="92"/>
      <c r="EO126" s="92"/>
      <c r="EP126" s="92"/>
    </row>
    <row r="127" spans="1:146" x14ac:dyDescent="0.25">
      <c r="J127" s="92"/>
      <c r="K127" s="92"/>
      <c r="L127" s="92"/>
      <c r="M127" s="92"/>
      <c r="N127" s="92"/>
      <c r="O127" s="92"/>
      <c r="P127" s="92"/>
      <c r="Q127" s="92"/>
      <c r="R127" s="92"/>
      <c r="S127" s="92"/>
      <c r="T127" s="92"/>
      <c r="U127" s="92"/>
      <c r="V127" s="92"/>
      <c r="W127" s="92"/>
      <c r="X127" s="92"/>
      <c r="Y127" s="92"/>
      <c r="Z127" s="92"/>
      <c r="AA127" s="92"/>
      <c r="AB127" s="92"/>
      <c r="AC127" s="92"/>
      <c r="AD127" s="92"/>
      <c r="AE127" s="92"/>
      <c r="AF127" s="92"/>
      <c r="AG127" s="92"/>
      <c r="AH127" s="92"/>
      <c r="AI127" s="92"/>
      <c r="AJ127" s="92"/>
      <c r="AK127" s="92"/>
      <c r="AL127" s="92"/>
      <c r="AM127" s="92"/>
      <c r="AN127" s="92"/>
      <c r="AO127" s="92"/>
      <c r="AP127" s="92"/>
      <c r="AQ127" s="92"/>
      <c r="AR127" s="92"/>
      <c r="AS127" s="92"/>
      <c r="AT127" s="92"/>
      <c r="AU127" s="92"/>
      <c r="AV127" s="92"/>
      <c r="AW127" s="92"/>
      <c r="AX127" s="92"/>
      <c r="AY127" s="92"/>
      <c r="AZ127" s="92"/>
      <c r="BA127" s="92"/>
      <c r="BB127" s="92"/>
      <c r="BC127" s="92"/>
      <c r="BD127" s="92"/>
      <c r="BE127" s="92"/>
      <c r="BF127" s="92"/>
      <c r="BG127" s="92"/>
      <c r="BH127" s="92"/>
      <c r="BI127" s="92"/>
      <c r="BJ127" s="92"/>
      <c r="BK127" s="92"/>
      <c r="BL127" s="92"/>
      <c r="BM127" s="92"/>
      <c r="BN127" s="92"/>
      <c r="BO127" s="92"/>
      <c r="BP127" s="92"/>
      <c r="BQ127" s="92"/>
      <c r="BR127" s="92"/>
      <c r="BS127" s="92"/>
      <c r="BT127" s="92"/>
      <c r="BU127" s="92"/>
      <c r="BV127" s="92"/>
      <c r="BW127" s="92"/>
      <c r="BX127" s="92"/>
      <c r="BY127" s="92"/>
      <c r="BZ127" s="92"/>
      <c r="CA127" s="92"/>
      <c r="CB127" s="92"/>
      <c r="CC127" s="92"/>
      <c r="CD127" s="92"/>
      <c r="CE127" s="92"/>
      <c r="CF127" s="92"/>
      <c r="CG127" s="92"/>
      <c r="CH127" s="92"/>
      <c r="CI127" s="92"/>
      <c r="CJ127" s="92"/>
      <c r="CK127" s="92"/>
      <c r="CL127" s="92"/>
      <c r="CM127" s="92"/>
      <c r="CN127" s="92"/>
      <c r="CO127" s="92"/>
      <c r="CP127" s="92"/>
      <c r="CQ127" s="92"/>
      <c r="CR127" s="92"/>
      <c r="CS127" s="92"/>
      <c r="CT127" s="92"/>
      <c r="CU127" s="92"/>
      <c r="CV127" s="92"/>
      <c r="CW127" s="92"/>
      <c r="CX127" s="92"/>
      <c r="CY127" s="92"/>
      <c r="CZ127" s="92"/>
      <c r="DA127" s="92"/>
      <c r="DB127" s="92"/>
      <c r="DC127" s="92"/>
      <c r="DD127" s="92"/>
      <c r="DE127" s="92"/>
      <c r="DF127" s="92"/>
      <c r="DG127" s="92"/>
      <c r="DH127" s="92"/>
      <c r="DI127" s="92"/>
      <c r="DJ127" s="92"/>
      <c r="DK127" s="92"/>
      <c r="DL127" s="92"/>
      <c r="DM127" s="92"/>
      <c r="DN127" s="92"/>
      <c r="DO127" s="92"/>
      <c r="DP127" s="92"/>
      <c r="DQ127" s="92"/>
      <c r="DR127" s="92"/>
      <c r="DS127" s="92"/>
      <c r="DT127" s="92"/>
      <c r="DU127" s="92"/>
      <c r="DV127" s="92"/>
      <c r="DW127" s="92"/>
      <c r="DX127" s="92"/>
      <c r="DY127" s="92"/>
      <c r="DZ127" s="92"/>
      <c r="EA127" s="92"/>
      <c r="EB127" s="92"/>
      <c r="EC127" s="92"/>
      <c r="ED127" s="92"/>
      <c r="EE127" s="92"/>
      <c r="EF127" s="92"/>
      <c r="EG127" s="92"/>
      <c r="EH127" s="92"/>
      <c r="EI127" s="92"/>
      <c r="EJ127" s="92"/>
      <c r="EK127" s="92"/>
      <c r="EL127" s="92"/>
      <c r="EM127" s="92"/>
      <c r="EN127" s="92"/>
      <c r="EO127" s="92"/>
      <c r="EP127" s="92"/>
    </row>
    <row r="128" spans="1:146" x14ac:dyDescent="0.25">
      <c r="J128" s="92"/>
      <c r="K128" s="92"/>
      <c r="L128" s="92"/>
      <c r="M128" s="92"/>
      <c r="N128" s="92"/>
      <c r="O128" s="92"/>
      <c r="P128" s="92"/>
      <c r="Q128" s="92"/>
      <c r="R128" s="92"/>
      <c r="S128" s="92"/>
      <c r="T128" s="92"/>
      <c r="U128" s="92"/>
      <c r="V128" s="92"/>
      <c r="W128" s="92"/>
      <c r="X128" s="92"/>
      <c r="Y128" s="92"/>
      <c r="Z128" s="92"/>
      <c r="AA128" s="92"/>
      <c r="AB128" s="92"/>
      <c r="AC128" s="92"/>
      <c r="AD128" s="92"/>
      <c r="AE128" s="92"/>
      <c r="AF128" s="92"/>
      <c r="AG128" s="92"/>
      <c r="AH128" s="92"/>
      <c r="AI128" s="92"/>
      <c r="AJ128" s="92"/>
      <c r="AK128" s="92"/>
      <c r="AL128" s="92"/>
      <c r="AM128" s="92"/>
      <c r="AN128" s="92"/>
      <c r="AO128" s="92"/>
      <c r="AP128" s="92"/>
      <c r="AQ128" s="92"/>
      <c r="AR128" s="92"/>
      <c r="AS128" s="92"/>
      <c r="AT128" s="92"/>
      <c r="AU128" s="92"/>
      <c r="AV128" s="92"/>
      <c r="AW128" s="92"/>
      <c r="AX128" s="92"/>
      <c r="AY128" s="92"/>
      <c r="AZ128" s="92"/>
      <c r="BA128" s="92"/>
      <c r="BB128" s="92"/>
      <c r="BC128" s="92"/>
      <c r="BD128" s="92"/>
      <c r="BE128" s="92"/>
      <c r="BF128" s="92"/>
      <c r="BG128" s="92"/>
      <c r="BH128" s="92"/>
      <c r="BI128" s="92"/>
      <c r="BJ128" s="92"/>
      <c r="BK128" s="92"/>
      <c r="BL128" s="92"/>
      <c r="BM128" s="92"/>
      <c r="BN128" s="92"/>
      <c r="BO128" s="92"/>
      <c r="BP128" s="92"/>
      <c r="BQ128" s="92"/>
      <c r="BR128" s="92"/>
      <c r="BS128" s="92"/>
      <c r="BT128" s="92"/>
      <c r="BU128" s="92"/>
      <c r="BV128" s="92"/>
      <c r="BW128" s="92"/>
      <c r="BX128" s="92"/>
      <c r="BY128" s="92"/>
      <c r="BZ128" s="92"/>
      <c r="CA128" s="92"/>
      <c r="CB128" s="92"/>
      <c r="CC128" s="92"/>
      <c r="CD128" s="92"/>
      <c r="CE128" s="92"/>
      <c r="CF128" s="92"/>
      <c r="CG128" s="92"/>
      <c r="CH128" s="92"/>
      <c r="CI128" s="92"/>
      <c r="CJ128" s="92"/>
      <c r="CK128" s="92"/>
      <c r="CL128" s="92"/>
      <c r="CM128" s="92"/>
      <c r="CN128" s="92"/>
      <c r="CO128" s="92"/>
      <c r="CP128" s="92"/>
      <c r="CQ128" s="92"/>
      <c r="CR128" s="92"/>
      <c r="CS128" s="92"/>
      <c r="CT128" s="92"/>
      <c r="CU128" s="92"/>
      <c r="CV128" s="92"/>
      <c r="CW128" s="92"/>
      <c r="CX128" s="92"/>
      <c r="CY128" s="92"/>
      <c r="CZ128" s="92"/>
      <c r="DA128" s="92"/>
      <c r="DB128" s="92"/>
      <c r="DC128" s="92"/>
      <c r="DD128" s="92"/>
      <c r="DE128" s="92"/>
      <c r="DF128" s="92"/>
      <c r="DG128" s="92"/>
      <c r="DH128" s="92"/>
      <c r="DI128" s="92"/>
      <c r="DJ128" s="92"/>
      <c r="DK128" s="92"/>
      <c r="DL128" s="92"/>
      <c r="DM128" s="92"/>
      <c r="DN128" s="92"/>
      <c r="DO128" s="92"/>
      <c r="DP128" s="92"/>
      <c r="DQ128" s="92"/>
      <c r="DR128" s="92"/>
      <c r="DS128" s="92"/>
      <c r="DT128" s="92"/>
      <c r="DU128" s="92"/>
      <c r="DV128" s="92"/>
      <c r="DW128" s="92"/>
      <c r="DX128" s="92"/>
      <c r="DY128" s="92"/>
      <c r="DZ128" s="92"/>
      <c r="EA128" s="92"/>
      <c r="EB128" s="92"/>
      <c r="EC128" s="92"/>
      <c r="ED128" s="92"/>
      <c r="EE128" s="92"/>
      <c r="EF128" s="92"/>
      <c r="EG128" s="92"/>
      <c r="EH128" s="92"/>
      <c r="EI128" s="92"/>
      <c r="EJ128" s="92"/>
      <c r="EK128" s="92"/>
      <c r="EL128" s="92"/>
      <c r="EM128" s="92"/>
      <c r="EN128" s="92"/>
      <c r="EO128" s="92"/>
      <c r="EP128" s="92"/>
    </row>
    <row r="129" spans="10:146" x14ac:dyDescent="0.25">
      <c r="J129" s="92"/>
      <c r="K129" s="92"/>
      <c r="L129" s="92"/>
      <c r="M129" s="92"/>
      <c r="N129" s="92"/>
      <c r="O129" s="92"/>
      <c r="P129" s="92"/>
      <c r="Q129" s="92"/>
      <c r="R129" s="92"/>
      <c r="S129" s="92"/>
      <c r="T129" s="92"/>
      <c r="U129" s="92"/>
      <c r="V129" s="92"/>
      <c r="W129" s="92"/>
      <c r="X129" s="92"/>
      <c r="Y129" s="92"/>
      <c r="Z129" s="92"/>
      <c r="AA129" s="92"/>
      <c r="AB129" s="92"/>
      <c r="AC129" s="92"/>
      <c r="AD129" s="92"/>
      <c r="AE129" s="92"/>
      <c r="AF129" s="92"/>
      <c r="AG129" s="92"/>
      <c r="AH129" s="92"/>
      <c r="AI129" s="92"/>
      <c r="AJ129" s="92"/>
      <c r="AK129" s="92"/>
      <c r="AL129" s="92"/>
      <c r="AM129" s="92"/>
      <c r="AN129" s="92"/>
      <c r="AO129" s="92"/>
      <c r="AP129" s="92"/>
      <c r="AQ129" s="92"/>
      <c r="AR129" s="92"/>
      <c r="AS129" s="92"/>
      <c r="AT129" s="92"/>
      <c r="AU129" s="92"/>
      <c r="AV129" s="92"/>
      <c r="AW129" s="92"/>
      <c r="AX129" s="92"/>
      <c r="AY129" s="92"/>
      <c r="AZ129" s="92"/>
      <c r="BA129" s="92"/>
      <c r="BB129" s="92"/>
      <c r="BC129" s="92"/>
      <c r="BD129" s="92"/>
      <c r="BE129" s="92"/>
      <c r="BF129" s="92"/>
      <c r="BG129" s="92"/>
      <c r="BH129" s="92"/>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c r="CK129" s="92"/>
      <c r="CL129" s="92"/>
      <c r="CM129" s="92"/>
      <c r="CN129" s="92"/>
      <c r="CO129" s="92"/>
      <c r="CP129" s="92"/>
      <c r="CQ129" s="92"/>
      <c r="CR129" s="92"/>
      <c r="CS129" s="92"/>
      <c r="CT129" s="92"/>
      <c r="CU129" s="92"/>
      <c r="CV129" s="92"/>
      <c r="CW129" s="92"/>
      <c r="CX129" s="92"/>
      <c r="CY129" s="92"/>
      <c r="CZ129" s="92"/>
      <c r="DA129" s="92"/>
      <c r="DB129" s="92"/>
      <c r="DC129" s="92"/>
      <c r="DD129" s="92"/>
      <c r="DE129" s="92"/>
      <c r="DF129" s="92"/>
      <c r="DG129" s="92"/>
      <c r="DH129" s="92"/>
      <c r="DI129" s="92"/>
      <c r="DJ129" s="92"/>
      <c r="DK129" s="92"/>
      <c r="DL129" s="92"/>
      <c r="DM129" s="92"/>
      <c r="DN129" s="92"/>
      <c r="DO129" s="92"/>
      <c r="DP129" s="92"/>
      <c r="DQ129" s="92"/>
      <c r="DR129" s="92"/>
      <c r="DS129" s="92"/>
      <c r="DT129" s="92"/>
      <c r="DU129" s="92"/>
      <c r="DV129" s="92"/>
      <c r="DW129" s="92"/>
      <c r="DX129" s="92"/>
      <c r="DY129" s="92"/>
      <c r="DZ129" s="92"/>
      <c r="EA129" s="92"/>
      <c r="EB129" s="92"/>
      <c r="EC129" s="92"/>
      <c r="ED129" s="92"/>
      <c r="EE129" s="92"/>
      <c r="EF129" s="92"/>
      <c r="EG129" s="92"/>
      <c r="EH129" s="92"/>
      <c r="EI129" s="92"/>
      <c r="EJ129" s="92"/>
      <c r="EK129" s="92"/>
      <c r="EL129" s="92"/>
      <c r="EM129" s="92"/>
      <c r="EN129" s="92"/>
      <c r="EO129" s="92"/>
      <c r="EP129" s="92"/>
    </row>
    <row r="130" spans="10:146" x14ac:dyDescent="0.25">
      <c r="J130" s="92"/>
      <c r="K130" s="92"/>
      <c r="L130" s="92"/>
      <c r="M130" s="92"/>
      <c r="N130" s="92"/>
      <c r="O130" s="92"/>
      <c r="P130" s="92"/>
      <c r="Q130" s="92"/>
      <c r="R130" s="92"/>
      <c r="S130" s="92"/>
      <c r="T130" s="92"/>
      <c r="U130" s="92"/>
      <c r="V130" s="92"/>
      <c r="W130" s="92"/>
      <c r="X130" s="92"/>
      <c r="Y130" s="92"/>
      <c r="Z130" s="92"/>
      <c r="AA130" s="92"/>
      <c r="AB130" s="92"/>
      <c r="AC130" s="92"/>
      <c r="AD130" s="92"/>
      <c r="AE130" s="92"/>
      <c r="AF130" s="92"/>
      <c r="AG130" s="92"/>
      <c r="AH130" s="92"/>
      <c r="AI130" s="92"/>
      <c r="AJ130" s="92"/>
      <c r="AK130" s="92"/>
      <c r="AL130" s="92"/>
      <c r="AM130" s="92"/>
      <c r="AN130" s="92"/>
      <c r="AO130" s="92"/>
      <c r="AP130" s="92"/>
      <c r="AQ130" s="92"/>
      <c r="AR130" s="92"/>
      <c r="AS130" s="92"/>
      <c r="AT130" s="92"/>
      <c r="AU130" s="92"/>
      <c r="AV130" s="92"/>
      <c r="AW130" s="92"/>
      <c r="AX130" s="92"/>
      <c r="AY130" s="92"/>
      <c r="AZ130" s="92"/>
      <c r="BA130" s="92"/>
      <c r="BB130" s="92"/>
      <c r="BC130" s="92"/>
      <c r="BD130" s="92"/>
      <c r="BE130" s="92"/>
      <c r="BF130" s="92"/>
      <c r="BG130" s="92"/>
      <c r="BH130" s="92"/>
      <c r="BI130" s="92"/>
      <c r="BJ130" s="92"/>
      <c r="BK130" s="92"/>
      <c r="BL130" s="92"/>
      <c r="BM130" s="92"/>
      <c r="BN130" s="92"/>
      <c r="BO130" s="92"/>
      <c r="BP130" s="92"/>
      <c r="BQ130" s="92"/>
      <c r="BR130" s="92"/>
      <c r="BS130" s="92"/>
      <c r="BT130" s="92"/>
      <c r="BU130" s="92"/>
      <c r="BV130" s="92"/>
      <c r="BW130" s="92"/>
      <c r="BX130" s="92"/>
      <c r="BY130" s="92"/>
      <c r="BZ130" s="92"/>
      <c r="CA130" s="92"/>
      <c r="CB130" s="92"/>
      <c r="CC130" s="92"/>
      <c r="CD130" s="92"/>
      <c r="CE130" s="92"/>
      <c r="CF130" s="92"/>
      <c r="CG130" s="92"/>
      <c r="CH130" s="92"/>
      <c r="CI130" s="92"/>
      <c r="CJ130" s="92"/>
      <c r="CK130" s="92"/>
      <c r="CL130" s="92"/>
      <c r="CM130" s="92"/>
      <c r="CN130" s="92"/>
      <c r="CO130" s="92"/>
      <c r="CP130" s="92"/>
      <c r="CQ130" s="92"/>
      <c r="CR130" s="92"/>
      <c r="CS130" s="92"/>
      <c r="CT130" s="92"/>
      <c r="CU130" s="92"/>
      <c r="CV130" s="92"/>
      <c r="CW130" s="92"/>
      <c r="CX130" s="92"/>
      <c r="CY130" s="92"/>
      <c r="CZ130" s="92"/>
      <c r="DA130" s="92"/>
      <c r="DB130" s="92"/>
      <c r="DC130" s="92"/>
      <c r="DD130" s="92"/>
      <c r="DE130" s="92"/>
      <c r="DF130" s="92"/>
      <c r="DG130" s="92"/>
      <c r="DH130" s="92"/>
      <c r="DI130" s="92"/>
      <c r="DJ130" s="92"/>
      <c r="DK130" s="92"/>
      <c r="DL130" s="92"/>
      <c r="DM130" s="92"/>
      <c r="DN130" s="92"/>
      <c r="DO130" s="92"/>
      <c r="DP130" s="92"/>
      <c r="DQ130" s="92"/>
      <c r="DR130" s="92"/>
      <c r="DS130" s="92"/>
      <c r="DT130" s="92"/>
      <c r="DU130" s="92"/>
      <c r="DV130" s="92"/>
      <c r="DW130" s="92"/>
      <c r="DX130" s="92"/>
      <c r="DY130" s="92"/>
      <c r="DZ130" s="92"/>
      <c r="EA130" s="92"/>
      <c r="EB130" s="92"/>
      <c r="EC130" s="92"/>
      <c r="ED130" s="92"/>
      <c r="EE130" s="92"/>
      <c r="EF130" s="92"/>
      <c r="EG130" s="92"/>
      <c r="EH130" s="92"/>
      <c r="EI130" s="92"/>
      <c r="EJ130" s="92"/>
      <c r="EK130" s="92"/>
      <c r="EL130" s="92"/>
      <c r="EM130" s="92"/>
      <c r="EN130" s="92"/>
      <c r="EO130" s="92"/>
      <c r="EP130" s="92"/>
    </row>
    <row r="131" spans="10:146" x14ac:dyDescent="0.25">
      <c r="J131" s="92"/>
      <c r="K131" s="92"/>
      <c r="L131" s="92"/>
      <c r="M131" s="92"/>
      <c r="N131" s="92"/>
      <c r="O131" s="92"/>
      <c r="P131" s="92"/>
      <c r="Q131" s="92"/>
      <c r="R131" s="92"/>
      <c r="S131" s="92"/>
      <c r="T131" s="92"/>
      <c r="U131" s="92"/>
      <c r="V131" s="92"/>
      <c r="W131" s="92"/>
      <c r="X131" s="92"/>
      <c r="Y131" s="92"/>
      <c r="Z131" s="92"/>
      <c r="AA131" s="92"/>
      <c r="AB131" s="92"/>
      <c r="AC131" s="92"/>
      <c r="AD131" s="92"/>
      <c r="AE131" s="92"/>
      <c r="AF131" s="92"/>
      <c r="AG131" s="92"/>
      <c r="AH131" s="92"/>
      <c r="AI131" s="92"/>
      <c r="AJ131" s="92"/>
      <c r="AK131" s="92"/>
      <c r="AL131" s="92"/>
      <c r="AM131" s="92"/>
      <c r="AN131" s="92"/>
      <c r="AO131" s="92"/>
      <c r="AP131" s="92"/>
      <c r="AQ131" s="92"/>
      <c r="AR131" s="92"/>
      <c r="AS131" s="92"/>
      <c r="AT131" s="92"/>
      <c r="AU131" s="92"/>
      <c r="AV131" s="92"/>
      <c r="AW131" s="92"/>
      <c r="AX131" s="92"/>
      <c r="AY131" s="92"/>
      <c r="AZ131" s="92"/>
      <c r="BA131" s="92"/>
      <c r="BB131" s="92"/>
      <c r="BC131" s="92"/>
      <c r="BD131" s="92"/>
      <c r="BE131" s="92"/>
      <c r="BF131" s="92"/>
      <c r="BG131" s="92"/>
      <c r="BH131" s="92"/>
      <c r="BI131" s="92"/>
      <c r="BJ131" s="92"/>
      <c r="BK131" s="92"/>
      <c r="BL131" s="92"/>
      <c r="BM131" s="92"/>
      <c r="BN131" s="92"/>
      <c r="BO131" s="92"/>
      <c r="BP131" s="92"/>
      <c r="BQ131" s="92"/>
      <c r="BR131" s="92"/>
      <c r="BS131" s="92"/>
      <c r="BT131" s="92"/>
      <c r="BU131" s="92"/>
      <c r="BV131" s="92"/>
      <c r="BW131" s="92"/>
      <c r="BX131" s="92"/>
      <c r="BY131" s="92"/>
      <c r="BZ131" s="92"/>
      <c r="CA131" s="92"/>
      <c r="CB131" s="92"/>
      <c r="CC131" s="92"/>
      <c r="CD131" s="92"/>
      <c r="CE131" s="92"/>
      <c r="CF131" s="92"/>
      <c r="CG131" s="92"/>
      <c r="CH131" s="92"/>
      <c r="CI131" s="92"/>
      <c r="CJ131" s="92"/>
      <c r="CK131" s="92"/>
      <c r="CL131" s="92"/>
      <c r="CM131" s="92"/>
      <c r="CN131" s="92"/>
      <c r="CO131" s="92"/>
      <c r="CP131" s="92"/>
      <c r="CQ131" s="92"/>
      <c r="CR131" s="92"/>
      <c r="CS131" s="92"/>
      <c r="CT131" s="92"/>
      <c r="CU131" s="92"/>
      <c r="CV131" s="92"/>
      <c r="CW131" s="92"/>
      <c r="CX131" s="92"/>
      <c r="CY131" s="92"/>
      <c r="CZ131" s="92"/>
      <c r="DA131" s="92"/>
      <c r="DB131" s="92"/>
      <c r="DC131" s="92"/>
      <c r="DD131" s="92"/>
      <c r="DE131" s="92"/>
      <c r="DF131" s="92"/>
      <c r="DG131" s="92"/>
      <c r="DH131" s="92"/>
      <c r="DI131" s="92"/>
      <c r="DJ131" s="92"/>
      <c r="DK131" s="92"/>
      <c r="DL131" s="92"/>
      <c r="DM131" s="92"/>
      <c r="DN131" s="92"/>
      <c r="DO131" s="92"/>
      <c r="DP131" s="92"/>
      <c r="DQ131" s="92"/>
      <c r="DR131" s="92"/>
      <c r="DS131" s="92"/>
      <c r="DT131" s="92"/>
      <c r="DU131" s="92"/>
      <c r="DV131" s="92"/>
      <c r="DW131" s="92"/>
      <c r="DX131" s="92"/>
      <c r="DY131" s="92"/>
      <c r="DZ131" s="92"/>
      <c r="EA131" s="92"/>
      <c r="EB131" s="92"/>
      <c r="EC131" s="92"/>
      <c r="ED131" s="92"/>
      <c r="EE131" s="92"/>
      <c r="EF131" s="92"/>
      <c r="EG131" s="92"/>
      <c r="EH131" s="92"/>
      <c r="EI131" s="92"/>
      <c r="EJ131" s="92"/>
      <c r="EK131" s="92"/>
      <c r="EL131" s="92"/>
      <c r="EM131" s="92"/>
      <c r="EN131" s="92"/>
      <c r="EO131" s="92"/>
      <c r="EP131" s="92"/>
    </row>
    <row r="132" spans="10:146" x14ac:dyDescent="0.25">
      <c r="J132" s="92"/>
      <c r="K132" s="92"/>
      <c r="L132" s="92"/>
      <c r="M132" s="92"/>
      <c r="N132" s="92"/>
      <c r="O132" s="92"/>
      <c r="P132" s="92"/>
      <c r="Q132" s="92"/>
      <c r="R132" s="92"/>
      <c r="S132" s="92"/>
      <c r="T132" s="92"/>
      <c r="U132" s="92"/>
      <c r="V132" s="92"/>
      <c r="W132" s="92"/>
      <c r="X132" s="92"/>
      <c r="Y132" s="92"/>
      <c r="Z132" s="92"/>
      <c r="AA132" s="92"/>
      <c r="AB132" s="92"/>
      <c r="AC132" s="92"/>
      <c r="AD132" s="92"/>
      <c r="AE132" s="92"/>
      <c r="AF132" s="92"/>
      <c r="AG132" s="92"/>
      <c r="AH132" s="92"/>
      <c r="AI132" s="92"/>
      <c r="AJ132" s="92"/>
      <c r="AK132" s="92"/>
      <c r="AL132" s="92"/>
      <c r="AM132" s="92"/>
      <c r="AN132" s="92"/>
      <c r="AO132" s="92"/>
      <c r="AP132" s="92"/>
      <c r="AQ132" s="92"/>
      <c r="AR132" s="92"/>
      <c r="AS132" s="92"/>
      <c r="AT132" s="92"/>
      <c r="AU132" s="92"/>
      <c r="AV132" s="92"/>
      <c r="AW132" s="92"/>
      <c r="AX132" s="92"/>
      <c r="AY132" s="92"/>
      <c r="AZ132" s="92"/>
      <c r="BA132" s="92"/>
      <c r="BB132" s="92"/>
      <c r="BC132" s="92"/>
      <c r="BD132" s="92"/>
      <c r="BE132" s="92"/>
      <c r="BF132" s="92"/>
      <c r="BG132" s="92"/>
      <c r="BH132" s="92"/>
      <c r="BI132" s="92"/>
      <c r="BJ132" s="92"/>
      <c r="BK132" s="92"/>
      <c r="BL132" s="92"/>
      <c r="BM132" s="92"/>
      <c r="BN132" s="92"/>
      <c r="BO132" s="92"/>
      <c r="BP132" s="92"/>
      <c r="BQ132" s="92"/>
      <c r="BR132" s="92"/>
      <c r="BS132" s="92"/>
      <c r="BT132" s="92"/>
      <c r="BU132" s="92"/>
      <c r="BV132" s="92"/>
      <c r="BW132" s="92"/>
      <c r="BX132" s="92"/>
      <c r="BY132" s="92"/>
      <c r="BZ132" s="92"/>
      <c r="CA132" s="92"/>
      <c r="CB132" s="92"/>
      <c r="CC132" s="92"/>
      <c r="CD132" s="92"/>
      <c r="CE132" s="92"/>
      <c r="CF132" s="92"/>
      <c r="CG132" s="92"/>
      <c r="CH132" s="92"/>
      <c r="CI132" s="92"/>
      <c r="CJ132" s="92"/>
      <c r="CK132" s="92"/>
      <c r="CL132" s="92"/>
      <c r="CM132" s="92"/>
      <c r="CN132" s="92"/>
      <c r="CO132" s="92"/>
      <c r="CP132" s="92"/>
      <c r="CQ132" s="92"/>
      <c r="CR132" s="92"/>
      <c r="CS132" s="92"/>
      <c r="CT132" s="92"/>
      <c r="CU132" s="92"/>
      <c r="CV132" s="92"/>
      <c r="CW132" s="92"/>
      <c r="CX132" s="92"/>
      <c r="CY132" s="92"/>
      <c r="CZ132" s="92"/>
      <c r="DA132" s="92"/>
      <c r="DB132" s="92"/>
      <c r="DC132" s="92"/>
      <c r="DD132" s="92"/>
      <c r="DE132" s="92"/>
      <c r="DF132" s="92"/>
      <c r="DG132" s="92"/>
      <c r="DH132" s="92"/>
      <c r="DI132" s="92"/>
      <c r="DJ132" s="92"/>
      <c r="DK132" s="92"/>
      <c r="DL132" s="92"/>
      <c r="DM132" s="92"/>
      <c r="DN132" s="92"/>
      <c r="DO132" s="92"/>
      <c r="DP132" s="92"/>
      <c r="DQ132" s="92"/>
      <c r="DR132" s="92"/>
      <c r="DS132" s="92"/>
      <c r="DT132" s="92"/>
      <c r="DU132" s="92"/>
      <c r="DV132" s="92"/>
      <c r="DW132" s="92"/>
      <c r="DX132" s="92"/>
      <c r="DY132" s="92"/>
      <c r="DZ132" s="92"/>
      <c r="EA132" s="92"/>
      <c r="EB132" s="92"/>
      <c r="EC132" s="92"/>
      <c r="ED132" s="92"/>
      <c r="EE132" s="92"/>
      <c r="EF132" s="92"/>
      <c r="EG132" s="92"/>
      <c r="EH132" s="92"/>
      <c r="EI132" s="92"/>
      <c r="EJ132" s="92"/>
      <c r="EK132" s="92"/>
      <c r="EL132" s="92"/>
      <c r="EM132" s="92"/>
      <c r="EN132" s="92"/>
      <c r="EO132" s="92"/>
      <c r="EP132" s="92"/>
    </row>
    <row r="133" spans="10:146" x14ac:dyDescent="0.25">
      <c r="J133" s="92"/>
      <c r="K133" s="92"/>
      <c r="L133" s="92"/>
      <c r="M133" s="92"/>
      <c r="N133" s="92"/>
      <c r="O133" s="92"/>
      <c r="P133" s="92"/>
      <c r="Q133" s="92"/>
      <c r="R133" s="92"/>
      <c r="S133" s="92"/>
      <c r="T133" s="92"/>
      <c r="U133" s="92"/>
      <c r="V133" s="92"/>
      <c r="W133" s="92"/>
      <c r="X133" s="92"/>
      <c r="Y133" s="92"/>
      <c r="Z133" s="92"/>
      <c r="AA133" s="92"/>
      <c r="AB133" s="92"/>
      <c r="AC133" s="92"/>
      <c r="AD133" s="92"/>
      <c r="AE133" s="92"/>
      <c r="AF133" s="92"/>
      <c r="AG133" s="92"/>
      <c r="AH133" s="92"/>
      <c r="AI133" s="92"/>
      <c r="AJ133" s="92"/>
      <c r="AK133" s="92"/>
      <c r="AL133" s="92"/>
      <c r="AM133" s="92"/>
      <c r="AN133" s="92"/>
      <c r="AO133" s="92"/>
      <c r="AP133" s="92"/>
      <c r="AQ133" s="92"/>
      <c r="AR133" s="92"/>
      <c r="AS133" s="92"/>
      <c r="AT133" s="92"/>
      <c r="AU133" s="92"/>
      <c r="AV133" s="92"/>
      <c r="AW133" s="92"/>
      <c r="AX133" s="92"/>
      <c r="AY133" s="92"/>
      <c r="AZ133" s="92"/>
      <c r="BA133" s="92"/>
      <c r="BB133" s="92"/>
      <c r="BC133" s="92"/>
      <c r="BD133" s="92"/>
      <c r="BE133" s="92"/>
      <c r="BF133" s="92"/>
      <c r="BG133" s="92"/>
      <c r="BH133" s="92"/>
      <c r="BI133" s="92"/>
      <c r="BJ133" s="92"/>
      <c r="BK133" s="92"/>
      <c r="BL133" s="92"/>
      <c r="BM133" s="92"/>
      <c r="BN133" s="92"/>
      <c r="BO133" s="92"/>
      <c r="BP133" s="92"/>
      <c r="BQ133" s="92"/>
      <c r="BR133" s="92"/>
      <c r="BS133" s="92"/>
      <c r="BT133" s="92"/>
      <c r="BU133" s="92"/>
      <c r="BV133" s="92"/>
      <c r="BW133" s="92"/>
      <c r="BX133" s="92"/>
      <c r="BY133" s="92"/>
      <c r="BZ133" s="92"/>
      <c r="CA133" s="92"/>
      <c r="CB133" s="92"/>
      <c r="CC133" s="92"/>
      <c r="CD133" s="92"/>
      <c r="CE133" s="92"/>
      <c r="CF133" s="92"/>
      <c r="CG133" s="92"/>
      <c r="CH133" s="92"/>
      <c r="CI133" s="92"/>
      <c r="CJ133" s="92"/>
      <c r="CK133" s="92"/>
      <c r="CL133" s="92"/>
      <c r="CM133" s="92"/>
      <c r="CN133" s="92"/>
      <c r="CO133" s="92"/>
      <c r="CP133" s="92"/>
      <c r="CQ133" s="92"/>
      <c r="CR133" s="92"/>
      <c r="CS133" s="92"/>
      <c r="CT133" s="92"/>
      <c r="CU133" s="92"/>
      <c r="CV133" s="92"/>
      <c r="CW133" s="92"/>
      <c r="CX133" s="92"/>
      <c r="CY133" s="92"/>
      <c r="CZ133" s="92"/>
      <c r="DA133" s="92"/>
      <c r="DB133" s="92"/>
      <c r="DC133" s="92"/>
      <c r="DD133" s="92"/>
      <c r="DE133" s="92"/>
      <c r="DF133" s="92"/>
      <c r="DG133" s="92"/>
      <c r="DH133" s="92"/>
      <c r="DI133" s="92"/>
      <c r="DJ133" s="92"/>
      <c r="DK133" s="92"/>
      <c r="DL133" s="92"/>
      <c r="DM133" s="92"/>
      <c r="DN133" s="92"/>
      <c r="DO133" s="92"/>
      <c r="DP133" s="92"/>
      <c r="DQ133" s="92"/>
      <c r="DR133" s="92"/>
      <c r="DS133" s="92"/>
      <c r="DT133" s="92"/>
      <c r="DU133" s="92"/>
      <c r="DV133" s="92"/>
      <c r="DW133" s="92"/>
      <c r="DX133" s="92"/>
      <c r="DY133" s="92"/>
      <c r="DZ133" s="92"/>
      <c r="EA133" s="92"/>
      <c r="EB133" s="92"/>
      <c r="EC133" s="92"/>
      <c r="ED133" s="92"/>
      <c r="EE133" s="92"/>
      <c r="EF133" s="92"/>
      <c r="EG133" s="92"/>
      <c r="EH133" s="92"/>
      <c r="EI133" s="92"/>
      <c r="EJ133" s="92"/>
      <c r="EK133" s="92"/>
      <c r="EL133" s="92"/>
      <c r="EM133" s="92"/>
      <c r="EN133" s="92"/>
      <c r="EO133" s="92"/>
      <c r="EP133" s="92"/>
    </row>
    <row r="134" spans="10:146" x14ac:dyDescent="0.25">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2"/>
      <c r="AG134" s="92"/>
      <c r="AH134" s="92"/>
      <c r="AI134" s="92"/>
      <c r="AJ134" s="92"/>
      <c r="AK134" s="92"/>
      <c r="AL134" s="92"/>
      <c r="AM134" s="92"/>
      <c r="AN134" s="92"/>
      <c r="AO134" s="92"/>
      <c r="AP134" s="92"/>
      <c r="AQ134" s="92"/>
      <c r="AR134" s="92"/>
      <c r="AS134" s="92"/>
      <c r="AT134" s="92"/>
      <c r="AU134" s="92"/>
      <c r="AV134" s="92"/>
      <c r="AW134" s="92"/>
      <c r="AX134" s="92"/>
      <c r="AY134" s="92"/>
      <c r="AZ134" s="92"/>
      <c r="BA134" s="92"/>
      <c r="BB134" s="92"/>
      <c r="BC134" s="92"/>
      <c r="BD134" s="92"/>
      <c r="BE134" s="92"/>
      <c r="BF134" s="92"/>
      <c r="BG134" s="92"/>
      <c r="BH134" s="92"/>
      <c r="BI134" s="92"/>
      <c r="BJ134" s="92"/>
      <c r="BK134" s="92"/>
      <c r="BL134" s="92"/>
      <c r="BM134" s="92"/>
      <c r="BN134" s="92"/>
      <c r="BO134" s="92"/>
      <c r="BP134" s="92"/>
      <c r="BQ134" s="92"/>
      <c r="BR134" s="92"/>
      <c r="BS134" s="92"/>
      <c r="BT134" s="92"/>
      <c r="BU134" s="92"/>
      <c r="BV134" s="92"/>
      <c r="BW134" s="92"/>
      <c r="BX134" s="92"/>
      <c r="BY134" s="92"/>
      <c r="BZ134" s="92"/>
      <c r="CA134" s="92"/>
      <c r="CB134" s="92"/>
      <c r="CC134" s="92"/>
      <c r="CD134" s="92"/>
      <c r="CE134" s="92"/>
      <c r="CF134" s="92"/>
      <c r="CG134" s="92"/>
      <c r="CH134" s="92"/>
      <c r="CI134" s="92"/>
      <c r="CJ134" s="92"/>
      <c r="CK134" s="92"/>
      <c r="CL134" s="92"/>
      <c r="CM134" s="92"/>
      <c r="CN134" s="92"/>
      <c r="CO134" s="92"/>
      <c r="CP134" s="92"/>
      <c r="CQ134" s="92"/>
      <c r="CR134" s="92"/>
      <c r="CS134" s="92"/>
      <c r="CT134" s="92"/>
      <c r="CU134" s="92"/>
      <c r="CV134" s="92"/>
      <c r="CW134" s="92"/>
      <c r="CX134" s="92"/>
      <c r="CY134" s="92"/>
      <c r="CZ134" s="92"/>
      <c r="DA134" s="92"/>
      <c r="DB134" s="92"/>
      <c r="DC134" s="92"/>
      <c r="DD134" s="92"/>
      <c r="DE134" s="92"/>
      <c r="DF134" s="92"/>
      <c r="DG134" s="92"/>
      <c r="DH134" s="92"/>
      <c r="DI134" s="92"/>
      <c r="DJ134" s="92"/>
      <c r="DK134" s="92"/>
      <c r="DL134" s="92"/>
      <c r="DM134" s="92"/>
      <c r="DN134" s="92"/>
      <c r="DO134" s="92"/>
      <c r="DP134" s="92"/>
      <c r="DQ134" s="92"/>
      <c r="DR134" s="92"/>
      <c r="DS134" s="92"/>
      <c r="DT134" s="92"/>
      <c r="DU134" s="92"/>
      <c r="DV134" s="92"/>
      <c r="DW134" s="92"/>
      <c r="DX134" s="92"/>
      <c r="DY134" s="92"/>
      <c r="DZ134" s="92"/>
      <c r="EA134" s="92"/>
      <c r="EB134" s="92"/>
      <c r="EC134" s="92"/>
      <c r="ED134" s="92"/>
      <c r="EE134" s="92"/>
      <c r="EF134" s="92"/>
      <c r="EG134" s="92"/>
      <c r="EH134" s="92"/>
      <c r="EI134" s="92"/>
      <c r="EJ134" s="92"/>
      <c r="EK134" s="92"/>
      <c r="EL134" s="92"/>
      <c r="EM134" s="92"/>
      <c r="EN134" s="92"/>
      <c r="EO134" s="92"/>
      <c r="EP134" s="92"/>
    </row>
    <row r="135" spans="10:146" x14ac:dyDescent="0.25">
      <c r="J135" s="92"/>
      <c r="K135" s="92"/>
      <c r="L135" s="92"/>
      <c r="M135" s="92"/>
      <c r="N135" s="92"/>
      <c r="O135" s="92"/>
      <c r="P135" s="92"/>
      <c r="Q135" s="92"/>
      <c r="R135" s="92"/>
      <c r="S135" s="92"/>
      <c r="T135" s="92"/>
      <c r="U135" s="92"/>
      <c r="V135" s="92"/>
      <c r="W135" s="92"/>
      <c r="X135" s="92"/>
      <c r="Y135" s="92"/>
      <c r="Z135" s="92"/>
      <c r="AA135" s="92"/>
      <c r="AB135" s="92"/>
      <c r="AC135" s="92"/>
      <c r="AD135" s="92"/>
      <c r="AE135" s="92"/>
      <c r="AF135" s="92"/>
      <c r="AG135" s="92"/>
      <c r="AH135" s="92"/>
      <c r="AI135" s="92"/>
      <c r="AJ135" s="92"/>
      <c r="AK135" s="92"/>
      <c r="AL135" s="92"/>
      <c r="AM135" s="92"/>
      <c r="AN135" s="92"/>
      <c r="AO135" s="92"/>
      <c r="AP135" s="92"/>
      <c r="AQ135" s="92"/>
      <c r="AR135" s="92"/>
      <c r="AS135" s="92"/>
      <c r="AT135" s="92"/>
      <c r="AU135" s="92"/>
      <c r="AV135" s="92"/>
      <c r="AW135" s="92"/>
      <c r="AX135" s="92"/>
      <c r="AY135" s="92"/>
      <c r="AZ135" s="92"/>
      <c r="BA135" s="92"/>
      <c r="BB135" s="92"/>
      <c r="BC135" s="92"/>
      <c r="BD135" s="92"/>
      <c r="BE135" s="92"/>
      <c r="BF135" s="92"/>
      <c r="BG135" s="92"/>
      <c r="BH135" s="92"/>
      <c r="BI135" s="92"/>
      <c r="BJ135" s="92"/>
      <c r="BK135" s="92"/>
      <c r="BL135" s="92"/>
      <c r="BM135" s="92"/>
      <c r="BN135" s="92"/>
      <c r="BO135" s="92"/>
      <c r="BP135" s="92"/>
      <c r="BQ135" s="92"/>
      <c r="BR135" s="92"/>
      <c r="BS135" s="92"/>
      <c r="BT135" s="92"/>
      <c r="BU135" s="92"/>
      <c r="BV135" s="92"/>
      <c r="BW135" s="92"/>
      <c r="BX135" s="92"/>
      <c r="BY135" s="92"/>
      <c r="BZ135" s="92"/>
      <c r="CA135" s="92"/>
      <c r="CB135" s="92"/>
      <c r="CC135" s="92"/>
      <c r="CD135" s="92"/>
      <c r="CE135" s="92"/>
      <c r="CF135" s="92"/>
      <c r="CG135" s="92"/>
      <c r="CH135" s="92"/>
      <c r="CI135" s="92"/>
      <c r="CJ135" s="92"/>
      <c r="CK135" s="92"/>
      <c r="CL135" s="92"/>
      <c r="CM135" s="92"/>
      <c r="CN135" s="92"/>
      <c r="CO135" s="92"/>
      <c r="CP135" s="92"/>
      <c r="CQ135" s="92"/>
      <c r="CR135" s="92"/>
      <c r="CS135" s="92"/>
      <c r="CT135" s="92"/>
      <c r="CU135" s="92"/>
      <c r="CV135" s="92"/>
      <c r="CW135" s="92"/>
      <c r="CX135" s="92"/>
      <c r="CY135" s="92"/>
      <c r="CZ135" s="92"/>
      <c r="DA135" s="92"/>
      <c r="DB135" s="92"/>
      <c r="DC135" s="92"/>
      <c r="DD135" s="92"/>
      <c r="DE135" s="92"/>
      <c r="DF135" s="92"/>
      <c r="DG135" s="92"/>
      <c r="DH135" s="92"/>
      <c r="DI135" s="92"/>
      <c r="DJ135" s="92"/>
      <c r="DK135" s="92"/>
      <c r="DL135" s="92"/>
      <c r="DM135" s="92"/>
      <c r="DN135" s="92"/>
      <c r="DO135" s="92"/>
      <c r="DP135" s="92"/>
      <c r="DQ135" s="92"/>
      <c r="DR135" s="92"/>
      <c r="DS135" s="92"/>
      <c r="DT135" s="92"/>
      <c r="DU135" s="92"/>
      <c r="DV135" s="92"/>
      <c r="DW135" s="92"/>
      <c r="DX135" s="92"/>
      <c r="DY135" s="92"/>
      <c r="DZ135" s="92"/>
      <c r="EA135" s="92"/>
      <c r="EB135" s="92"/>
      <c r="EC135" s="92"/>
      <c r="ED135" s="92"/>
      <c r="EE135" s="92"/>
      <c r="EF135" s="92"/>
      <c r="EG135" s="92"/>
      <c r="EH135" s="92"/>
      <c r="EI135" s="92"/>
      <c r="EJ135" s="92"/>
      <c r="EK135" s="92"/>
      <c r="EL135" s="92"/>
      <c r="EM135" s="92"/>
      <c r="EN135" s="92"/>
      <c r="EO135" s="92"/>
      <c r="EP135" s="92"/>
    </row>
    <row r="136" spans="10:146" x14ac:dyDescent="0.25">
      <c r="J136" s="92"/>
      <c r="K136" s="92"/>
      <c r="L136" s="92"/>
      <c r="M136" s="92"/>
      <c r="N136" s="92"/>
      <c r="O136" s="92"/>
      <c r="P136" s="92"/>
      <c r="Q136" s="92"/>
      <c r="R136" s="92"/>
      <c r="S136" s="92"/>
      <c r="T136" s="92"/>
      <c r="U136" s="92"/>
      <c r="V136" s="92"/>
      <c r="W136" s="92"/>
      <c r="X136" s="92"/>
      <c r="Y136" s="92"/>
      <c r="Z136" s="92"/>
      <c r="AA136" s="92"/>
      <c r="AB136" s="92"/>
      <c r="AC136" s="92"/>
      <c r="AD136" s="92"/>
      <c r="AE136" s="92"/>
      <c r="AF136" s="92"/>
      <c r="AG136" s="92"/>
      <c r="AH136" s="92"/>
      <c r="AI136" s="92"/>
      <c r="AJ136" s="92"/>
      <c r="AK136" s="92"/>
      <c r="AL136" s="92"/>
      <c r="AM136" s="92"/>
      <c r="AN136" s="92"/>
      <c r="AO136" s="92"/>
      <c r="AP136" s="92"/>
      <c r="AQ136" s="92"/>
      <c r="AR136" s="92"/>
      <c r="AS136" s="92"/>
      <c r="AT136" s="92"/>
      <c r="AU136" s="92"/>
      <c r="AV136" s="92"/>
      <c r="AW136" s="92"/>
      <c r="AX136" s="92"/>
      <c r="AY136" s="92"/>
      <c r="AZ136" s="92"/>
      <c r="BA136" s="92"/>
      <c r="BB136" s="92"/>
      <c r="BC136" s="92"/>
      <c r="BD136" s="92"/>
      <c r="BE136" s="92"/>
      <c r="BF136" s="92"/>
      <c r="BG136" s="92"/>
      <c r="BH136" s="92"/>
      <c r="BI136" s="92"/>
      <c r="BJ136" s="92"/>
      <c r="BK136" s="92"/>
      <c r="BL136" s="92"/>
      <c r="BM136" s="92"/>
      <c r="BN136" s="92"/>
      <c r="BO136" s="92"/>
      <c r="BP136" s="92"/>
      <c r="BQ136" s="92"/>
      <c r="BR136" s="92"/>
      <c r="BS136" s="92"/>
      <c r="BT136" s="92"/>
      <c r="BU136" s="92"/>
      <c r="BV136" s="92"/>
      <c r="BW136" s="92"/>
      <c r="BX136" s="92"/>
      <c r="BY136" s="92"/>
      <c r="BZ136" s="92"/>
      <c r="CA136" s="92"/>
      <c r="CB136" s="92"/>
      <c r="CC136" s="92"/>
      <c r="CD136" s="92"/>
      <c r="CE136" s="92"/>
      <c r="CF136" s="92"/>
      <c r="CG136" s="92"/>
      <c r="CH136" s="92"/>
      <c r="CI136" s="92"/>
      <c r="CJ136" s="92"/>
      <c r="CK136" s="92"/>
      <c r="CL136" s="92"/>
      <c r="CM136" s="92"/>
      <c r="CN136" s="92"/>
      <c r="CO136" s="92"/>
      <c r="CP136" s="92"/>
      <c r="CQ136" s="92"/>
      <c r="CR136" s="92"/>
      <c r="CS136" s="92"/>
      <c r="CT136" s="92"/>
      <c r="CU136" s="92"/>
      <c r="CV136" s="92"/>
      <c r="CW136" s="92"/>
      <c r="CX136" s="92"/>
      <c r="CY136" s="92"/>
      <c r="CZ136" s="92"/>
      <c r="DA136" s="92"/>
      <c r="DB136" s="92"/>
      <c r="DC136" s="92"/>
      <c r="DD136" s="92"/>
      <c r="DE136" s="92"/>
      <c r="DF136" s="92"/>
      <c r="DG136" s="92"/>
      <c r="DH136" s="92"/>
      <c r="DI136" s="92"/>
      <c r="DJ136" s="92"/>
      <c r="DK136" s="92"/>
      <c r="DL136" s="92"/>
      <c r="DM136" s="92"/>
      <c r="DN136" s="92"/>
      <c r="DO136" s="92"/>
      <c r="DP136" s="92"/>
      <c r="DQ136" s="92"/>
      <c r="DR136" s="92"/>
      <c r="DS136" s="92"/>
      <c r="DT136" s="92"/>
      <c r="DU136" s="92"/>
      <c r="DV136" s="92"/>
      <c r="DW136" s="92"/>
      <c r="DX136" s="92"/>
      <c r="DY136" s="92"/>
      <c r="DZ136" s="92"/>
      <c r="EA136" s="92"/>
      <c r="EB136" s="92"/>
      <c r="EC136" s="92"/>
      <c r="ED136" s="92"/>
      <c r="EE136" s="92"/>
      <c r="EF136" s="92"/>
      <c r="EG136" s="92"/>
      <c r="EH136" s="92"/>
      <c r="EI136" s="92"/>
      <c r="EJ136" s="92"/>
      <c r="EK136" s="92"/>
      <c r="EL136" s="92"/>
      <c r="EM136" s="92"/>
      <c r="EN136" s="92"/>
      <c r="EO136" s="92"/>
      <c r="EP136" s="92"/>
    </row>
    <row r="137" spans="10:146" x14ac:dyDescent="0.25">
      <c r="J137" s="92"/>
      <c r="K137" s="92"/>
      <c r="L137" s="92"/>
      <c r="M137" s="92"/>
      <c r="N137" s="92"/>
      <c r="O137" s="92"/>
      <c r="P137" s="92"/>
      <c r="Q137" s="92"/>
      <c r="R137" s="92"/>
      <c r="S137" s="92"/>
      <c r="T137" s="92"/>
      <c r="U137" s="92"/>
      <c r="V137" s="92"/>
      <c r="W137" s="92"/>
      <c r="X137" s="92"/>
      <c r="Y137" s="92"/>
      <c r="Z137" s="92"/>
      <c r="AA137" s="92"/>
      <c r="AB137" s="92"/>
      <c r="AC137" s="92"/>
      <c r="AD137" s="92"/>
      <c r="AE137" s="92"/>
      <c r="AF137" s="92"/>
      <c r="AG137" s="92"/>
      <c r="AH137" s="92"/>
      <c r="AI137" s="92"/>
      <c r="AJ137" s="92"/>
      <c r="AK137" s="92"/>
      <c r="AL137" s="92"/>
      <c r="AM137" s="92"/>
      <c r="AN137" s="92"/>
      <c r="AO137" s="92"/>
      <c r="AP137" s="92"/>
      <c r="AQ137" s="92"/>
      <c r="AR137" s="92"/>
      <c r="AS137" s="92"/>
      <c r="AT137" s="92"/>
      <c r="AU137" s="92"/>
      <c r="AV137" s="92"/>
      <c r="AW137" s="92"/>
      <c r="AX137" s="92"/>
      <c r="AY137" s="92"/>
      <c r="AZ137" s="92"/>
      <c r="BA137" s="92"/>
      <c r="BB137" s="92"/>
      <c r="BC137" s="92"/>
      <c r="BD137" s="92"/>
      <c r="BE137" s="92"/>
      <c r="BF137" s="92"/>
      <c r="BG137" s="92"/>
      <c r="BH137" s="92"/>
      <c r="BI137" s="92"/>
      <c r="BJ137" s="92"/>
      <c r="BK137" s="92"/>
      <c r="BL137" s="92"/>
      <c r="BM137" s="92"/>
      <c r="BN137" s="92"/>
      <c r="BO137" s="92"/>
      <c r="BP137" s="92"/>
      <c r="BQ137" s="92"/>
      <c r="BR137" s="92"/>
      <c r="BS137" s="92"/>
      <c r="BT137" s="92"/>
      <c r="BU137" s="92"/>
      <c r="BV137" s="92"/>
      <c r="BW137" s="92"/>
      <c r="BX137" s="92"/>
      <c r="BY137" s="92"/>
      <c r="BZ137" s="92"/>
      <c r="CA137" s="92"/>
      <c r="CB137" s="92"/>
      <c r="CC137" s="92"/>
      <c r="CD137" s="92"/>
      <c r="CE137" s="92"/>
      <c r="CF137" s="92"/>
      <c r="CG137" s="92"/>
      <c r="CH137" s="92"/>
      <c r="CI137" s="92"/>
      <c r="CJ137" s="92"/>
      <c r="CK137" s="92"/>
      <c r="CL137" s="92"/>
      <c r="CM137" s="92"/>
      <c r="CN137" s="92"/>
      <c r="CO137" s="92"/>
      <c r="CP137" s="92"/>
      <c r="CQ137" s="92"/>
      <c r="CR137" s="92"/>
      <c r="CS137" s="92"/>
      <c r="CT137" s="92"/>
      <c r="CU137" s="92"/>
      <c r="CV137" s="92"/>
      <c r="CW137" s="92"/>
      <c r="CX137" s="92"/>
      <c r="CY137" s="92"/>
      <c r="CZ137" s="92"/>
      <c r="DA137" s="92"/>
      <c r="DB137" s="92"/>
      <c r="DC137" s="92"/>
      <c r="DD137" s="92"/>
      <c r="DE137" s="92"/>
      <c r="DF137" s="92"/>
      <c r="DG137" s="92"/>
      <c r="DH137" s="92"/>
      <c r="DI137" s="92"/>
      <c r="DJ137" s="92"/>
      <c r="DK137" s="92"/>
      <c r="DL137" s="92"/>
      <c r="DM137" s="92"/>
      <c r="DN137" s="92"/>
      <c r="DO137" s="92"/>
      <c r="DP137" s="92"/>
      <c r="DQ137" s="92"/>
      <c r="DR137" s="92"/>
      <c r="DS137" s="92"/>
      <c r="DT137" s="92"/>
      <c r="DU137" s="92"/>
      <c r="DV137" s="92"/>
      <c r="DW137" s="92"/>
      <c r="DX137" s="92"/>
      <c r="DY137" s="92"/>
      <c r="DZ137" s="92"/>
      <c r="EA137" s="92"/>
      <c r="EB137" s="92"/>
      <c r="EC137" s="92"/>
      <c r="ED137" s="92"/>
      <c r="EE137" s="92"/>
      <c r="EF137" s="92"/>
      <c r="EG137" s="92"/>
      <c r="EH137" s="92"/>
      <c r="EI137" s="92"/>
      <c r="EJ137" s="92"/>
      <c r="EK137" s="92"/>
      <c r="EL137" s="92"/>
      <c r="EM137" s="92"/>
      <c r="EN137" s="92"/>
      <c r="EO137" s="92"/>
      <c r="EP137" s="92"/>
    </row>
    <row r="138" spans="10:146" x14ac:dyDescent="0.25">
      <c r="J138" s="92"/>
      <c r="K138" s="92"/>
      <c r="L138" s="92"/>
      <c r="M138" s="92"/>
      <c r="N138" s="92"/>
      <c r="O138" s="92"/>
      <c r="P138" s="92"/>
      <c r="Q138" s="92"/>
      <c r="R138" s="92"/>
      <c r="S138" s="92"/>
      <c r="T138" s="92"/>
      <c r="U138" s="92"/>
      <c r="V138" s="92"/>
      <c r="W138" s="92"/>
      <c r="X138" s="92"/>
      <c r="Y138" s="92"/>
      <c r="Z138" s="92"/>
      <c r="AA138" s="92"/>
      <c r="AB138" s="92"/>
      <c r="AC138" s="92"/>
      <c r="AD138" s="92"/>
      <c r="AE138" s="92"/>
      <c r="AF138" s="92"/>
      <c r="AG138" s="92"/>
      <c r="AH138" s="92"/>
      <c r="AI138" s="92"/>
      <c r="AJ138" s="92"/>
      <c r="AK138" s="92"/>
      <c r="AL138" s="92"/>
      <c r="AM138" s="92"/>
      <c r="AN138" s="92"/>
      <c r="AO138" s="92"/>
      <c r="AP138" s="92"/>
      <c r="AQ138" s="92"/>
      <c r="AR138" s="92"/>
      <c r="AS138" s="92"/>
      <c r="AT138" s="92"/>
      <c r="AU138" s="92"/>
      <c r="AV138" s="92"/>
      <c r="AW138" s="92"/>
      <c r="AX138" s="92"/>
      <c r="AY138" s="92"/>
      <c r="AZ138" s="92"/>
      <c r="BA138" s="92"/>
      <c r="BB138" s="92"/>
      <c r="BC138" s="92"/>
      <c r="BD138" s="92"/>
      <c r="BE138" s="92"/>
      <c r="BF138" s="92"/>
      <c r="BG138" s="92"/>
      <c r="BH138" s="92"/>
      <c r="BI138" s="92"/>
      <c r="BJ138" s="92"/>
      <c r="BK138" s="92"/>
      <c r="BL138" s="92"/>
      <c r="BM138" s="92"/>
      <c r="BN138" s="92"/>
      <c r="BO138" s="92"/>
      <c r="BP138" s="92"/>
      <c r="BQ138" s="92"/>
      <c r="BR138" s="92"/>
      <c r="BS138" s="92"/>
      <c r="BT138" s="92"/>
      <c r="BU138" s="92"/>
      <c r="BV138" s="92"/>
      <c r="BW138" s="92"/>
      <c r="BX138" s="92"/>
      <c r="BY138" s="92"/>
      <c r="BZ138" s="92"/>
      <c r="CA138" s="92"/>
      <c r="CB138" s="92"/>
      <c r="CC138" s="92"/>
      <c r="CD138" s="92"/>
      <c r="CE138" s="92"/>
      <c r="CF138" s="92"/>
      <c r="CG138" s="92"/>
      <c r="CH138" s="92"/>
      <c r="CI138" s="92"/>
      <c r="CJ138" s="92"/>
      <c r="CK138" s="92"/>
      <c r="CL138" s="92"/>
      <c r="CM138" s="92"/>
      <c r="CN138" s="92"/>
      <c r="CO138" s="92"/>
      <c r="CP138" s="92"/>
      <c r="CQ138" s="92"/>
      <c r="CR138" s="92"/>
      <c r="CS138" s="92"/>
      <c r="CT138" s="92"/>
      <c r="CU138" s="92"/>
      <c r="CV138" s="92"/>
      <c r="CW138" s="92"/>
      <c r="CX138" s="92"/>
      <c r="CY138" s="92"/>
      <c r="CZ138" s="92"/>
      <c r="DA138" s="92"/>
      <c r="DB138" s="92"/>
      <c r="DC138" s="92"/>
      <c r="DD138" s="92"/>
      <c r="DE138" s="92"/>
      <c r="DF138" s="92"/>
      <c r="DG138" s="92"/>
      <c r="DH138" s="92"/>
      <c r="DI138" s="92"/>
      <c r="DJ138" s="92"/>
      <c r="DK138" s="92"/>
      <c r="DL138" s="92"/>
      <c r="DM138" s="92"/>
      <c r="DN138" s="92"/>
      <c r="DO138" s="92"/>
      <c r="DP138" s="92"/>
      <c r="DQ138" s="92"/>
      <c r="DR138" s="92"/>
      <c r="DS138" s="92"/>
      <c r="DT138" s="92"/>
      <c r="DU138" s="92"/>
      <c r="DV138" s="92"/>
      <c r="DW138" s="92"/>
      <c r="DX138" s="92"/>
      <c r="DY138" s="92"/>
      <c r="DZ138" s="92"/>
      <c r="EA138" s="92"/>
      <c r="EB138" s="92"/>
      <c r="EC138" s="92"/>
      <c r="ED138" s="92"/>
      <c r="EE138" s="92"/>
      <c r="EF138" s="92"/>
      <c r="EG138" s="92"/>
      <c r="EH138" s="92"/>
      <c r="EI138" s="92"/>
      <c r="EJ138" s="92"/>
      <c r="EK138" s="92"/>
      <c r="EL138" s="92"/>
      <c r="EM138" s="92"/>
      <c r="EN138" s="92"/>
      <c r="EO138" s="92"/>
      <c r="EP138" s="92"/>
    </row>
    <row r="139" spans="10:146" x14ac:dyDescent="0.25">
      <c r="J139" s="92"/>
      <c r="K139" s="92"/>
      <c r="L139" s="92"/>
      <c r="M139" s="92"/>
      <c r="N139" s="92"/>
      <c r="O139" s="92"/>
      <c r="P139" s="92"/>
      <c r="Q139" s="92"/>
      <c r="R139" s="92"/>
      <c r="S139" s="92"/>
      <c r="T139" s="92"/>
      <c r="U139" s="92"/>
      <c r="V139" s="92"/>
      <c r="W139" s="92"/>
      <c r="X139" s="92"/>
      <c r="Y139" s="92"/>
      <c r="Z139" s="92"/>
      <c r="AA139" s="92"/>
      <c r="AB139" s="92"/>
      <c r="AC139" s="92"/>
      <c r="AD139" s="92"/>
      <c r="AE139" s="92"/>
      <c r="AF139" s="92"/>
      <c r="AG139" s="92"/>
      <c r="AH139" s="92"/>
      <c r="AI139" s="92"/>
      <c r="AJ139" s="92"/>
      <c r="AK139" s="92"/>
      <c r="AL139" s="92"/>
      <c r="AM139" s="92"/>
      <c r="AN139" s="92"/>
      <c r="AO139" s="92"/>
      <c r="AP139" s="92"/>
      <c r="AQ139" s="92"/>
      <c r="AR139" s="92"/>
      <c r="AS139" s="92"/>
      <c r="AT139" s="92"/>
      <c r="AU139" s="92"/>
      <c r="AV139" s="92"/>
      <c r="AW139" s="92"/>
      <c r="AX139" s="92"/>
      <c r="AY139" s="92"/>
      <c r="AZ139" s="92"/>
      <c r="BA139" s="92"/>
      <c r="BB139" s="92"/>
      <c r="BC139" s="92"/>
      <c r="BD139" s="92"/>
      <c r="BE139" s="92"/>
      <c r="BF139" s="92"/>
      <c r="BG139" s="92"/>
      <c r="BH139" s="92"/>
      <c r="BI139" s="92"/>
      <c r="BJ139" s="92"/>
      <c r="BK139" s="92"/>
      <c r="BL139" s="92"/>
      <c r="BM139" s="92"/>
      <c r="BN139" s="92"/>
      <c r="BO139" s="92"/>
      <c r="BP139" s="92"/>
      <c r="BQ139" s="92"/>
      <c r="BR139" s="92"/>
      <c r="BS139" s="92"/>
      <c r="BT139" s="92"/>
      <c r="BU139" s="92"/>
      <c r="BV139" s="92"/>
      <c r="BW139" s="92"/>
      <c r="BX139" s="92"/>
      <c r="BY139" s="92"/>
      <c r="BZ139" s="92"/>
      <c r="CA139" s="92"/>
      <c r="CB139" s="92"/>
      <c r="CC139" s="92"/>
      <c r="CD139" s="92"/>
      <c r="CE139" s="92"/>
      <c r="CF139" s="92"/>
      <c r="CG139" s="92"/>
      <c r="CH139" s="92"/>
      <c r="CI139" s="92"/>
      <c r="CJ139" s="92"/>
      <c r="CK139" s="92"/>
      <c r="CL139" s="92"/>
      <c r="CM139" s="92"/>
      <c r="CN139" s="92"/>
      <c r="CO139" s="92"/>
      <c r="CP139" s="92"/>
      <c r="CQ139" s="92"/>
      <c r="CR139" s="92"/>
      <c r="CS139" s="92"/>
      <c r="CT139" s="92"/>
      <c r="CU139" s="92"/>
      <c r="CV139" s="92"/>
      <c r="CW139" s="92"/>
      <c r="CX139" s="92"/>
      <c r="CY139" s="92"/>
      <c r="CZ139" s="92"/>
      <c r="DA139" s="92"/>
      <c r="DB139" s="92"/>
      <c r="DC139" s="92"/>
      <c r="DD139" s="92"/>
      <c r="DE139" s="92"/>
      <c r="DF139" s="92"/>
      <c r="DG139" s="92"/>
      <c r="DH139" s="92"/>
      <c r="DI139" s="92"/>
      <c r="DJ139" s="92"/>
      <c r="DK139" s="92"/>
      <c r="DL139" s="92"/>
      <c r="DM139" s="92"/>
      <c r="DN139" s="92"/>
      <c r="DO139" s="92"/>
      <c r="DP139" s="92"/>
      <c r="DQ139" s="92"/>
      <c r="DR139" s="92"/>
      <c r="DS139" s="92"/>
      <c r="DT139" s="92"/>
      <c r="DU139" s="92"/>
      <c r="DV139" s="92"/>
      <c r="DW139" s="92"/>
      <c r="DX139" s="92"/>
      <c r="DY139" s="92"/>
      <c r="DZ139" s="92"/>
      <c r="EA139" s="92"/>
      <c r="EB139" s="92"/>
      <c r="EC139" s="92"/>
      <c r="ED139" s="92"/>
      <c r="EE139" s="92"/>
      <c r="EF139" s="92"/>
      <c r="EG139" s="92"/>
      <c r="EH139" s="92"/>
      <c r="EI139" s="92"/>
      <c r="EJ139" s="92"/>
      <c r="EK139" s="92"/>
      <c r="EL139" s="92"/>
      <c r="EM139" s="92"/>
      <c r="EN139" s="92"/>
      <c r="EO139" s="92"/>
      <c r="EP139" s="92"/>
    </row>
    <row r="140" spans="10:146" x14ac:dyDescent="0.25">
      <c r="J140" s="92"/>
      <c r="K140" s="92"/>
      <c r="L140" s="92"/>
      <c r="M140" s="92"/>
      <c r="N140" s="92"/>
      <c r="O140" s="92"/>
      <c r="P140" s="92"/>
      <c r="Q140" s="92"/>
      <c r="R140" s="92"/>
      <c r="S140" s="92"/>
      <c r="T140" s="92"/>
      <c r="U140" s="92"/>
      <c r="V140" s="92"/>
      <c r="W140" s="92"/>
      <c r="X140" s="92"/>
      <c r="Y140" s="92"/>
      <c r="Z140" s="92"/>
      <c r="AA140" s="92"/>
      <c r="AB140" s="92"/>
      <c r="AC140" s="92"/>
      <c r="AD140" s="92"/>
      <c r="AE140" s="92"/>
      <c r="AF140" s="92"/>
      <c r="AG140" s="92"/>
      <c r="AH140" s="92"/>
      <c r="AI140" s="92"/>
      <c r="AJ140" s="92"/>
      <c r="AK140" s="92"/>
      <c r="AL140" s="92"/>
      <c r="AM140" s="92"/>
      <c r="AN140" s="92"/>
      <c r="AO140" s="92"/>
      <c r="AP140" s="92"/>
      <c r="AQ140" s="92"/>
      <c r="AR140" s="92"/>
      <c r="AS140" s="92"/>
      <c r="AT140" s="92"/>
      <c r="AU140" s="92"/>
      <c r="AV140" s="92"/>
      <c r="AW140" s="92"/>
      <c r="AX140" s="92"/>
      <c r="AY140" s="92"/>
      <c r="AZ140" s="92"/>
      <c r="BA140" s="92"/>
      <c r="BB140" s="92"/>
      <c r="BC140" s="92"/>
      <c r="BD140" s="92"/>
      <c r="BE140" s="92"/>
      <c r="BF140" s="92"/>
      <c r="BG140" s="92"/>
      <c r="BH140" s="92"/>
      <c r="BI140" s="92"/>
      <c r="BJ140" s="92"/>
      <c r="BK140" s="92"/>
      <c r="BL140" s="92"/>
      <c r="BM140" s="92"/>
      <c r="BN140" s="92"/>
      <c r="BO140" s="92"/>
      <c r="BP140" s="92"/>
      <c r="BQ140" s="92"/>
      <c r="BR140" s="92"/>
      <c r="BS140" s="92"/>
      <c r="BT140" s="92"/>
      <c r="BU140" s="92"/>
      <c r="BV140" s="92"/>
      <c r="BW140" s="92"/>
      <c r="BX140" s="92"/>
      <c r="BY140" s="92"/>
      <c r="BZ140" s="92"/>
      <c r="CA140" s="92"/>
      <c r="CB140" s="92"/>
      <c r="CC140" s="92"/>
      <c r="CD140" s="92"/>
      <c r="CE140" s="92"/>
      <c r="CF140" s="92"/>
      <c r="CG140" s="92"/>
      <c r="CH140" s="92"/>
      <c r="CI140" s="92"/>
      <c r="CJ140" s="92"/>
      <c r="CK140" s="92"/>
      <c r="CL140" s="92"/>
      <c r="CM140" s="92"/>
      <c r="CN140" s="92"/>
      <c r="CO140" s="92"/>
      <c r="CP140" s="92"/>
      <c r="CQ140" s="92"/>
      <c r="CR140" s="92"/>
      <c r="CS140" s="92"/>
      <c r="CT140" s="92"/>
      <c r="CU140" s="92"/>
      <c r="CV140" s="92"/>
      <c r="CW140" s="92"/>
      <c r="CX140" s="92"/>
      <c r="CY140" s="92"/>
      <c r="CZ140" s="92"/>
      <c r="DA140" s="92"/>
      <c r="DB140" s="92"/>
      <c r="DC140" s="92"/>
      <c r="DD140" s="92"/>
      <c r="DE140" s="92"/>
      <c r="DF140" s="92"/>
      <c r="DG140" s="92"/>
      <c r="DH140" s="92"/>
      <c r="DI140" s="92"/>
      <c r="DJ140" s="92"/>
      <c r="DK140" s="92"/>
      <c r="DL140" s="92"/>
      <c r="DM140" s="92"/>
      <c r="DN140" s="92"/>
      <c r="DO140" s="92"/>
      <c r="DP140" s="92"/>
      <c r="DQ140" s="92"/>
      <c r="DR140" s="92"/>
      <c r="DS140" s="92"/>
      <c r="DT140" s="92"/>
      <c r="DU140" s="92"/>
      <c r="DV140" s="92"/>
      <c r="DW140" s="92"/>
      <c r="DX140" s="92"/>
      <c r="DY140" s="92"/>
      <c r="DZ140" s="92"/>
      <c r="EA140" s="92"/>
      <c r="EB140" s="92"/>
      <c r="EC140" s="92"/>
      <c r="ED140" s="92"/>
      <c r="EE140" s="92"/>
      <c r="EF140" s="92"/>
      <c r="EG140" s="92"/>
      <c r="EH140" s="92"/>
      <c r="EI140" s="92"/>
      <c r="EJ140" s="92"/>
      <c r="EK140" s="92"/>
      <c r="EL140" s="92"/>
      <c r="EM140" s="92"/>
      <c r="EN140" s="92"/>
      <c r="EO140" s="92"/>
      <c r="EP140" s="92"/>
    </row>
    <row r="141" spans="10:146" x14ac:dyDescent="0.25">
      <c r="J141" s="92"/>
      <c r="K141" s="92"/>
      <c r="L141" s="92"/>
      <c r="M141" s="92"/>
      <c r="N141" s="92"/>
      <c r="O141" s="92"/>
      <c r="P141" s="92"/>
      <c r="Q141" s="92"/>
      <c r="R141" s="92"/>
      <c r="S141" s="92"/>
      <c r="T141" s="92"/>
      <c r="U141" s="92"/>
      <c r="V141" s="92"/>
      <c r="W141" s="92"/>
      <c r="X141" s="92"/>
      <c r="Y141" s="92"/>
      <c r="Z141" s="92"/>
      <c r="AA141" s="92"/>
      <c r="AB141" s="92"/>
      <c r="AC141" s="92"/>
      <c r="AD141" s="92"/>
      <c r="AE141" s="92"/>
      <c r="AF141" s="92"/>
      <c r="AG141" s="92"/>
      <c r="AH141" s="92"/>
      <c r="AI141" s="92"/>
      <c r="AJ141" s="92"/>
      <c r="AK141" s="92"/>
      <c r="AL141" s="92"/>
      <c r="AM141" s="92"/>
      <c r="AN141" s="92"/>
      <c r="AO141" s="92"/>
      <c r="AP141" s="92"/>
      <c r="AQ141" s="92"/>
      <c r="AR141" s="92"/>
      <c r="AS141" s="92"/>
      <c r="AT141" s="92"/>
      <c r="AU141" s="92"/>
      <c r="AV141" s="92"/>
      <c r="AW141" s="92"/>
      <c r="AX141" s="92"/>
      <c r="AY141" s="92"/>
      <c r="AZ141" s="92"/>
      <c r="BA141" s="92"/>
      <c r="BB141" s="92"/>
      <c r="BC141" s="92"/>
      <c r="BD141" s="92"/>
      <c r="BE141" s="92"/>
      <c r="BF141" s="92"/>
      <c r="BG141" s="92"/>
      <c r="BH141" s="92"/>
      <c r="BI141" s="92"/>
      <c r="BJ141" s="92"/>
      <c r="BK141" s="92"/>
      <c r="BL141" s="92"/>
      <c r="BM141" s="92"/>
      <c r="BN141" s="92"/>
      <c r="BO141" s="92"/>
      <c r="BP141" s="92"/>
      <c r="BQ141" s="92"/>
      <c r="BR141" s="92"/>
      <c r="BS141" s="92"/>
      <c r="BT141" s="92"/>
      <c r="BU141" s="92"/>
      <c r="BV141" s="92"/>
      <c r="BW141" s="92"/>
      <c r="BX141" s="92"/>
      <c r="BY141" s="92"/>
      <c r="BZ141" s="92"/>
      <c r="CA141" s="92"/>
      <c r="CB141" s="92"/>
      <c r="CC141" s="92"/>
      <c r="CD141" s="92"/>
      <c r="CE141" s="92"/>
      <c r="CF141" s="92"/>
      <c r="CG141" s="92"/>
      <c r="CH141" s="92"/>
      <c r="CI141" s="92"/>
      <c r="CJ141" s="92"/>
      <c r="CK141" s="92"/>
      <c r="CL141" s="92"/>
      <c r="CM141" s="92"/>
      <c r="CN141" s="92"/>
      <c r="CO141" s="92"/>
      <c r="CP141" s="92"/>
      <c r="CQ141" s="92"/>
      <c r="CR141" s="92"/>
      <c r="CS141" s="92"/>
      <c r="CT141" s="92"/>
      <c r="CU141" s="92"/>
      <c r="CV141" s="92"/>
      <c r="CW141" s="92"/>
      <c r="CX141" s="92"/>
      <c r="CY141" s="92"/>
      <c r="CZ141" s="92"/>
      <c r="DA141" s="92"/>
      <c r="DB141" s="92"/>
      <c r="DC141" s="92"/>
      <c r="DD141" s="92"/>
      <c r="DE141" s="92"/>
      <c r="DF141" s="92"/>
      <c r="DG141" s="92"/>
      <c r="DH141" s="92"/>
      <c r="DI141" s="92"/>
      <c r="DJ141" s="92"/>
      <c r="DK141" s="92"/>
      <c r="DL141" s="92"/>
      <c r="DM141" s="92"/>
      <c r="DN141" s="92"/>
      <c r="DO141" s="92"/>
      <c r="DP141" s="92"/>
      <c r="DQ141" s="92"/>
      <c r="DR141" s="92"/>
      <c r="DS141" s="92"/>
      <c r="DT141" s="92"/>
      <c r="DU141" s="92"/>
      <c r="DV141" s="92"/>
      <c r="DW141" s="92"/>
      <c r="DX141" s="92"/>
      <c r="DY141" s="92"/>
      <c r="DZ141" s="92"/>
      <c r="EA141" s="92"/>
      <c r="EB141" s="92"/>
      <c r="EC141" s="92"/>
      <c r="ED141" s="92"/>
      <c r="EE141" s="92"/>
      <c r="EF141" s="92"/>
      <c r="EG141" s="92"/>
      <c r="EH141" s="92"/>
      <c r="EI141" s="92"/>
      <c r="EJ141" s="92"/>
      <c r="EK141" s="92"/>
      <c r="EL141" s="92"/>
      <c r="EM141" s="92"/>
      <c r="EN141" s="92"/>
      <c r="EO141" s="92"/>
      <c r="EP141" s="92"/>
    </row>
    <row r="142" spans="10:146" x14ac:dyDescent="0.25">
      <c r="J142" s="92"/>
      <c r="K142" s="92"/>
      <c r="L142" s="92"/>
      <c r="M142" s="92"/>
      <c r="N142" s="92"/>
      <c r="O142" s="92"/>
      <c r="P142" s="92"/>
      <c r="Q142" s="92"/>
      <c r="R142" s="92"/>
      <c r="S142" s="92"/>
      <c r="T142" s="92"/>
      <c r="U142" s="92"/>
      <c r="V142" s="92"/>
      <c r="W142" s="92"/>
      <c r="X142" s="92"/>
      <c r="Y142" s="92"/>
      <c r="Z142" s="92"/>
      <c r="AA142" s="92"/>
      <c r="AB142" s="92"/>
      <c r="AC142" s="92"/>
      <c r="AD142" s="92"/>
      <c r="AE142" s="92"/>
      <c r="AF142" s="92"/>
      <c r="AG142" s="92"/>
      <c r="AH142" s="92"/>
      <c r="AI142" s="92"/>
      <c r="AJ142" s="92"/>
      <c r="AK142" s="92"/>
      <c r="AL142" s="92"/>
      <c r="AM142" s="92"/>
      <c r="AN142" s="92"/>
      <c r="AO142" s="92"/>
      <c r="AP142" s="92"/>
      <c r="AQ142" s="92"/>
      <c r="AR142" s="92"/>
      <c r="AS142" s="92"/>
      <c r="AT142" s="92"/>
      <c r="AU142" s="92"/>
      <c r="AV142" s="92"/>
      <c r="AW142" s="92"/>
      <c r="AX142" s="92"/>
      <c r="AY142" s="92"/>
      <c r="AZ142" s="92"/>
      <c r="BA142" s="92"/>
      <c r="BB142" s="92"/>
      <c r="BC142" s="92"/>
      <c r="BD142" s="92"/>
      <c r="BE142" s="92"/>
      <c r="BF142" s="92"/>
      <c r="BG142" s="92"/>
      <c r="BH142" s="92"/>
      <c r="BI142" s="92"/>
      <c r="BJ142" s="92"/>
      <c r="BK142" s="92"/>
      <c r="BL142" s="92"/>
      <c r="BM142" s="92"/>
      <c r="BN142" s="92"/>
      <c r="BO142" s="92"/>
      <c r="BP142" s="92"/>
      <c r="BQ142" s="92"/>
      <c r="BR142" s="92"/>
      <c r="BS142" s="92"/>
      <c r="BT142" s="92"/>
      <c r="BU142" s="92"/>
      <c r="BV142" s="92"/>
      <c r="BW142" s="92"/>
      <c r="BX142" s="92"/>
      <c r="BY142" s="92"/>
      <c r="BZ142" s="92"/>
      <c r="CA142" s="92"/>
      <c r="CB142" s="92"/>
      <c r="CC142" s="92"/>
      <c r="CD142" s="92"/>
      <c r="CE142" s="92"/>
      <c r="CF142" s="92"/>
      <c r="CG142" s="92"/>
      <c r="CH142" s="92"/>
      <c r="CI142" s="92"/>
      <c r="CJ142" s="92"/>
      <c r="CK142" s="92"/>
      <c r="CL142" s="92"/>
      <c r="CM142" s="92"/>
      <c r="CN142" s="92"/>
      <c r="CO142" s="92"/>
      <c r="CP142" s="92"/>
      <c r="CQ142" s="92"/>
      <c r="CR142" s="92"/>
      <c r="CS142" s="92"/>
      <c r="CT142" s="92"/>
      <c r="CU142" s="92"/>
      <c r="CV142" s="92"/>
      <c r="CW142" s="92"/>
      <c r="CX142" s="92"/>
      <c r="CY142" s="92"/>
      <c r="CZ142" s="92"/>
      <c r="DA142" s="92"/>
      <c r="DB142" s="92"/>
      <c r="DC142" s="92"/>
      <c r="DD142" s="92"/>
      <c r="DE142" s="92"/>
      <c r="DF142" s="92"/>
      <c r="DG142" s="92"/>
      <c r="DH142" s="92"/>
      <c r="DI142" s="92"/>
      <c r="DJ142" s="92"/>
      <c r="DK142" s="92"/>
      <c r="DL142" s="92"/>
      <c r="DM142" s="92"/>
      <c r="DN142" s="92"/>
      <c r="DO142" s="92"/>
      <c r="DP142" s="92"/>
      <c r="DQ142" s="92"/>
      <c r="DR142" s="92"/>
      <c r="DS142" s="92"/>
      <c r="DT142" s="92"/>
      <c r="DU142" s="92"/>
      <c r="DV142" s="92"/>
      <c r="DW142" s="92"/>
      <c r="DX142" s="92"/>
      <c r="DY142" s="92"/>
      <c r="DZ142" s="92"/>
      <c r="EA142" s="92"/>
      <c r="EB142" s="92"/>
      <c r="EC142" s="92"/>
      <c r="ED142" s="92"/>
      <c r="EE142" s="92"/>
      <c r="EF142" s="92"/>
      <c r="EG142" s="92"/>
      <c r="EH142" s="92"/>
      <c r="EI142" s="92"/>
      <c r="EJ142" s="92"/>
      <c r="EK142" s="92"/>
      <c r="EL142" s="92"/>
      <c r="EM142" s="92"/>
      <c r="EN142" s="92"/>
      <c r="EO142" s="92"/>
      <c r="EP142" s="92"/>
    </row>
    <row r="143" spans="10:146" x14ac:dyDescent="0.25">
      <c r="J143" s="92"/>
      <c r="K143" s="92"/>
      <c r="L143" s="92"/>
      <c r="M143" s="92"/>
      <c r="N143" s="92"/>
      <c r="O143" s="92"/>
      <c r="P143" s="92"/>
      <c r="Q143" s="92"/>
      <c r="R143" s="92"/>
      <c r="S143" s="92"/>
      <c r="T143" s="92"/>
      <c r="U143" s="92"/>
      <c r="V143" s="92"/>
      <c r="W143" s="92"/>
      <c r="X143" s="92"/>
      <c r="Y143" s="92"/>
      <c r="Z143" s="92"/>
      <c r="AA143" s="92"/>
      <c r="AB143" s="92"/>
      <c r="AC143" s="92"/>
      <c r="AD143" s="92"/>
      <c r="AE143" s="92"/>
      <c r="AF143" s="92"/>
      <c r="AG143" s="92"/>
      <c r="AH143" s="92"/>
      <c r="AI143" s="92"/>
      <c r="AJ143" s="92"/>
      <c r="AK143" s="92"/>
      <c r="AL143" s="92"/>
      <c r="AM143" s="92"/>
      <c r="AN143" s="92"/>
      <c r="AO143" s="92"/>
      <c r="AP143" s="92"/>
      <c r="AQ143" s="92"/>
      <c r="AR143" s="92"/>
      <c r="AS143" s="92"/>
      <c r="AT143" s="92"/>
      <c r="AU143" s="92"/>
      <c r="AV143" s="92"/>
      <c r="AW143" s="92"/>
      <c r="AX143" s="92"/>
      <c r="AY143" s="92"/>
      <c r="AZ143" s="92"/>
      <c r="BA143" s="92"/>
      <c r="BB143" s="92"/>
      <c r="BC143" s="92"/>
      <c r="BD143" s="92"/>
      <c r="BE143" s="92"/>
      <c r="BF143" s="92"/>
      <c r="BG143" s="92"/>
      <c r="BH143" s="92"/>
      <c r="BI143" s="92"/>
      <c r="BJ143" s="92"/>
      <c r="BK143" s="92"/>
      <c r="BL143" s="92"/>
      <c r="BM143" s="92"/>
      <c r="BN143" s="92"/>
      <c r="BO143" s="92"/>
      <c r="BP143" s="92"/>
      <c r="BQ143" s="92"/>
      <c r="BR143" s="92"/>
      <c r="BS143" s="92"/>
      <c r="BT143" s="92"/>
      <c r="BU143" s="92"/>
      <c r="BV143" s="92"/>
      <c r="BW143" s="92"/>
      <c r="BX143" s="92"/>
      <c r="BY143" s="92"/>
      <c r="BZ143" s="92"/>
      <c r="CA143" s="92"/>
      <c r="CB143" s="92"/>
      <c r="CC143" s="92"/>
      <c r="CD143" s="92"/>
      <c r="CE143" s="92"/>
      <c r="CF143" s="92"/>
      <c r="CG143" s="92"/>
      <c r="CH143" s="92"/>
      <c r="CI143" s="92"/>
      <c r="CJ143" s="92"/>
      <c r="CK143" s="92"/>
      <c r="CL143" s="92"/>
      <c r="CM143" s="92"/>
      <c r="CN143" s="92"/>
      <c r="CO143" s="92"/>
      <c r="CP143" s="92"/>
      <c r="CQ143" s="92"/>
      <c r="CR143" s="92"/>
      <c r="CS143" s="92"/>
      <c r="CT143" s="92"/>
      <c r="CU143" s="92"/>
      <c r="CV143" s="92"/>
      <c r="CW143" s="92"/>
      <c r="CX143" s="92"/>
      <c r="CY143" s="92"/>
      <c r="CZ143" s="92"/>
      <c r="DA143" s="92"/>
      <c r="DB143" s="92"/>
      <c r="DC143" s="92"/>
      <c r="DD143" s="92"/>
      <c r="DE143" s="92"/>
      <c r="DF143" s="92"/>
      <c r="DG143" s="92"/>
      <c r="DH143" s="92"/>
      <c r="DI143" s="92"/>
      <c r="DJ143" s="92"/>
      <c r="DK143" s="92"/>
      <c r="DL143" s="92"/>
      <c r="DM143" s="92"/>
      <c r="DN143" s="92"/>
      <c r="DO143" s="92"/>
      <c r="DP143" s="92"/>
      <c r="DQ143" s="92"/>
      <c r="DR143" s="92"/>
      <c r="DS143" s="92"/>
      <c r="DT143" s="92"/>
      <c r="DU143" s="92"/>
      <c r="DV143" s="92"/>
      <c r="DW143" s="92"/>
      <c r="DX143" s="92"/>
      <c r="DY143" s="92"/>
      <c r="DZ143" s="92"/>
      <c r="EA143" s="92"/>
      <c r="EB143" s="92"/>
      <c r="EC143" s="92"/>
      <c r="ED143" s="92"/>
      <c r="EE143" s="92"/>
      <c r="EF143" s="92"/>
      <c r="EG143" s="92"/>
      <c r="EH143" s="92"/>
      <c r="EI143" s="92"/>
      <c r="EJ143" s="92"/>
      <c r="EK143" s="92"/>
      <c r="EL143" s="92"/>
      <c r="EM143" s="92"/>
      <c r="EN143" s="92"/>
      <c r="EO143" s="92"/>
      <c r="EP143" s="92"/>
    </row>
    <row r="144" spans="10:146" x14ac:dyDescent="0.25">
      <c r="J144" s="92"/>
      <c r="K144" s="92"/>
      <c r="L144" s="92"/>
      <c r="M144" s="92"/>
      <c r="N144" s="92"/>
      <c r="O144" s="92"/>
      <c r="P144" s="92"/>
      <c r="Q144" s="92"/>
      <c r="R144" s="92"/>
      <c r="S144" s="92"/>
      <c r="T144" s="92"/>
      <c r="U144" s="92"/>
      <c r="V144" s="92"/>
      <c r="W144" s="92"/>
      <c r="X144" s="92"/>
      <c r="Y144" s="92"/>
      <c r="Z144" s="92"/>
      <c r="AA144" s="92"/>
      <c r="AB144" s="92"/>
      <c r="AC144" s="92"/>
      <c r="AD144" s="92"/>
      <c r="AE144" s="92"/>
      <c r="AF144" s="92"/>
      <c r="AG144" s="92"/>
      <c r="AH144" s="92"/>
      <c r="AI144" s="92"/>
      <c r="AJ144" s="92"/>
      <c r="AK144" s="92"/>
      <c r="AL144" s="92"/>
      <c r="AM144" s="92"/>
      <c r="AN144" s="92"/>
      <c r="AO144" s="92"/>
      <c r="AP144" s="92"/>
      <c r="AQ144" s="92"/>
      <c r="AR144" s="92"/>
      <c r="AS144" s="92"/>
      <c r="AT144" s="92"/>
      <c r="AU144" s="92"/>
      <c r="AV144" s="92"/>
      <c r="AW144" s="92"/>
      <c r="AX144" s="92"/>
      <c r="AY144" s="92"/>
      <c r="AZ144" s="92"/>
      <c r="BA144" s="92"/>
      <c r="BB144" s="92"/>
      <c r="BC144" s="92"/>
      <c r="BD144" s="92"/>
      <c r="BE144" s="92"/>
      <c r="BF144" s="92"/>
      <c r="BG144" s="92"/>
      <c r="BH144" s="92"/>
      <c r="BI144" s="92"/>
      <c r="BJ144" s="92"/>
      <c r="BK144" s="92"/>
      <c r="BL144" s="92"/>
      <c r="BM144" s="92"/>
      <c r="BN144" s="92"/>
      <c r="BO144" s="92"/>
      <c r="BP144" s="92"/>
      <c r="BQ144" s="92"/>
      <c r="BR144" s="92"/>
      <c r="BS144" s="92"/>
      <c r="BT144" s="92"/>
      <c r="BU144" s="92"/>
      <c r="BV144" s="92"/>
      <c r="BW144" s="92"/>
      <c r="BX144" s="92"/>
      <c r="BY144" s="92"/>
      <c r="BZ144" s="92"/>
      <c r="CA144" s="92"/>
      <c r="CB144" s="92"/>
      <c r="CC144" s="92"/>
      <c r="CD144" s="92"/>
      <c r="CE144" s="92"/>
      <c r="CF144" s="92"/>
      <c r="CG144" s="92"/>
      <c r="CH144" s="92"/>
      <c r="CI144" s="92"/>
      <c r="CJ144" s="92"/>
      <c r="CK144" s="92"/>
      <c r="CL144" s="92"/>
      <c r="CM144" s="92"/>
      <c r="CN144" s="92"/>
      <c r="CO144" s="92"/>
      <c r="CP144" s="92"/>
      <c r="CQ144" s="92"/>
      <c r="CR144" s="92"/>
      <c r="CS144" s="92"/>
      <c r="CT144" s="92"/>
      <c r="CU144" s="92"/>
      <c r="CV144" s="92"/>
      <c r="CW144" s="92"/>
      <c r="CX144" s="92"/>
      <c r="CY144" s="92"/>
      <c r="CZ144" s="92"/>
      <c r="DA144" s="92"/>
      <c r="DB144" s="92"/>
      <c r="DC144" s="92"/>
      <c r="DD144" s="92"/>
      <c r="DE144" s="92"/>
      <c r="DF144" s="92"/>
      <c r="DG144" s="92"/>
      <c r="DH144" s="92"/>
      <c r="DI144" s="92"/>
      <c r="DJ144" s="92"/>
      <c r="DK144" s="92"/>
      <c r="DL144" s="92"/>
      <c r="DM144" s="92"/>
      <c r="DN144" s="92"/>
      <c r="DO144" s="92"/>
      <c r="DP144" s="92"/>
      <c r="DQ144" s="92"/>
      <c r="DR144" s="92"/>
      <c r="DS144" s="92"/>
      <c r="DT144" s="92"/>
      <c r="DU144" s="92"/>
      <c r="DV144" s="92"/>
      <c r="DW144" s="92"/>
      <c r="DX144" s="92"/>
      <c r="DY144" s="92"/>
      <c r="DZ144" s="92"/>
      <c r="EA144" s="92"/>
      <c r="EB144" s="92"/>
      <c r="EC144" s="92"/>
      <c r="ED144" s="92"/>
      <c r="EE144" s="92"/>
      <c r="EF144" s="92"/>
      <c r="EG144" s="92"/>
      <c r="EH144" s="92"/>
      <c r="EI144" s="92"/>
      <c r="EJ144" s="92"/>
      <c r="EK144" s="92"/>
      <c r="EL144" s="92"/>
      <c r="EM144" s="92"/>
      <c r="EN144" s="92"/>
      <c r="EO144" s="92"/>
      <c r="EP144" s="92"/>
    </row>
    <row r="145" spans="10:146" x14ac:dyDescent="0.25">
      <c r="J145" s="92"/>
      <c r="K145" s="92"/>
      <c r="L145" s="92"/>
      <c r="M145" s="92"/>
      <c r="N145" s="92"/>
      <c r="O145" s="92"/>
      <c r="P145" s="92"/>
      <c r="Q145" s="92"/>
      <c r="R145" s="92"/>
      <c r="S145" s="92"/>
      <c r="T145" s="92"/>
      <c r="U145" s="92"/>
      <c r="V145" s="92"/>
      <c r="W145" s="92"/>
      <c r="X145" s="92"/>
      <c r="Y145" s="92"/>
      <c r="Z145" s="92"/>
      <c r="AA145" s="92"/>
      <c r="AB145" s="92"/>
      <c r="AC145" s="92"/>
      <c r="AD145" s="92"/>
      <c r="AE145" s="92"/>
      <c r="AF145" s="92"/>
      <c r="AG145" s="92"/>
      <c r="AH145" s="92"/>
      <c r="AI145" s="92"/>
      <c r="AJ145" s="92"/>
      <c r="AK145" s="92"/>
      <c r="AL145" s="92"/>
      <c r="AM145" s="92"/>
      <c r="AN145" s="92"/>
      <c r="AO145" s="92"/>
      <c r="AP145" s="92"/>
      <c r="AQ145" s="92"/>
      <c r="AR145" s="92"/>
      <c r="AS145" s="92"/>
      <c r="AT145" s="92"/>
      <c r="AU145" s="92"/>
      <c r="AV145" s="92"/>
      <c r="AW145" s="92"/>
      <c r="AX145" s="92"/>
      <c r="AY145" s="92"/>
      <c r="AZ145" s="92"/>
      <c r="BA145" s="92"/>
      <c r="BB145" s="92"/>
      <c r="BC145" s="92"/>
      <c r="BD145" s="92"/>
      <c r="BE145" s="92"/>
      <c r="BF145" s="92"/>
      <c r="BG145" s="92"/>
      <c r="BH145" s="92"/>
      <c r="BI145" s="92"/>
      <c r="BJ145" s="92"/>
      <c r="BK145" s="92"/>
      <c r="BL145" s="92"/>
      <c r="BM145" s="92"/>
      <c r="BN145" s="92"/>
      <c r="BO145" s="92"/>
      <c r="BP145" s="92"/>
      <c r="BQ145" s="92"/>
      <c r="BR145" s="92"/>
      <c r="BS145" s="92"/>
      <c r="BT145" s="92"/>
      <c r="BU145" s="92"/>
      <c r="BV145" s="92"/>
      <c r="BW145" s="92"/>
      <c r="BX145" s="92"/>
      <c r="BY145" s="92"/>
      <c r="BZ145" s="92"/>
      <c r="CA145" s="92"/>
      <c r="CB145" s="92"/>
      <c r="CC145" s="92"/>
      <c r="CD145" s="92"/>
      <c r="CE145" s="92"/>
      <c r="CF145" s="92"/>
      <c r="CG145" s="92"/>
      <c r="CH145" s="92"/>
      <c r="CI145" s="92"/>
      <c r="CJ145" s="92"/>
      <c r="CK145" s="92"/>
      <c r="CL145" s="92"/>
      <c r="CM145" s="92"/>
      <c r="CN145" s="92"/>
      <c r="CO145" s="92"/>
      <c r="CP145" s="92"/>
      <c r="CQ145" s="92"/>
      <c r="CR145" s="92"/>
      <c r="CS145" s="92"/>
      <c r="CT145" s="92"/>
      <c r="CU145" s="92"/>
      <c r="CV145" s="92"/>
      <c r="CW145" s="92"/>
      <c r="CX145" s="92"/>
      <c r="CY145" s="92"/>
      <c r="CZ145" s="92"/>
      <c r="DA145" s="92"/>
      <c r="DB145" s="92"/>
      <c r="DC145" s="92"/>
      <c r="DD145" s="92"/>
      <c r="DE145" s="92"/>
      <c r="DF145" s="92"/>
      <c r="DG145" s="92"/>
      <c r="DH145" s="92"/>
      <c r="DI145" s="92"/>
      <c r="DJ145" s="92"/>
      <c r="DK145" s="92"/>
      <c r="DL145" s="92"/>
      <c r="DM145" s="92"/>
      <c r="DN145" s="92"/>
      <c r="DO145" s="92"/>
      <c r="DP145" s="92"/>
      <c r="DQ145" s="92"/>
      <c r="DR145" s="92"/>
      <c r="DS145" s="92"/>
      <c r="DT145" s="92"/>
      <c r="DU145" s="92"/>
      <c r="DV145" s="92"/>
      <c r="DW145" s="92"/>
      <c r="DX145" s="92"/>
      <c r="DY145" s="92"/>
      <c r="DZ145" s="92"/>
      <c r="EA145" s="92"/>
      <c r="EB145" s="92"/>
      <c r="EC145" s="92"/>
      <c r="ED145" s="92"/>
      <c r="EE145" s="92"/>
      <c r="EF145" s="92"/>
      <c r="EG145" s="92"/>
      <c r="EH145" s="92"/>
      <c r="EI145" s="92"/>
      <c r="EJ145" s="92"/>
      <c r="EK145" s="92"/>
      <c r="EL145" s="92"/>
      <c r="EM145" s="92"/>
      <c r="EN145" s="92"/>
      <c r="EO145" s="92"/>
      <c r="EP145" s="92"/>
    </row>
    <row r="146" spans="10:146" x14ac:dyDescent="0.25">
      <c r="J146" s="92"/>
      <c r="K146" s="92"/>
      <c r="L146" s="92"/>
      <c r="M146" s="92"/>
      <c r="N146" s="92"/>
      <c r="O146" s="92"/>
      <c r="P146" s="92"/>
      <c r="Q146" s="92"/>
      <c r="R146" s="92"/>
      <c r="S146" s="92"/>
      <c r="T146" s="92"/>
      <c r="U146" s="92"/>
      <c r="V146" s="92"/>
      <c r="W146" s="92"/>
      <c r="X146" s="92"/>
      <c r="Y146" s="92"/>
      <c r="Z146" s="92"/>
      <c r="AA146" s="92"/>
      <c r="AB146" s="92"/>
      <c r="AC146" s="92"/>
      <c r="AD146" s="92"/>
      <c r="AE146" s="92"/>
      <c r="AF146" s="92"/>
      <c r="AG146" s="92"/>
      <c r="AH146" s="92"/>
      <c r="AI146" s="92"/>
      <c r="AJ146" s="92"/>
      <c r="AK146" s="92"/>
      <c r="AL146" s="92"/>
      <c r="AM146" s="92"/>
      <c r="AN146" s="92"/>
      <c r="AO146" s="92"/>
      <c r="AP146" s="92"/>
      <c r="AQ146" s="92"/>
      <c r="AR146" s="92"/>
      <c r="AS146" s="92"/>
      <c r="AT146" s="92"/>
      <c r="AU146" s="92"/>
      <c r="AV146" s="92"/>
      <c r="AW146" s="92"/>
      <c r="AX146" s="92"/>
      <c r="AY146" s="92"/>
      <c r="AZ146" s="92"/>
      <c r="BA146" s="92"/>
      <c r="BB146" s="92"/>
      <c r="BC146" s="92"/>
      <c r="BD146" s="92"/>
      <c r="BE146" s="92"/>
      <c r="BF146" s="92"/>
      <c r="BG146" s="92"/>
      <c r="BH146" s="92"/>
      <c r="BI146" s="92"/>
      <c r="BJ146" s="92"/>
      <c r="BK146" s="92"/>
      <c r="BL146" s="92"/>
      <c r="BM146" s="92"/>
      <c r="BN146" s="92"/>
      <c r="BO146" s="92"/>
      <c r="BP146" s="92"/>
      <c r="BQ146" s="92"/>
      <c r="BR146" s="92"/>
      <c r="BS146" s="92"/>
      <c r="BT146" s="92"/>
      <c r="BU146" s="92"/>
      <c r="BV146" s="92"/>
      <c r="BW146" s="92"/>
      <c r="BX146" s="92"/>
      <c r="BY146" s="92"/>
      <c r="BZ146" s="92"/>
      <c r="CA146" s="92"/>
      <c r="CB146" s="92"/>
      <c r="CC146" s="92"/>
      <c r="CD146" s="92"/>
      <c r="CE146" s="92"/>
      <c r="CF146" s="92"/>
      <c r="CG146" s="92"/>
      <c r="CH146" s="92"/>
      <c r="CI146" s="92"/>
      <c r="CJ146" s="92"/>
      <c r="CK146" s="92"/>
      <c r="CL146" s="92"/>
      <c r="CM146" s="92"/>
      <c r="CN146" s="92"/>
      <c r="CO146" s="92"/>
      <c r="CP146" s="92"/>
      <c r="CQ146" s="92"/>
      <c r="CR146" s="92"/>
      <c r="CS146" s="92"/>
      <c r="CT146" s="92"/>
      <c r="CU146" s="92"/>
      <c r="CV146" s="92"/>
      <c r="CW146" s="92"/>
      <c r="CX146" s="92"/>
      <c r="CY146" s="92"/>
      <c r="CZ146" s="92"/>
      <c r="DA146" s="92"/>
      <c r="DB146" s="92"/>
      <c r="DC146" s="92"/>
      <c r="DD146" s="92"/>
      <c r="DE146" s="92"/>
      <c r="DF146" s="92"/>
      <c r="DG146" s="92"/>
      <c r="DH146" s="92"/>
      <c r="DI146" s="92"/>
      <c r="DJ146" s="92"/>
      <c r="DK146" s="92"/>
      <c r="DL146" s="92"/>
      <c r="DM146" s="92"/>
      <c r="DN146" s="92"/>
      <c r="DO146" s="92"/>
      <c r="DP146" s="92"/>
      <c r="DQ146" s="92"/>
      <c r="DR146" s="92"/>
      <c r="DS146" s="92"/>
      <c r="DT146" s="92"/>
      <c r="DU146" s="92"/>
      <c r="DV146" s="92"/>
      <c r="DW146" s="92"/>
      <c r="DX146" s="92"/>
      <c r="DY146" s="92"/>
      <c r="DZ146" s="92"/>
      <c r="EA146" s="92"/>
      <c r="EB146" s="92"/>
      <c r="EC146" s="92"/>
      <c r="ED146" s="92"/>
      <c r="EE146" s="92"/>
      <c r="EF146" s="92"/>
      <c r="EG146" s="92"/>
      <c r="EH146" s="92"/>
      <c r="EI146" s="92"/>
      <c r="EJ146" s="92"/>
      <c r="EK146" s="92"/>
      <c r="EL146" s="92"/>
      <c r="EM146" s="92"/>
      <c r="EN146" s="92"/>
      <c r="EO146" s="92"/>
      <c r="EP146" s="92"/>
    </row>
    <row r="147" spans="10:146" x14ac:dyDescent="0.25">
      <c r="J147" s="92"/>
      <c r="K147" s="92"/>
      <c r="L147" s="92"/>
      <c r="M147" s="92"/>
      <c r="N147" s="92"/>
      <c r="O147" s="92"/>
      <c r="P147" s="92"/>
      <c r="Q147" s="92"/>
      <c r="R147" s="92"/>
      <c r="S147" s="92"/>
      <c r="T147" s="92"/>
      <c r="U147" s="92"/>
      <c r="V147" s="92"/>
      <c r="W147" s="92"/>
      <c r="X147" s="92"/>
      <c r="Y147" s="92"/>
      <c r="Z147" s="92"/>
      <c r="AA147" s="92"/>
      <c r="AB147" s="92"/>
      <c r="AC147" s="92"/>
      <c r="AD147" s="92"/>
      <c r="AE147" s="92"/>
      <c r="AF147" s="92"/>
      <c r="AG147" s="92"/>
      <c r="AH147" s="92"/>
      <c r="AI147" s="92"/>
      <c r="AJ147" s="92"/>
      <c r="AK147" s="92"/>
      <c r="AL147" s="92"/>
      <c r="AM147" s="92"/>
      <c r="AN147" s="92"/>
      <c r="AO147" s="92"/>
      <c r="AP147" s="92"/>
      <c r="AQ147" s="92"/>
      <c r="AR147" s="92"/>
      <c r="AS147" s="92"/>
      <c r="AT147" s="92"/>
      <c r="AU147" s="92"/>
      <c r="AV147" s="92"/>
      <c r="AW147" s="92"/>
      <c r="AX147" s="92"/>
      <c r="AY147" s="92"/>
      <c r="AZ147" s="92"/>
      <c r="BA147" s="92"/>
      <c r="BB147" s="92"/>
      <c r="BC147" s="92"/>
      <c r="BD147" s="92"/>
      <c r="BE147" s="92"/>
      <c r="BF147" s="92"/>
      <c r="BG147" s="92"/>
      <c r="BH147" s="92"/>
      <c r="BI147" s="92"/>
      <c r="BJ147" s="92"/>
      <c r="BK147" s="92"/>
      <c r="BL147" s="92"/>
      <c r="BM147" s="92"/>
      <c r="BN147" s="92"/>
      <c r="BO147" s="92"/>
      <c r="BP147" s="92"/>
      <c r="BQ147" s="92"/>
      <c r="BR147" s="92"/>
      <c r="BS147" s="92"/>
      <c r="BT147" s="92"/>
      <c r="BU147" s="92"/>
      <c r="BV147" s="92"/>
      <c r="BW147" s="92"/>
      <c r="BX147" s="92"/>
      <c r="BY147" s="92"/>
      <c r="BZ147" s="92"/>
      <c r="CA147" s="92"/>
      <c r="CB147" s="92"/>
      <c r="CC147" s="92"/>
      <c r="CD147" s="92"/>
      <c r="CE147" s="92"/>
      <c r="CF147" s="92"/>
      <c r="CG147" s="92"/>
      <c r="CH147" s="92"/>
      <c r="CI147" s="92"/>
      <c r="CJ147" s="92"/>
      <c r="CK147" s="92"/>
      <c r="CL147" s="92"/>
      <c r="CM147" s="92"/>
      <c r="CN147" s="92"/>
      <c r="CO147" s="92"/>
      <c r="CP147" s="92"/>
      <c r="CQ147" s="92"/>
      <c r="CR147" s="92"/>
      <c r="CS147" s="92"/>
      <c r="CT147" s="92"/>
      <c r="CU147" s="92"/>
      <c r="CV147" s="92"/>
      <c r="CW147" s="92"/>
      <c r="CX147" s="92"/>
      <c r="CY147" s="92"/>
      <c r="CZ147" s="92"/>
      <c r="DA147" s="92"/>
      <c r="DB147" s="92"/>
      <c r="DC147" s="92"/>
      <c r="DD147" s="92"/>
      <c r="DE147" s="92"/>
      <c r="DF147" s="92"/>
      <c r="DG147" s="92"/>
      <c r="DH147" s="92"/>
      <c r="DI147" s="92"/>
      <c r="DJ147" s="92"/>
      <c r="DK147" s="92"/>
      <c r="DL147" s="92"/>
      <c r="DM147" s="92"/>
      <c r="DN147" s="92"/>
      <c r="DO147" s="92"/>
      <c r="DP147" s="92"/>
      <c r="DQ147" s="92"/>
      <c r="DR147" s="92"/>
      <c r="DS147" s="92"/>
      <c r="DT147" s="92"/>
      <c r="DU147" s="92"/>
      <c r="DV147" s="92"/>
      <c r="DW147" s="92"/>
      <c r="DX147" s="92"/>
      <c r="DY147" s="92"/>
      <c r="DZ147" s="92"/>
      <c r="EA147" s="92"/>
      <c r="EB147" s="92"/>
      <c r="EC147" s="92"/>
      <c r="ED147" s="92"/>
      <c r="EE147" s="92"/>
      <c r="EF147" s="92"/>
      <c r="EG147" s="92"/>
      <c r="EH147" s="92"/>
      <c r="EI147" s="92"/>
      <c r="EJ147" s="92"/>
      <c r="EK147" s="92"/>
      <c r="EL147" s="92"/>
      <c r="EM147" s="92"/>
      <c r="EN147" s="92"/>
      <c r="EO147" s="92"/>
      <c r="EP147" s="92"/>
    </row>
    <row r="148" spans="10:146" x14ac:dyDescent="0.25">
      <c r="J148" s="92"/>
      <c r="K148" s="92"/>
      <c r="L148" s="92"/>
      <c r="M148" s="92"/>
      <c r="N148" s="92"/>
      <c r="O148" s="92"/>
      <c r="P148" s="92"/>
      <c r="Q148" s="92"/>
      <c r="R148" s="92"/>
      <c r="S148" s="92"/>
      <c r="T148" s="92"/>
      <c r="U148" s="92"/>
      <c r="V148" s="92"/>
      <c r="W148" s="92"/>
      <c r="X148" s="92"/>
      <c r="Y148" s="92"/>
      <c r="Z148" s="92"/>
      <c r="AA148" s="92"/>
      <c r="AB148" s="92"/>
      <c r="AC148" s="92"/>
      <c r="AD148" s="92"/>
      <c r="AE148" s="92"/>
      <c r="AF148" s="92"/>
      <c r="AG148" s="92"/>
      <c r="AH148" s="92"/>
      <c r="AI148" s="92"/>
      <c r="AJ148" s="92"/>
      <c r="AK148" s="92"/>
      <c r="AL148" s="92"/>
      <c r="AM148" s="92"/>
      <c r="AN148" s="92"/>
      <c r="AO148" s="92"/>
      <c r="AP148" s="92"/>
      <c r="AQ148" s="92"/>
      <c r="AR148" s="92"/>
      <c r="AS148" s="92"/>
      <c r="AT148" s="92"/>
      <c r="AU148" s="92"/>
      <c r="AV148" s="92"/>
      <c r="AW148" s="92"/>
      <c r="AX148" s="92"/>
      <c r="AY148" s="92"/>
      <c r="AZ148" s="92"/>
      <c r="BA148" s="92"/>
      <c r="BB148" s="92"/>
      <c r="BC148" s="92"/>
      <c r="BD148" s="92"/>
      <c r="BE148" s="92"/>
      <c r="BF148" s="92"/>
      <c r="BG148" s="92"/>
      <c r="BH148" s="92"/>
      <c r="BI148" s="92"/>
      <c r="BJ148" s="92"/>
      <c r="BK148" s="92"/>
      <c r="BL148" s="92"/>
      <c r="BM148" s="92"/>
      <c r="BN148" s="92"/>
      <c r="BO148" s="92"/>
      <c r="BP148" s="92"/>
      <c r="BQ148" s="92"/>
      <c r="BR148" s="92"/>
      <c r="BS148" s="92"/>
      <c r="BT148" s="92"/>
      <c r="BU148" s="92"/>
      <c r="BV148" s="92"/>
      <c r="BW148" s="92"/>
      <c r="BX148" s="92"/>
      <c r="BY148" s="92"/>
      <c r="BZ148" s="92"/>
      <c r="CA148" s="92"/>
      <c r="CB148" s="92"/>
      <c r="CC148" s="92"/>
      <c r="CD148" s="92"/>
      <c r="CE148" s="92"/>
      <c r="CF148" s="92"/>
      <c r="CG148" s="92"/>
      <c r="CH148" s="92"/>
      <c r="CI148" s="92"/>
      <c r="CJ148" s="92"/>
      <c r="CK148" s="92"/>
      <c r="CL148" s="92"/>
      <c r="CM148" s="92"/>
      <c r="CN148" s="92"/>
      <c r="CO148" s="92"/>
      <c r="CP148" s="92"/>
      <c r="CQ148" s="92"/>
      <c r="CR148" s="92"/>
      <c r="CS148" s="92"/>
      <c r="CT148" s="92"/>
      <c r="CU148" s="92"/>
      <c r="CV148" s="92"/>
      <c r="CW148" s="92"/>
      <c r="CX148" s="92"/>
      <c r="CY148" s="92"/>
      <c r="CZ148" s="92"/>
      <c r="DA148" s="92"/>
      <c r="DB148" s="92"/>
      <c r="DC148" s="92"/>
      <c r="DD148" s="92"/>
      <c r="DE148" s="92"/>
      <c r="DF148" s="92"/>
      <c r="DG148" s="92"/>
      <c r="DH148" s="92"/>
      <c r="DI148" s="92"/>
      <c r="DJ148" s="92"/>
      <c r="DK148" s="92"/>
      <c r="DL148" s="92"/>
      <c r="DM148" s="92"/>
      <c r="DN148" s="92"/>
      <c r="DO148" s="92"/>
      <c r="DP148" s="92"/>
      <c r="DQ148" s="92"/>
      <c r="DR148" s="92"/>
      <c r="DS148" s="92"/>
      <c r="DT148" s="92"/>
      <c r="DU148" s="92"/>
      <c r="DV148" s="92"/>
      <c r="DW148" s="92"/>
      <c r="DX148" s="92"/>
      <c r="DY148" s="92"/>
      <c r="DZ148" s="92"/>
      <c r="EA148" s="92"/>
      <c r="EB148" s="92"/>
      <c r="EC148" s="92"/>
      <c r="ED148" s="92"/>
      <c r="EE148" s="92"/>
      <c r="EF148" s="92"/>
      <c r="EG148" s="92"/>
      <c r="EH148" s="92"/>
      <c r="EI148" s="92"/>
      <c r="EJ148" s="92"/>
      <c r="EK148" s="92"/>
      <c r="EL148" s="92"/>
      <c r="EM148" s="92"/>
      <c r="EN148" s="92"/>
      <c r="EO148" s="92"/>
      <c r="EP148" s="92"/>
    </row>
    <row r="149" spans="10:146" x14ac:dyDescent="0.25">
      <c r="J149" s="92"/>
      <c r="K149" s="92"/>
      <c r="L149" s="92"/>
      <c r="M149" s="92"/>
      <c r="N149" s="92"/>
      <c r="O149" s="92"/>
      <c r="P149" s="92"/>
      <c r="Q149" s="92"/>
      <c r="R149" s="92"/>
      <c r="S149" s="92"/>
      <c r="T149" s="92"/>
      <c r="U149" s="92"/>
      <c r="V149" s="92"/>
      <c r="W149" s="92"/>
      <c r="X149" s="92"/>
      <c r="Y149" s="92"/>
      <c r="Z149" s="92"/>
      <c r="AA149" s="92"/>
      <c r="AB149" s="92"/>
      <c r="AC149" s="92"/>
      <c r="AD149" s="92"/>
      <c r="AE149" s="92"/>
      <c r="AF149" s="92"/>
      <c r="AG149" s="92"/>
      <c r="AH149" s="92"/>
      <c r="AI149" s="92"/>
      <c r="AJ149" s="92"/>
      <c r="AK149" s="92"/>
      <c r="AL149" s="92"/>
      <c r="AM149" s="92"/>
      <c r="AN149" s="92"/>
      <c r="AO149" s="92"/>
      <c r="AP149" s="92"/>
      <c r="AQ149" s="92"/>
      <c r="AR149" s="92"/>
      <c r="AS149" s="92"/>
      <c r="AT149" s="92"/>
      <c r="AU149" s="92"/>
      <c r="AV149" s="92"/>
      <c r="AW149" s="92"/>
      <c r="AX149" s="92"/>
      <c r="AY149" s="92"/>
      <c r="AZ149" s="92"/>
      <c r="BA149" s="92"/>
      <c r="BB149" s="92"/>
      <c r="BC149" s="92"/>
      <c r="BD149" s="92"/>
      <c r="BE149" s="92"/>
      <c r="BF149" s="92"/>
      <c r="BG149" s="92"/>
      <c r="BH149" s="92"/>
      <c r="BI149" s="92"/>
      <c r="BJ149" s="92"/>
      <c r="BK149" s="92"/>
      <c r="BL149" s="92"/>
      <c r="BM149" s="92"/>
      <c r="BN149" s="92"/>
      <c r="BO149" s="92"/>
      <c r="BP149" s="92"/>
      <c r="BQ149" s="92"/>
      <c r="BR149" s="92"/>
      <c r="BS149" s="92"/>
      <c r="BT149" s="92"/>
      <c r="BU149" s="92"/>
      <c r="BV149" s="92"/>
      <c r="BW149" s="92"/>
      <c r="BX149" s="92"/>
      <c r="BY149" s="92"/>
      <c r="BZ149" s="92"/>
      <c r="CA149" s="92"/>
      <c r="CB149" s="92"/>
      <c r="CC149" s="92"/>
      <c r="CD149" s="92"/>
      <c r="CE149" s="92"/>
      <c r="CF149" s="92"/>
      <c r="CG149" s="92"/>
      <c r="CH149" s="92"/>
      <c r="CI149" s="92"/>
      <c r="CJ149" s="92"/>
      <c r="CK149" s="92"/>
      <c r="CL149" s="92"/>
      <c r="CM149" s="92"/>
      <c r="CN149" s="92"/>
      <c r="CO149" s="92"/>
      <c r="CP149" s="92"/>
      <c r="CQ149" s="92"/>
      <c r="CR149" s="92"/>
      <c r="CS149" s="92"/>
      <c r="CT149" s="92"/>
      <c r="CU149" s="92"/>
      <c r="CV149" s="92"/>
      <c r="CW149" s="92"/>
      <c r="CX149" s="92"/>
      <c r="CY149" s="92"/>
      <c r="CZ149" s="92"/>
      <c r="DA149" s="92"/>
      <c r="DB149" s="92"/>
      <c r="DC149" s="92"/>
      <c r="DD149" s="92"/>
      <c r="DE149" s="92"/>
      <c r="DF149" s="92"/>
      <c r="DG149" s="92"/>
      <c r="DH149" s="92"/>
      <c r="DI149" s="92"/>
      <c r="DJ149" s="92"/>
      <c r="DK149" s="92"/>
      <c r="DL149" s="92"/>
      <c r="DM149" s="92"/>
      <c r="DN149" s="92"/>
      <c r="DO149" s="92"/>
      <c r="DP149" s="92"/>
      <c r="DQ149" s="92"/>
      <c r="DR149" s="92"/>
      <c r="DS149" s="92"/>
      <c r="DT149" s="92"/>
      <c r="DU149" s="92"/>
      <c r="DV149" s="92"/>
      <c r="DW149" s="92"/>
      <c r="DX149" s="92"/>
      <c r="DY149" s="92"/>
      <c r="DZ149" s="92"/>
      <c r="EA149" s="92"/>
      <c r="EB149" s="92"/>
      <c r="EC149" s="92"/>
      <c r="ED149" s="92"/>
      <c r="EE149" s="92"/>
      <c r="EF149" s="92"/>
      <c r="EG149" s="92"/>
      <c r="EH149" s="92"/>
      <c r="EI149" s="92"/>
      <c r="EJ149" s="92"/>
      <c r="EK149" s="92"/>
      <c r="EL149" s="92"/>
      <c r="EM149" s="92"/>
      <c r="EN149" s="92"/>
      <c r="EO149" s="92"/>
      <c r="EP149" s="92"/>
    </row>
    <row r="150" spans="10:146" x14ac:dyDescent="0.25">
      <c r="J150" s="92"/>
      <c r="K150" s="92"/>
      <c r="L150" s="92"/>
      <c r="M150" s="92"/>
      <c r="N150" s="92"/>
      <c r="O150" s="92"/>
      <c r="P150" s="92"/>
      <c r="Q150" s="92"/>
      <c r="R150" s="92"/>
      <c r="S150" s="92"/>
      <c r="T150" s="92"/>
      <c r="U150" s="92"/>
      <c r="V150" s="92"/>
      <c r="W150" s="92"/>
      <c r="X150" s="92"/>
      <c r="Y150" s="92"/>
      <c r="Z150" s="92"/>
      <c r="AA150" s="92"/>
      <c r="AB150" s="92"/>
      <c r="AC150" s="92"/>
      <c r="AD150" s="92"/>
      <c r="AE150" s="92"/>
      <c r="AF150" s="92"/>
      <c r="AG150" s="92"/>
      <c r="AH150" s="92"/>
      <c r="AI150" s="92"/>
      <c r="AJ150" s="92"/>
      <c r="AK150" s="92"/>
      <c r="AL150" s="92"/>
      <c r="AM150" s="92"/>
      <c r="AN150" s="92"/>
      <c r="AO150" s="92"/>
      <c r="AP150" s="92"/>
      <c r="AQ150" s="92"/>
      <c r="AR150" s="92"/>
      <c r="AS150" s="92"/>
      <c r="AT150" s="92"/>
      <c r="AU150" s="92"/>
      <c r="AV150" s="92"/>
      <c r="AW150" s="92"/>
      <c r="AX150" s="92"/>
      <c r="AY150" s="92"/>
      <c r="AZ150" s="92"/>
      <c r="BA150" s="92"/>
      <c r="BB150" s="92"/>
      <c r="BC150" s="92"/>
      <c r="BD150" s="92"/>
      <c r="BE150" s="92"/>
      <c r="BF150" s="92"/>
      <c r="BG150" s="92"/>
      <c r="BH150" s="92"/>
      <c r="BI150" s="92"/>
      <c r="BJ150" s="92"/>
      <c r="BK150" s="92"/>
      <c r="BL150" s="92"/>
      <c r="BM150" s="92"/>
      <c r="BN150" s="92"/>
      <c r="BO150" s="92"/>
      <c r="BP150" s="92"/>
      <c r="BQ150" s="92"/>
      <c r="BR150" s="92"/>
      <c r="BS150" s="92"/>
      <c r="BT150" s="92"/>
      <c r="BU150" s="92"/>
      <c r="BV150" s="92"/>
      <c r="BW150" s="92"/>
      <c r="BX150" s="92"/>
      <c r="BY150" s="92"/>
      <c r="BZ150" s="92"/>
      <c r="CA150" s="92"/>
      <c r="CB150" s="92"/>
      <c r="CC150" s="92"/>
      <c r="CD150" s="92"/>
      <c r="CE150" s="92"/>
      <c r="CF150" s="92"/>
      <c r="CG150" s="92"/>
      <c r="CH150" s="92"/>
      <c r="CI150" s="92"/>
      <c r="CJ150" s="92"/>
      <c r="CK150" s="92"/>
      <c r="CL150" s="92"/>
      <c r="CM150" s="92"/>
      <c r="CN150" s="92"/>
      <c r="CO150" s="92"/>
      <c r="CP150" s="92"/>
      <c r="CQ150" s="92"/>
      <c r="CR150" s="92"/>
      <c r="CS150" s="92"/>
      <c r="CT150" s="92"/>
      <c r="CU150" s="92"/>
      <c r="CV150" s="92"/>
      <c r="CW150" s="92"/>
      <c r="CX150" s="92"/>
      <c r="CY150" s="92"/>
      <c r="CZ150" s="92"/>
      <c r="DA150" s="92"/>
      <c r="DB150" s="92"/>
      <c r="DC150" s="92"/>
      <c r="DD150" s="92"/>
      <c r="DE150" s="92"/>
      <c r="DF150" s="92"/>
      <c r="DG150" s="92"/>
      <c r="DH150" s="92"/>
      <c r="DI150" s="92"/>
      <c r="DJ150" s="92"/>
      <c r="DK150" s="92"/>
      <c r="DL150" s="92"/>
      <c r="DM150" s="92"/>
      <c r="DN150" s="92"/>
      <c r="DO150" s="92"/>
      <c r="DP150" s="92"/>
      <c r="DQ150" s="92"/>
      <c r="DR150" s="92"/>
      <c r="DS150" s="92"/>
      <c r="DT150" s="92"/>
      <c r="DU150" s="92"/>
      <c r="DV150" s="92"/>
      <c r="DW150" s="92"/>
      <c r="DX150" s="92"/>
      <c r="DY150" s="92"/>
      <c r="DZ150" s="92"/>
      <c r="EA150" s="92"/>
      <c r="EB150" s="92"/>
      <c r="EC150" s="92"/>
      <c r="ED150" s="92"/>
      <c r="EE150" s="92"/>
      <c r="EF150" s="92"/>
      <c r="EG150" s="92"/>
      <c r="EH150" s="92"/>
      <c r="EI150" s="92"/>
      <c r="EJ150" s="92"/>
      <c r="EK150" s="92"/>
      <c r="EL150" s="92"/>
      <c r="EM150" s="92"/>
      <c r="EN150" s="92"/>
      <c r="EO150" s="92"/>
      <c r="EP150" s="92"/>
    </row>
    <row r="151" spans="10:146" x14ac:dyDescent="0.25">
      <c r="J151" s="92"/>
      <c r="K151" s="92"/>
      <c r="L151" s="92"/>
      <c r="M151" s="92"/>
      <c r="N151" s="92"/>
      <c r="O151" s="92"/>
      <c r="P151" s="92"/>
      <c r="Q151" s="92"/>
      <c r="R151" s="92"/>
      <c r="S151" s="92"/>
      <c r="T151" s="92"/>
      <c r="U151" s="92"/>
      <c r="V151" s="92"/>
      <c r="W151" s="92"/>
      <c r="X151" s="92"/>
      <c r="Y151" s="92"/>
      <c r="Z151" s="92"/>
      <c r="AA151" s="92"/>
      <c r="AB151" s="92"/>
      <c r="AC151" s="92"/>
      <c r="AD151" s="92"/>
      <c r="AE151" s="92"/>
      <c r="AF151" s="92"/>
      <c r="AG151" s="92"/>
      <c r="AH151" s="92"/>
      <c r="AI151" s="92"/>
      <c r="AJ151" s="92"/>
      <c r="AK151" s="92"/>
      <c r="AL151" s="92"/>
      <c r="AM151" s="92"/>
      <c r="AN151" s="92"/>
      <c r="AO151" s="92"/>
      <c r="AP151" s="92"/>
      <c r="AQ151" s="92"/>
      <c r="AR151" s="92"/>
      <c r="AS151" s="92"/>
      <c r="AT151" s="92"/>
      <c r="AU151" s="92"/>
      <c r="AV151" s="92"/>
      <c r="AW151" s="92"/>
      <c r="AX151" s="92"/>
      <c r="AY151" s="92"/>
      <c r="AZ151" s="92"/>
      <c r="BA151" s="92"/>
      <c r="BB151" s="92"/>
      <c r="BC151" s="92"/>
      <c r="BD151" s="92"/>
      <c r="BE151" s="92"/>
      <c r="BF151" s="92"/>
      <c r="BG151" s="92"/>
      <c r="BH151" s="92"/>
      <c r="BI151" s="92"/>
      <c r="BJ151" s="92"/>
      <c r="BK151" s="92"/>
      <c r="BL151" s="92"/>
      <c r="BM151" s="92"/>
      <c r="BN151" s="92"/>
      <c r="BO151" s="92"/>
      <c r="BP151" s="92"/>
      <c r="BQ151" s="92"/>
      <c r="BR151" s="92"/>
      <c r="BS151" s="92"/>
      <c r="BT151" s="92"/>
      <c r="BU151" s="92"/>
      <c r="BV151" s="92"/>
      <c r="BW151" s="92"/>
      <c r="BX151" s="92"/>
      <c r="BY151" s="92"/>
      <c r="BZ151" s="92"/>
      <c r="CA151" s="92"/>
      <c r="CB151" s="92"/>
      <c r="CC151" s="92"/>
      <c r="CD151" s="92"/>
      <c r="CE151" s="92"/>
      <c r="CF151" s="92"/>
      <c r="CG151" s="92"/>
      <c r="CH151" s="92"/>
      <c r="CI151" s="92"/>
      <c r="CJ151" s="92"/>
      <c r="CK151" s="92"/>
      <c r="CL151" s="92"/>
      <c r="CM151" s="92"/>
      <c r="CN151" s="92"/>
      <c r="CO151" s="92"/>
      <c r="CP151" s="92"/>
      <c r="CQ151" s="92"/>
      <c r="CR151" s="92"/>
      <c r="CS151" s="92"/>
      <c r="CT151" s="92"/>
      <c r="CU151" s="92"/>
      <c r="CV151" s="92"/>
      <c r="CW151" s="92"/>
      <c r="CX151" s="92"/>
      <c r="CY151" s="92"/>
      <c r="CZ151" s="92"/>
      <c r="DA151" s="92"/>
      <c r="DB151" s="92"/>
      <c r="DC151" s="92"/>
      <c r="DD151" s="92"/>
      <c r="DE151" s="92"/>
      <c r="DF151" s="92"/>
      <c r="DG151" s="92"/>
      <c r="DH151" s="92"/>
      <c r="DI151" s="92"/>
      <c r="DJ151" s="92"/>
      <c r="DK151" s="92"/>
      <c r="DL151" s="92"/>
      <c r="DM151" s="92"/>
      <c r="DN151" s="92"/>
      <c r="DO151" s="92"/>
      <c r="DP151" s="92"/>
      <c r="DQ151" s="92"/>
      <c r="DR151" s="92"/>
      <c r="DS151" s="92"/>
      <c r="DT151" s="92"/>
      <c r="DU151" s="92"/>
      <c r="DV151" s="92"/>
      <c r="DW151" s="92"/>
      <c r="DX151" s="92"/>
      <c r="DY151" s="92"/>
      <c r="DZ151" s="92"/>
      <c r="EA151" s="92"/>
      <c r="EB151" s="92"/>
      <c r="EC151" s="92"/>
      <c r="ED151" s="92"/>
      <c r="EE151" s="92"/>
      <c r="EF151" s="92"/>
      <c r="EG151" s="92"/>
      <c r="EH151" s="92"/>
      <c r="EI151" s="92"/>
      <c r="EJ151" s="92"/>
      <c r="EK151" s="92"/>
      <c r="EL151" s="92"/>
      <c r="EM151" s="92"/>
      <c r="EN151" s="92"/>
      <c r="EO151" s="92"/>
      <c r="EP151" s="92"/>
    </row>
    <row r="152" spans="10:146" x14ac:dyDescent="0.25">
      <c r="J152" s="92"/>
      <c r="K152" s="92"/>
      <c r="L152" s="92"/>
      <c r="M152" s="92"/>
      <c r="N152" s="92"/>
      <c r="O152" s="92"/>
      <c r="P152" s="92"/>
      <c r="Q152" s="92"/>
      <c r="R152" s="92"/>
      <c r="S152" s="92"/>
      <c r="T152" s="92"/>
      <c r="U152" s="92"/>
      <c r="V152" s="92"/>
      <c r="W152" s="92"/>
      <c r="X152" s="92"/>
      <c r="Y152" s="92"/>
      <c r="Z152" s="92"/>
      <c r="AA152" s="92"/>
      <c r="AB152" s="92"/>
      <c r="AC152" s="92"/>
      <c r="AD152" s="92"/>
      <c r="AE152" s="92"/>
      <c r="AF152" s="92"/>
      <c r="AG152" s="92"/>
      <c r="AH152" s="92"/>
      <c r="AI152" s="92"/>
      <c r="AJ152" s="92"/>
      <c r="AK152" s="92"/>
      <c r="AL152" s="92"/>
      <c r="AM152" s="92"/>
      <c r="AN152" s="92"/>
      <c r="AO152" s="92"/>
      <c r="AP152" s="92"/>
      <c r="AQ152" s="92"/>
      <c r="AR152" s="92"/>
      <c r="AS152" s="92"/>
      <c r="AT152" s="92"/>
      <c r="AU152" s="92"/>
      <c r="AV152" s="92"/>
      <c r="AW152" s="92"/>
      <c r="AX152" s="92"/>
      <c r="AY152" s="92"/>
      <c r="AZ152" s="92"/>
      <c r="BA152" s="92"/>
      <c r="BB152" s="92"/>
      <c r="BC152" s="92"/>
      <c r="BD152" s="92"/>
      <c r="BE152" s="92"/>
      <c r="BF152" s="92"/>
      <c r="BG152" s="92"/>
      <c r="BH152" s="92"/>
      <c r="BI152" s="92"/>
      <c r="BJ152" s="92"/>
      <c r="BK152" s="92"/>
      <c r="BL152" s="92"/>
      <c r="BM152" s="92"/>
      <c r="BN152" s="92"/>
      <c r="BO152" s="92"/>
      <c r="BP152" s="92"/>
      <c r="BQ152" s="92"/>
      <c r="BR152" s="92"/>
      <c r="BS152" s="92"/>
      <c r="BT152" s="92"/>
      <c r="BU152" s="92"/>
      <c r="BV152" s="92"/>
      <c r="BW152" s="92"/>
      <c r="BX152" s="92"/>
      <c r="BY152" s="92"/>
      <c r="BZ152" s="92"/>
      <c r="CA152" s="92"/>
      <c r="CB152" s="92"/>
      <c r="CC152" s="92"/>
      <c r="CD152" s="92"/>
      <c r="CE152" s="92"/>
      <c r="CF152" s="92"/>
      <c r="CG152" s="92"/>
      <c r="CH152" s="92"/>
      <c r="CI152" s="92"/>
      <c r="CJ152" s="92"/>
      <c r="CK152" s="92"/>
      <c r="CL152" s="92"/>
      <c r="CM152" s="92"/>
      <c r="CN152" s="92"/>
      <c r="CO152" s="92"/>
      <c r="CP152" s="92"/>
      <c r="CQ152" s="92"/>
      <c r="CR152" s="92"/>
      <c r="CS152" s="92"/>
      <c r="CT152" s="92"/>
      <c r="CU152" s="92"/>
      <c r="CV152" s="92"/>
      <c r="CW152" s="92"/>
      <c r="CX152" s="92"/>
      <c r="CY152" s="92"/>
      <c r="CZ152" s="92"/>
      <c r="DA152" s="92"/>
      <c r="DB152" s="92"/>
      <c r="DC152" s="92"/>
      <c r="DD152" s="92"/>
      <c r="DE152" s="92"/>
      <c r="DF152" s="92"/>
      <c r="DG152" s="92"/>
      <c r="DH152" s="92"/>
      <c r="DI152" s="92"/>
      <c r="DJ152" s="92"/>
      <c r="DK152" s="92"/>
      <c r="DL152" s="92"/>
      <c r="DM152" s="92"/>
      <c r="DN152" s="92"/>
      <c r="DO152" s="92"/>
      <c r="DP152" s="92"/>
      <c r="DQ152" s="92"/>
      <c r="DR152" s="92"/>
      <c r="DS152" s="92"/>
      <c r="DT152" s="92"/>
      <c r="DU152" s="92"/>
      <c r="DV152" s="92"/>
      <c r="DW152" s="92"/>
      <c r="DX152" s="92"/>
      <c r="DY152" s="92"/>
      <c r="DZ152" s="92"/>
      <c r="EA152" s="92"/>
      <c r="EB152" s="92"/>
      <c r="EC152" s="92"/>
      <c r="ED152" s="92"/>
      <c r="EE152" s="92"/>
      <c r="EF152" s="92"/>
      <c r="EG152" s="92"/>
      <c r="EH152" s="92"/>
      <c r="EI152" s="92"/>
      <c r="EJ152" s="92"/>
      <c r="EK152" s="92"/>
      <c r="EL152" s="92"/>
      <c r="EM152" s="92"/>
      <c r="EN152" s="92"/>
      <c r="EO152" s="92"/>
      <c r="EP152" s="92"/>
    </row>
    <row r="153" spans="10:146" x14ac:dyDescent="0.25">
      <c r="J153" s="92"/>
      <c r="K153" s="92"/>
      <c r="L153" s="92"/>
      <c r="M153" s="92"/>
      <c r="N153" s="92"/>
      <c r="O153" s="92"/>
      <c r="P153" s="92"/>
      <c r="Q153" s="92"/>
      <c r="R153" s="92"/>
      <c r="S153" s="92"/>
      <c r="T153" s="92"/>
      <c r="U153" s="92"/>
      <c r="V153" s="92"/>
      <c r="W153" s="92"/>
      <c r="X153" s="92"/>
      <c r="Y153" s="92"/>
      <c r="Z153" s="92"/>
      <c r="AA153" s="92"/>
      <c r="AB153" s="92"/>
      <c r="AC153" s="92"/>
      <c r="AD153" s="92"/>
      <c r="AE153" s="92"/>
      <c r="AF153" s="92"/>
      <c r="AG153" s="92"/>
      <c r="AH153" s="92"/>
      <c r="AI153" s="92"/>
      <c r="AJ153" s="92"/>
      <c r="AK153" s="92"/>
      <c r="AL153" s="92"/>
      <c r="AM153" s="92"/>
      <c r="AN153" s="92"/>
      <c r="AO153" s="92"/>
      <c r="AP153" s="92"/>
      <c r="AQ153" s="92"/>
      <c r="AR153" s="92"/>
      <c r="AS153" s="92"/>
      <c r="AT153" s="92"/>
      <c r="AU153" s="92"/>
      <c r="AV153" s="92"/>
      <c r="AW153" s="92"/>
      <c r="AX153" s="92"/>
      <c r="AY153" s="92"/>
      <c r="AZ153" s="92"/>
      <c r="BA153" s="92"/>
      <c r="BB153" s="92"/>
      <c r="BC153" s="92"/>
      <c r="BD153" s="92"/>
      <c r="BE153" s="92"/>
      <c r="BF153" s="92"/>
      <c r="BG153" s="92"/>
      <c r="BH153" s="92"/>
      <c r="BI153" s="92"/>
      <c r="BJ153" s="92"/>
      <c r="BK153" s="92"/>
      <c r="BL153" s="92"/>
      <c r="BM153" s="92"/>
      <c r="BN153" s="92"/>
      <c r="BO153" s="92"/>
      <c r="BP153" s="92"/>
      <c r="BQ153" s="92"/>
      <c r="BR153" s="92"/>
      <c r="BS153" s="92"/>
      <c r="BT153" s="92"/>
      <c r="BU153" s="92"/>
      <c r="BV153" s="92"/>
      <c r="BW153" s="92"/>
      <c r="BX153" s="92"/>
      <c r="BY153" s="92"/>
      <c r="BZ153" s="92"/>
      <c r="CA153" s="92"/>
      <c r="CB153" s="92"/>
      <c r="CC153" s="92"/>
      <c r="CD153" s="92"/>
      <c r="CE153" s="92"/>
      <c r="CF153" s="92"/>
      <c r="CG153" s="92"/>
      <c r="CH153" s="92"/>
      <c r="CI153" s="92"/>
      <c r="CJ153" s="92"/>
      <c r="CK153" s="92"/>
      <c r="CL153" s="92"/>
      <c r="CM153" s="92"/>
      <c r="CN153" s="92"/>
      <c r="CO153" s="92"/>
      <c r="CP153" s="92"/>
      <c r="CQ153" s="92"/>
      <c r="CR153" s="92"/>
      <c r="CS153" s="92"/>
      <c r="CT153" s="92"/>
      <c r="CU153" s="92"/>
      <c r="CV153" s="92"/>
      <c r="CW153" s="92"/>
      <c r="CX153" s="92"/>
      <c r="CY153" s="92"/>
      <c r="CZ153" s="92"/>
      <c r="DA153" s="92"/>
      <c r="DB153" s="92"/>
      <c r="DC153" s="92"/>
      <c r="DD153" s="92"/>
      <c r="DE153" s="92"/>
      <c r="DF153" s="92"/>
      <c r="DG153" s="92"/>
      <c r="DH153" s="92"/>
      <c r="DI153" s="92"/>
      <c r="DJ153" s="92"/>
      <c r="DK153" s="92"/>
      <c r="DL153" s="92"/>
      <c r="DM153" s="92"/>
      <c r="DN153" s="92"/>
      <c r="DO153" s="92"/>
      <c r="DP153" s="92"/>
      <c r="DQ153" s="92"/>
      <c r="DR153" s="92"/>
      <c r="DS153" s="92"/>
      <c r="DT153" s="92"/>
      <c r="DU153" s="92"/>
      <c r="DV153" s="92"/>
      <c r="DW153" s="92"/>
      <c r="DX153" s="92"/>
      <c r="DY153" s="92"/>
      <c r="DZ153" s="92"/>
      <c r="EA153" s="92"/>
      <c r="EB153" s="92"/>
      <c r="EC153" s="92"/>
      <c r="ED153" s="92"/>
      <c r="EE153" s="92"/>
      <c r="EF153" s="92"/>
      <c r="EG153" s="92"/>
      <c r="EH153" s="92"/>
      <c r="EI153" s="92"/>
      <c r="EJ153" s="92"/>
      <c r="EK153" s="92"/>
      <c r="EL153" s="92"/>
      <c r="EM153" s="92"/>
      <c r="EN153" s="92"/>
      <c r="EO153" s="92"/>
      <c r="EP153" s="92"/>
    </row>
    <row r="154" spans="10:146" x14ac:dyDescent="0.25">
      <c r="J154" s="92"/>
      <c r="K154" s="92"/>
      <c r="L154" s="92"/>
      <c r="M154" s="92"/>
      <c r="N154" s="92"/>
      <c r="O154" s="92"/>
      <c r="P154" s="92"/>
      <c r="Q154" s="92"/>
      <c r="R154" s="92"/>
      <c r="S154" s="92"/>
      <c r="T154" s="92"/>
      <c r="U154" s="92"/>
      <c r="V154" s="92"/>
      <c r="W154" s="92"/>
      <c r="X154" s="92"/>
      <c r="Y154" s="92"/>
      <c r="Z154" s="92"/>
      <c r="AA154" s="92"/>
      <c r="AB154" s="92"/>
      <c r="AC154" s="92"/>
      <c r="AD154" s="92"/>
      <c r="AE154" s="92"/>
      <c r="AF154" s="92"/>
      <c r="AG154" s="92"/>
      <c r="AH154" s="92"/>
      <c r="AI154" s="92"/>
      <c r="AJ154" s="92"/>
      <c r="AK154" s="92"/>
      <c r="AL154" s="92"/>
      <c r="AM154" s="92"/>
      <c r="AN154" s="92"/>
      <c r="AO154" s="92"/>
      <c r="AP154" s="92"/>
      <c r="AQ154" s="92"/>
      <c r="AR154" s="92"/>
      <c r="AS154" s="92"/>
      <c r="AT154" s="92"/>
      <c r="AU154" s="92"/>
      <c r="AV154" s="92"/>
      <c r="AW154" s="92"/>
      <c r="AX154" s="92"/>
      <c r="AY154" s="92"/>
      <c r="AZ154" s="92"/>
      <c r="BA154" s="92"/>
      <c r="BB154" s="92"/>
      <c r="BC154" s="92"/>
      <c r="BD154" s="92"/>
      <c r="BE154" s="92"/>
      <c r="BF154" s="92"/>
      <c r="BG154" s="92"/>
      <c r="BH154" s="92"/>
      <c r="BI154" s="92"/>
      <c r="BJ154" s="92"/>
      <c r="BK154" s="92"/>
      <c r="BL154" s="92"/>
      <c r="BM154" s="92"/>
      <c r="BN154" s="92"/>
      <c r="BO154" s="92"/>
      <c r="BP154" s="92"/>
      <c r="BQ154" s="92"/>
      <c r="BR154" s="92"/>
      <c r="BS154" s="92"/>
      <c r="BT154" s="92"/>
      <c r="BU154" s="92"/>
      <c r="BV154" s="92"/>
      <c r="BW154" s="92"/>
      <c r="BX154" s="92"/>
      <c r="BY154" s="92"/>
      <c r="BZ154" s="92"/>
      <c r="CA154" s="92"/>
      <c r="CB154" s="92"/>
      <c r="CC154" s="92"/>
      <c r="CD154" s="92"/>
      <c r="CE154" s="92"/>
      <c r="CF154" s="92"/>
      <c r="CG154" s="92"/>
      <c r="CH154" s="92"/>
      <c r="CI154" s="92"/>
      <c r="CJ154" s="92"/>
      <c r="CK154" s="92"/>
      <c r="CL154" s="92"/>
      <c r="CM154" s="92"/>
      <c r="CN154" s="92"/>
      <c r="CO154" s="92"/>
      <c r="CP154" s="92"/>
      <c r="CQ154" s="92"/>
      <c r="CR154" s="92"/>
      <c r="CS154" s="92"/>
      <c r="CT154" s="92"/>
      <c r="CU154" s="92"/>
      <c r="CV154" s="92"/>
      <c r="CW154" s="92"/>
      <c r="CX154" s="92"/>
      <c r="CY154" s="92"/>
      <c r="CZ154" s="92"/>
      <c r="DA154" s="92"/>
      <c r="DB154" s="92"/>
      <c r="DC154" s="92"/>
      <c r="DD154" s="92"/>
      <c r="DE154" s="92"/>
      <c r="DF154" s="92"/>
      <c r="DG154" s="92"/>
      <c r="DH154" s="92"/>
      <c r="DI154" s="92"/>
      <c r="DJ154" s="92"/>
      <c r="DK154" s="92"/>
      <c r="DL154" s="92"/>
      <c r="DM154" s="92"/>
      <c r="DN154" s="92"/>
      <c r="DO154" s="92"/>
      <c r="DP154" s="92"/>
      <c r="DQ154" s="92"/>
      <c r="DR154" s="92"/>
      <c r="DS154" s="92"/>
      <c r="DT154" s="92"/>
      <c r="DU154" s="92"/>
      <c r="DV154" s="92"/>
      <c r="DW154" s="92"/>
      <c r="DX154" s="92"/>
      <c r="DY154" s="92"/>
      <c r="DZ154" s="92"/>
      <c r="EA154" s="92"/>
      <c r="EB154" s="92"/>
      <c r="EC154" s="92"/>
      <c r="ED154" s="92"/>
      <c r="EE154" s="92"/>
      <c r="EF154" s="92"/>
      <c r="EG154" s="92"/>
      <c r="EH154" s="92"/>
      <c r="EI154" s="92"/>
      <c r="EJ154" s="92"/>
      <c r="EK154" s="92"/>
      <c r="EL154" s="92"/>
      <c r="EM154" s="92"/>
      <c r="EN154" s="92"/>
      <c r="EO154" s="92"/>
      <c r="EP154" s="92"/>
    </row>
    <row r="155" spans="10:146" x14ac:dyDescent="0.25">
      <c r="J155" s="92"/>
      <c r="K155" s="92"/>
      <c r="L155" s="92"/>
      <c r="M155" s="92"/>
      <c r="N155" s="92"/>
      <c r="O155" s="92"/>
      <c r="P155" s="92"/>
      <c r="Q155" s="92"/>
      <c r="R155" s="92"/>
      <c r="S155" s="92"/>
      <c r="T155" s="92"/>
      <c r="U155" s="92"/>
      <c r="V155" s="92"/>
      <c r="W155" s="92"/>
      <c r="X155" s="92"/>
      <c r="Y155" s="92"/>
      <c r="Z155" s="92"/>
      <c r="AA155" s="92"/>
      <c r="AB155" s="92"/>
      <c r="AC155" s="92"/>
      <c r="AD155" s="92"/>
      <c r="AE155" s="92"/>
      <c r="AF155" s="92"/>
      <c r="AG155" s="92"/>
      <c r="AH155" s="92"/>
      <c r="AI155" s="92"/>
      <c r="AJ155" s="92"/>
      <c r="AK155" s="92"/>
      <c r="AL155" s="92"/>
      <c r="AM155" s="92"/>
      <c r="AN155" s="92"/>
      <c r="AO155" s="92"/>
      <c r="AP155" s="92"/>
      <c r="AQ155" s="92"/>
      <c r="AR155" s="92"/>
      <c r="AS155" s="92"/>
      <c r="AT155" s="92"/>
      <c r="AU155" s="92"/>
      <c r="AV155" s="92"/>
      <c r="AW155" s="92"/>
      <c r="AX155" s="92"/>
      <c r="AY155" s="92"/>
      <c r="AZ155" s="92"/>
      <c r="BA155" s="92"/>
      <c r="BB155" s="92"/>
      <c r="BC155" s="92"/>
      <c r="BD155" s="92"/>
      <c r="BE155" s="92"/>
      <c r="BF155" s="92"/>
      <c r="BG155" s="92"/>
      <c r="BH155" s="92"/>
      <c r="BI155" s="92"/>
      <c r="BJ155" s="92"/>
      <c r="BK155" s="92"/>
      <c r="BL155" s="92"/>
      <c r="BM155" s="92"/>
      <c r="BN155" s="92"/>
      <c r="BO155" s="92"/>
      <c r="BP155" s="92"/>
      <c r="BQ155" s="92"/>
      <c r="BR155" s="92"/>
      <c r="BS155" s="92"/>
      <c r="BT155" s="92"/>
      <c r="BU155" s="92"/>
      <c r="BV155" s="92"/>
      <c r="BW155" s="92"/>
      <c r="BX155" s="92"/>
      <c r="BY155" s="92"/>
      <c r="BZ155" s="92"/>
      <c r="CA155" s="92"/>
      <c r="CB155" s="92"/>
      <c r="CC155" s="92"/>
      <c r="CD155" s="92"/>
      <c r="CE155" s="92"/>
      <c r="CF155" s="92"/>
      <c r="CG155" s="92"/>
      <c r="CH155" s="92"/>
      <c r="CI155" s="92"/>
      <c r="CJ155" s="92"/>
      <c r="CK155" s="92"/>
      <c r="CL155" s="92"/>
      <c r="CM155" s="92"/>
      <c r="CN155" s="92"/>
      <c r="CO155" s="92"/>
      <c r="CP155" s="92"/>
      <c r="CQ155" s="92"/>
      <c r="CR155" s="92"/>
      <c r="CS155" s="92"/>
      <c r="CT155" s="92"/>
      <c r="CU155" s="92"/>
      <c r="CV155" s="92"/>
      <c r="CW155" s="92"/>
      <c r="CX155" s="92"/>
      <c r="CY155" s="92"/>
      <c r="CZ155" s="92"/>
      <c r="DA155" s="92"/>
      <c r="DB155" s="92"/>
      <c r="DC155" s="92"/>
      <c r="DD155" s="92"/>
      <c r="DE155" s="92"/>
      <c r="DF155" s="92"/>
      <c r="DG155" s="92"/>
      <c r="DH155" s="92"/>
      <c r="DI155" s="92"/>
      <c r="DJ155" s="92"/>
      <c r="DK155" s="92"/>
      <c r="DL155" s="92"/>
      <c r="DM155" s="92"/>
      <c r="DN155" s="92"/>
      <c r="DO155" s="92"/>
      <c r="DP155" s="92"/>
      <c r="DQ155" s="92"/>
      <c r="DR155" s="92"/>
      <c r="DS155" s="92"/>
      <c r="DT155" s="92"/>
      <c r="DU155" s="92"/>
      <c r="DV155" s="92"/>
      <c r="DW155" s="92"/>
      <c r="DX155" s="92"/>
      <c r="DY155" s="92"/>
      <c r="DZ155" s="92"/>
      <c r="EA155" s="92"/>
      <c r="EB155" s="92"/>
      <c r="EC155" s="92"/>
      <c r="ED155" s="92"/>
      <c r="EE155" s="92"/>
      <c r="EF155" s="92"/>
      <c r="EG155" s="92"/>
      <c r="EH155" s="92"/>
      <c r="EI155" s="92"/>
      <c r="EJ155" s="92"/>
      <c r="EK155" s="92"/>
      <c r="EL155" s="92"/>
      <c r="EM155" s="92"/>
      <c r="EN155" s="92"/>
      <c r="EO155" s="92"/>
      <c r="EP155" s="92"/>
    </row>
    <row r="156" spans="10:146" x14ac:dyDescent="0.25">
      <c r="J156" s="92"/>
      <c r="K156" s="92"/>
      <c r="L156" s="92"/>
      <c r="M156" s="92"/>
      <c r="N156" s="92"/>
      <c r="O156" s="92"/>
      <c r="P156" s="92"/>
      <c r="Q156" s="92"/>
      <c r="R156" s="92"/>
      <c r="S156" s="92"/>
      <c r="T156" s="92"/>
      <c r="U156" s="92"/>
      <c r="V156" s="92"/>
      <c r="W156" s="92"/>
      <c r="X156" s="92"/>
      <c r="Y156" s="92"/>
      <c r="Z156" s="92"/>
      <c r="AA156" s="92"/>
      <c r="AB156" s="92"/>
      <c r="AC156" s="92"/>
      <c r="AD156" s="92"/>
      <c r="AE156" s="92"/>
      <c r="AF156" s="92"/>
      <c r="AG156" s="92"/>
      <c r="AH156" s="92"/>
      <c r="AI156" s="92"/>
      <c r="AJ156" s="92"/>
      <c r="AK156" s="92"/>
      <c r="AL156" s="92"/>
      <c r="AM156" s="92"/>
      <c r="AN156" s="92"/>
      <c r="AO156" s="92"/>
      <c r="AP156" s="92"/>
      <c r="AQ156" s="92"/>
      <c r="AR156" s="92"/>
      <c r="AS156" s="92"/>
      <c r="AT156" s="92"/>
      <c r="AU156" s="92"/>
      <c r="AV156" s="92"/>
      <c r="AW156" s="92"/>
      <c r="AX156" s="92"/>
      <c r="AY156" s="92"/>
      <c r="AZ156" s="92"/>
      <c r="BA156" s="92"/>
      <c r="BB156" s="92"/>
      <c r="BC156" s="92"/>
      <c r="BD156" s="92"/>
      <c r="BE156" s="92"/>
      <c r="BF156" s="92"/>
      <c r="BG156" s="92"/>
      <c r="BH156" s="92"/>
      <c r="BI156" s="92"/>
      <c r="BJ156" s="92"/>
      <c r="BK156" s="92"/>
      <c r="BL156" s="92"/>
      <c r="BM156" s="92"/>
      <c r="BN156" s="92"/>
      <c r="BO156" s="92"/>
      <c r="BP156" s="92"/>
      <c r="BQ156" s="92"/>
      <c r="BR156" s="92"/>
      <c r="BS156" s="92"/>
      <c r="BT156" s="92"/>
      <c r="BU156" s="92"/>
      <c r="BV156" s="92"/>
      <c r="BW156" s="92"/>
      <c r="BX156" s="92"/>
      <c r="BY156" s="92"/>
      <c r="BZ156" s="92"/>
      <c r="CA156" s="92"/>
      <c r="CB156" s="92"/>
      <c r="CC156" s="92"/>
      <c r="CD156" s="92"/>
      <c r="CE156" s="92"/>
      <c r="CF156" s="92"/>
      <c r="CG156" s="92"/>
      <c r="CH156" s="92"/>
      <c r="CI156" s="92"/>
      <c r="CJ156" s="92"/>
      <c r="CK156" s="92"/>
      <c r="CL156" s="92"/>
      <c r="CM156" s="92"/>
      <c r="CN156" s="92"/>
      <c r="CO156" s="92"/>
      <c r="CP156" s="92"/>
      <c r="CQ156" s="92"/>
      <c r="CR156" s="92"/>
      <c r="CS156" s="92"/>
      <c r="CT156" s="92"/>
      <c r="CU156" s="92"/>
      <c r="CV156" s="92"/>
      <c r="CW156" s="92"/>
      <c r="CX156" s="92"/>
      <c r="CY156" s="92"/>
      <c r="CZ156" s="92"/>
      <c r="DA156" s="92"/>
      <c r="DB156" s="92"/>
      <c r="DC156" s="92"/>
      <c r="DD156" s="92"/>
      <c r="DE156" s="92"/>
      <c r="DF156" s="92"/>
      <c r="DG156" s="92"/>
      <c r="DH156" s="92"/>
      <c r="DI156" s="92"/>
      <c r="DJ156" s="92"/>
      <c r="DK156" s="92"/>
      <c r="DL156" s="92"/>
      <c r="DM156" s="92"/>
      <c r="DN156" s="92"/>
      <c r="DO156" s="92"/>
      <c r="DP156" s="92"/>
      <c r="DQ156" s="92"/>
      <c r="DR156" s="92"/>
      <c r="DS156" s="92"/>
      <c r="DT156" s="92"/>
      <c r="DU156" s="92"/>
      <c r="DV156" s="92"/>
      <c r="DW156" s="92"/>
      <c r="DX156" s="92"/>
      <c r="DY156" s="92"/>
      <c r="DZ156" s="92"/>
      <c r="EA156" s="92"/>
      <c r="EB156" s="92"/>
      <c r="EC156" s="92"/>
      <c r="ED156" s="92"/>
      <c r="EE156" s="92"/>
      <c r="EF156" s="92"/>
      <c r="EG156" s="92"/>
      <c r="EH156" s="92"/>
      <c r="EI156" s="92"/>
      <c r="EJ156" s="92"/>
      <c r="EK156" s="92"/>
      <c r="EL156" s="92"/>
      <c r="EM156" s="92"/>
      <c r="EN156" s="92"/>
      <c r="EO156" s="92"/>
      <c r="EP156" s="92"/>
    </row>
    <row r="157" spans="10:146" x14ac:dyDescent="0.25">
      <c r="J157" s="92"/>
      <c r="K157" s="92"/>
      <c r="L157" s="92"/>
      <c r="M157" s="92"/>
      <c r="N157" s="92"/>
      <c r="O157" s="92"/>
      <c r="P157" s="92"/>
      <c r="Q157" s="92"/>
      <c r="R157" s="92"/>
      <c r="S157" s="92"/>
      <c r="T157" s="92"/>
      <c r="U157" s="92"/>
      <c r="V157" s="92"/>
      <c r="W157" s="92"/>
      <c r="X157" s="92"/>
      <c r="Y157" s="92"/>
      <c r="Z157" s="92"/>
      <c r="AA157" s="92"/>
      <c r="AB157" s="92"/>
      <c r="AC157" s="92"/>
      <c r="AD157" s="92"/>
      <c r="AE157" s="92"/>
      <c r="AF157" s="92"/>
      <c r="AG157" s="92"/>
      <c r="AH157" s="92"/>
      <c r="AI157" s="92"/>
      <c r="AJ157" s="92"/>
      <c r="AK157" s="92"/>
      <c r="AL157" s="92"/>
      <c r="AM157" s="92"/>
      <c r="AN157" s="92"/>
      <c r="AO157" s="92"/>
      <c r="AP157" s="92"/>
      <c r="AQ157" s="92"/>
      <c r="AR157" s="92"/>
      <c r="AS157" s="92"/>
      <c r="AT157" s="92"/>
      <c r="AU157" s="92"/>
      <c r="AV157" s="92"/>
      <c r="AW157" s="92"/>
      <c r="AX157" s="92"/>
      <c r="AY157" s="92"/>
      <c r="AZ157" s="92"/>
      <c r="BA157" s="92"/>
      <c r="BB157" s="92"/>
      <c r="BC157" s="92"/>
      <c r="BD157" s="92"/>
      <c r="BE157" s="92"/>
      <c r="BF157" s="92"/>
      <c r="BG157" s="92"/>
      <c r="BH157" s="92"/>
      <c r="BI157" s="92"/>
      <c r="BJ157" s="92"/>
      <c r="BK157" s="92"/>
      <c r="BL157" s="92"/>
      <c r="BM157" s="92"/>
      <c r="BN157" s="92"/>
      <c r="BO157" s="92"/>
      <c r="BP157" s="92"/>
      <c r="BQ157" s="92"/>
      <c r="BR157" s="92"/>
      <c r="BS157" s="92"/>
      <c r="BT157" s="92"/>
      <c r="BU157" s="92"/>
      <c r="BV157" s="92"/>
      <c r="BW157" s="92"/>
      <c r="BX157" s="92"/>
      <c r="BY157" s="92"/>
      <c r="BZ157" s="92"/>
      <c r="CA157" s="92"/>
      <c r="CB157" s="92"/>
      <c r="CC157" s="92"/>
      <c r="CD157" s="92"/>
      <c r="CE157" s="92"/>
      <c r="CF157" s="92"/>
      <c r="CG157" s="92"/>
      <c r="CH157" s="92"/>
      <c r="CI157" s="92"/>
      <c r="CJ157" s="92"/>
      <c r="CK157" s="92"/>
      <c r="CL157" s="92"/>
      <c r="CM157" s="92"/>
      <c r="CN157" s="92"/>
      <c r="CO157" s="92"/>
      <c r="CP157" s="92"/>
      <c r="CQ157" s="92"/>
      <c r="CR157" s="92"/>
      <c r="CS157" s="92"/>
      <c r="CT157" s="92"/>
      <c r="CU157" s="92"/>
      <c r="CV157" s="92"/>
      <c r="CW157" s="92"/>
      <c r="CX157" s="92"/>
      <c r="CY157" s="92"/>
      <c r="CZ157" s="92"/>
      <c r="DA157" s="92"/>
      <c r="DB157" s="92"/>
      <c r="DC157" s="92"/>
      <c r="DD157" s="92"/>
      <c r="DE157" s="92"/>
      <c r="DF157" s="92"/>
      <c r="DG157" s="92"/>
      <c r="DH157" s="92"/>
      <c r="DI157" s="92"/>
      <c r="DJ157" s="92"/>
      <c r="DK157" s="92"/>
      <c r="DL157" s="92"/>
      <c r="DM157" s="92"/>
      <c r="DN157" s="92"/>
      <c r="DO157" s="92"/>
      <c r="DP157" s="92"/>
      <c r="DQ157" s="92"/>
      <c r="DR157" s="92"/>
      <c r="DS157" s="92"/>
      <c r="DT157" s="92"/>
      <c r="DU157" s="92"/>
      <c r="DV157" s="92"/>
      <c r="DW157" s="92"/>
      <c r="DX157" s="92"/>
      <c r="DY157" s="92"/>
      <c r="DZ157" s="92"/>
      <c r="EA157" s="92"/>
      <c r="EB157" s="92"/>
      <c r="EC157" s="92"/>
      <c r="ED157" s="92"/>
      <c r="EE157" s="92"/>
      <c r="EF157" s="92"/>
      <c r="EG157" s="92"/>
      <c r="EH157" s="92"/>
      <c r="EI157" s="92"/>
      <c r="EJ157" s="92"/>
      <c r="EK157" s="92"/>
      <c r="EL157" s="92"/>
      <c r="EM157" s="92"/>
      <c r="EN157" s="92"/>
      <c r="EO157" s="92"/>
      <c r="EP157" s="92"/>
    </row>
    <row r="158" spans="10:146" x14ac:dyDescent="0.25">
      <c r="J158" s="92"/>
      <c r="K158" s="92"/>
      <c r="L158" s="92"/>
      <c r="M158" s="92"/>
      <c r="N158" s="92"/>
      <c r="O158" s="92"/>
      <c r="P158" s="92"/>
      <c r="Q158" s="92"/>
      <c r="R158" s="92"/>
      <c r="S158" s="92"/>
      <c r="T158" s="92"/>
      <c r="U158" s="92"/>
      <c r="V158" s="92"/>
      <c r="W158" s="92"/>
      <c r="X158" s="92"/>
      <c r="Y158" s="92"/>
      <c r="Z158" s="92"/>
      <c r="AA158" s="92"/>
      <c r="AB158" s="92"/>
      <c r="AC158" s="92"/>
      <c r="AD158" s="92"/>
      <c r="AE158" s="92"/>
      <c r="AF158" s="92"/>
      <c r="AG158" s="92"/>
      <c r="AH158" s="92"/>
      <c r="AI158" s="92"/>
      <c r="AJ158" s="92"/>
      <c r="AK158" s="92"/>
      <c r="AL158" s="92"/>
      <c r="AM158" s="92"/>
      <c r="AN158" s="92"/>
      <c r="AO158" s="92"/>
      <c r="AP158" s="92"/>
      <c r="AQ158" s="92"/>
      <c r="AR158" s="92"/>
      <c r="AS158" s="92"/>
      <c r="AT158" s="92"/>
      <c r="AU158" s="92"/>
      <c r="AV158" s="92"/>
      <c r="AW158" s="92"/>
      <c r="AX158" s="92"/>
      <c r="AY158" s="92"/>
      <c r="AZ158" s="92"/>
      <c r="BA158" s="92"/>
      <c r="BB158" s="92"/>
      <c r="BC158" s="92"/>
      <c r="BD158" s="92"/>
      <c r="BE158" s="92"/>
      <c r="BF158" s="92"/>
      <c r="BG158" s="92"/>
      <c r="BH158" s="92"/>
      <c r="BI158" s="92"/>
      <c r="BJ158" s="92"/>
      <c r="BK158" s="92"/>
      <c r="BL158" s="92"/>
      <c r="BM158" s="92"/>
      <c r="BN158" s="92"/>
      <c r="BO158" s="92"/>
      <c r="BP158" s="92"/>
      <c r="BQ158" s="92"/>
      <c r="BR158" s="92"/>
      <c r="BS158" s="92"/>
      <c r="BT158" s="92"/>
      <c r="BU158" s="92"/>
      <c r="BV158" s="92"/>
      <c r="BW158" s="92"/>
      <c r="BX158" s="92"/>
      <c r="BY158" s="92"/>
      <c r="BZ158" s="92"/>
      <c r="CA158" s="92"/>
      <c r="CB158" s="92"/>
      <c r="CC158" s="92"/>
      <c r="CD158" s="92"/>
      <c r="CE158" s="92"/>
      <c r="CF158" s="92"/>
      <c r="CG158" s="92"/>
      <c r="CH158" s="92"/>
      <c r="CI158" s="92"/>
      <c r="CJ158" s="92"/>
      <c r="CK158" s="92"/>
      <c r="CL158" s="92"/>
      <c r="CM158" s="92"/>
      <c r="CN158" s="92"/>
      <c r="CO158" s="92"/>
      <c r="CP158" s="92"/>
      <c r="CQ158" s="92"/>
      <c r="CR158" s="92"/>
      <c r="CS158" s="92"/>
      <c r="CT158" s="92"/>
      <c r="CU158" s="92"/>
      <c r="CV158" s="92"/>
      <c r="CW158" s="92"/>
      <c r="CX158" s="92"/>
      <c r="CY158" s="92"/>
      <c r="CZ158" s="92"/>
      <c r="DA158" s="92"/>
      <c r="DB158" s="92"/>
      <c r="DC158" s="92"/>
      <c r="DD158" s="92"/>
      <c r="DE158" s="92"/>
      <c r="DF158" s="92"/>
      <c r="DG158" s="92"/>
      <c r="DH158" s="92"/>
      <c r="DI158" s="92"/>
      <c r="DJ158" s="92"/>
      <c r="DK158" s="92"/>
      <c r="DL158" s="92"/>
      <c r="DM158" s="92"/>
      <c r="DN158" s="92"/>
      <c r="DO158" s="92"/>
      <c r="DP158" s="92"/>
      <c r="DQ158" s="92"/>
      <c r="DR158" s="92"/>
      <c r="DS158" s="92"/>
      <c r="DT158" s="92"/>
      <c r="DU158" s="92"/>
      <c r="DV158" s="92"/>
      <c r="DW158" s="92"/>
      <c r="DX158" s="92"/>
      <c r="DY158" s="92"/>
      <c r="DZ158" s="92"/>
      <c r="EA158" s="92"/>
      <c r="EB158" s="92"/>
      <c r="EC158" s="92"/>
      <c r="ED158" s="92"/>
      <c r="EE158" s="92"/>
      <c r="EF158" s="92"/>
      <c r="EG158" s="92"/>
      <c r="EH158" s="92"/>
      <c r="EI158" s="92"/>
      <c r="EJ158" s="92"/>
      <c r="EK158" s="92"/>
      <c r="EL158" s="92"/>
      <c r="EM158" s="92"/>
      <c r="EN158" s="92"/>
      <c r="EO158" s="92"/>
      <c r="EP158" s="92"/>
    </row>
    <row r="159" spans="10:146" x14ac:dyDescent="0.25">
      <c r="J159" s="92"/>
      <c r="K159" s="92"/>
      <c r="L159" s="92"/>
      <c r="M159" s="92"/>
      <c r="N159" s="92"/>
      <c r="O159" s="92"/>
      <c r="P159" s="92"/>
      <c r="Q159" s="92"/>
      <c r="R159" s="92"/>
      <c r="S159" s="92"/>
      <c r="T159" s="92"/>
      <c r="U159" s="92"/>
      <c r="V159" s="92"/>
      <c r="W159" s="92"/>
      <c r="X159" s="92"/>
      <c r="Y159" s="92"/>
      <c r="Z159" s="92"/>
      <c r="AA159" s="92"/>
      <c r="AB159" s="92"/>
      <c r="AC159" s="92"/>
      <c r="AD159" s="92"/>
      <c r="AE159" s="92"/>
      <c r="AF159" s="92"/>
      <c r="AG159" s="92"/>
      <c r="AH159" s="92"/>
      <c r="AI159" s="92"/>
      <c r="AJ159" s="92"/>
      <c r="AK159" s="92"/>
      <c r="AL159" s="92"/>
      <c r="AM159" s="92"/>
      <c r="AN159" s="92"/>
      <c r="AO159" s="92"/>
      <c r="AP159" s="92"/>
      <c r="AQ159" s="92"/>
      <c r="AR159" s="92"/>
      <c r="AS159" s="92"/>
      <c r="AT159" s="92"/>
      <c r="AU159" s="92"/>
      <c r="AV159" s="92"/>
      <c r="AW159" s="92"/>
      <c r="AX159" s="92"/>
      <c r="AY159" s="92"/>
      <c r="AZ159" s="92"/>
      <c r="BA159" s="92"/>
      <c r="BB159" s="92"/>
      <c r="BC159" s="92"/>
      <c r="BD159" s="92"/>
      <c r="BE159" s="92"/>
      <c r="BF159" s="92"/>
      <c r="BG159" s="92"/>
      <c r="BH159" s="92"/>
      <c r="BI159" s="92"/>
      <c r="BJ159" s="92"/>
      <c r="BK159" s="92"/>
      <c r="BL159" s="92"/>
      <c r="BM159" s="92"/>
      <c r="BN159" s="92"/>
      <c r="BO159" s="92"/>
      <c r="BP159" s="92"/>
      <c r="BQ159" s="92"/>
      <c r="BR159" s="92"/>
      <c r="BS159" s="92"/>
      <c r="BT159" s="92"/>
      <c r="BU159" s="92"/>
      <c r="BV159" s="92"/>
      <c r="BW159" s="92"/>
      <c r="BX159" s="92"/>
      <c r="BY159" s="92"/>
      <c r="BZ159" s="92"/>
      <c r="CA159" s="92"/>
      <c r="CB159" s="92"/>
      <c r="CC159" s="92"/>
      <c r="CD159" s="92"/>
      <c r="CE159" s="92"/>
      <c r="CF159" s="92"/>
      <c r="CG159" s="92"/>
      <c r="CH159" s="92"/>
      <c r="CI159" s="92"/>
      <c r="CJ159" s="92"/>
      <c r="CK159" s="92"/>
      <c r="CL159" s="92"/>
      <c r="CM159" s="92"/>
      <c r="CN159" s="92"/>
      <c r="CO159" s="92"/>
      <c r="CP159" s="92"/>
      <c r="CQ159" s="92"/>
      <c r="CR159" s="92"/>
      <c r="CS159" s="92"/>
      <c r="CT159" s="92"/>
      <c r="CU159" s="92"/>
      <c r="CV159" s="92"/>
      <c r="CW159" s="92"/>
      <c r="CX159" s="92"/>
      <c r="CY159" s="92"/>
      <c r="CZ159" s="92"/>
      <c r="DA159" s="92"/>
      <c r="DB159" s="92"/>
      <c r="DC159" s="92"/>
      <c r="DD159" s="92"/>
      <c r="DE159" s="92"/>
      <c r="DF159" s="92"/>
      <c r="DG159" s="92"/>
      <c r="DH159" s="92"/>
      <c r="DI159" s="92"/>
      <c r="DJ159" s="92"/>
      <c r="DK159" s="92"/>
      <c r="DL159" s="92"/>
      <c r="DM159" s="92"/>
      <c r="DN159" s="92"/>
      <c r="DO159" s="92"/>
      <c r="DP159" s="92"/>
      <c r="DQ159" s="92"/>
      <c r="DR159" s="92"/>
      <c r="DS159" s="92"/>
      <c r="DT159" s="92"/>
      <c r="DU159" s="92"/>
      <c r="DV159" s="92"/>
      <c r="DW159" s="92"/>
      <c r="DX159" s="92"/>
      <c r="DY159" s="92"/>
      <c r="DZ159" s="92"/>
      <c r="EA159" s="92"/>
      <c r="EB159" s="92"/>
      <c r="EC159" s="92"/>
      <c r="ED159" s="92"/>
      <c r="EE159" s="92"/>
      <c r="EF159" s="92"/>
      <c r="EG159" s="92"/>
      <c r="EH159" s="92"/>
      <c r="EI159" s="92"/>
      <c r="EJ159" s="92"/>
      <c r="EK159" s="92"/>
      <c r="EL159" s="92"/>
      <c r="EM159" s="92"/>
      <c r="EN159" s="92"/>
      <c r="EO159" s="92"/>
      <c r="EP159" s="92"/>
    </row>
    <row r="160" spans="10:146" x14ac:dyDescent="0.25">
      <c r="J160" s="92"/>
      <c r="K160" s="92"/>
      <c r="L160" s="92"/>
      <c r="M160" s="92"/>
      <c r="N160" s="92"/>
      <c r="O160" s="92"/>
      <c r="P160" s="92"/>
      <c r="Q160" s="92"/>
      <c r="R160" s="92"/>
      <c r="S160" s="92"/>
      <c r="T160" s="92"/>
      <c r="U160" s="92"/>
      <c r="V160" s="92"/>
      <c r="W160" s="92"/>
      <c r="X160" s="92"/>
      <c r="Y160" s="92"/>
      <c r="Z160" s="92"/>
      <c r="AA160" s="92"/>
      <c r="AB160" s="92"/>
      <c r="AC160" s="92"/>
      <c r="AD160" s="92"/>
      <c r="AE160" s="92"/>
      <c r="AF160" s="92"/>
      <c r="AG160" s="92"/>
      <c r="AH160" s="92"/>
      <c r="AI160" s="92"/>
      <c r="AJ160" s="92"/>
      <c r="AK160" s="92"/>
      <c r="AL160" s="92"/>
      <c r="AM160" s="92"/>
      <c r="AN160" s="92"/>
      <c r="AO160" s="92"/>
      <c r="AP160" s="92"/>
      <c r="AQ160" s="92"/>
      <c r="AR160" s="92"/>
      <c r="AS160" s="92"/>
      <c r="AT160" s="92"/>
      <c r="AU160" s="92"/>
      <c r="AV160" s="92"/>
      <c r="AW160" s="92"/>
      <c r="AX160" s="92"/>
      <c r="AY160" s="92"/>
      <c r="AZ160" s="92"/>
      <c r="BA160" s="92"/>
      <c r="BB160" s="92"/>
      <c r="BC160" s="92"/>
      <c r="BD160" s="92"/>
      <c r="BE160" s="92"/>
      <c r="BF160" s="92"/>
      <c r="BG160" s="92"/>
      <c r="BH160" s="92"/>
      <c r="BI160" s="92"/>
      <c r="BJ160" s="92"/>
      <c r="BK160" s="92"/>
      <c r="BL160" s="92"/>
      <c r="BM160" s="92"/>
      <c r="BN160" s="92"/>
      <c r="BO160" s="92"/>
      <c r="BP160" s="92"/>
      <c r="BQ160" s="92"/>
      <c r="BR160" s="92"/>
      <c r="BS160" s="92"/>
      <c r="BT160" s="92"/>
      <c r="BU160" s="92"/>
      <c r="BV160" s="92"/>
      <c r="BW160" s="92"/>
      <c r="BX160" s="92"/>
      <c r="BY160" s="92"/>
      <c r="BZ160" s="92"/>
      <c r="CA160" s="92"/>
      <c r="CB160" s="92"/>
      <c r="CC160" s="92"/>
      <c r="CD160" s="92"/>
      <c r="CE160" s="92"/>
      <c r="CF160" s="92"/>
      <c r="CG160" s="92"/>
      <c r="CH160" s="92"/>
      <c r="CI160" s="92"/>
      <c r="CJ160" s="92"/>
      <c r="CK160" s="92"/>
      <c r="CL160" s="92"/>
      <c r="CM160" s="92"/>
      <c r="CN160" s="92"/>
      <c r="CO160" s="92"/>
      <c r="CP160" s="92"/>
      <c r="CQ160" s="92"/>
      <c r="CR160" s="92"/>
      <c r="CS160" s="92"/>
      <c r="CT160" s="92"/>
      <c r="CU160" s="92"/>
      <c r="CV160" s="92"/>
      <c r="CW160" s="92"/>
      <c r="CX160" s="92"/>
      <c r="CY160" s="92"/>
      <c r="CZ160" s="92"/>
      <c r="DA160" s="92"/>
      <c r="DB160" s="92"/>
      <c r="DC160" s="92"/>
      <c r="DD160" s="92"/>
      <c r="DE160" s="92"/>
      <c r="DF160" s="92"/>
      <c r="DG160" s="92"/>
      <c r="DH160" s="92"/>
      <c r="DI160" s="92"/>
      <c r="DJ160" s="92"/>
      <c r="DK160" s="92"/>
      <c r="DL160" s="92"/>
      <c r="DM160" s="92"/>
      <c r="DN160" s="92"/>
      <c r="DO160" s="92"/>
      <c r="DP160" s="92"/>
      <c r="DQ160" s="92"/>
      <c r="DR160" s="92"/>
      <c r="DS160" s="92"/>
      <c r="DT160" s="92"/>
      <c r="DU160" s="92"/>
      <c r="DV160" s="92"/>
      <c r="DW160" s="92"/>
      <c r="DX160" s="92"/>
      <c r="DY160" s="92"/>
      <c r="DZ160" s="92"/>
      <c r="EA160" s="92"/>
      <c r="EB160" s="92"/>
      <c r="EC160" s="92"/>
      <c r="ED160" s="92"/>
      <c r="EE160" s="92"/>
      <c r="EF160" s="92"/>
      <c r="EG160" s="92"/>
      <c r="EH160" s="92"/>
      <c r="EI160" s="92"/>
      <c r="EJ160" s="92"/>
      <c r="EK160" s="92"/>
      <c r="EL160" s="92"/>
      <c r="EM160" s="92"/>
      <c r="EN160" s="92"/>
      <c r="EO160" s="92"/>
      <c r="EP160" s="92"/>
    </row>
    <row r="161" spans="10:146" x14ac:dyDescent="0.25">
      <c r="J161" s="92"/>
      <c r="K161" s="92"/>
      <c r="L161" s="92"/>
      <c r="M161" s="92"/>
      <c r="N161" s="92"/>
      <c r="O161" s="92"/>
      <c r="P161" s="92"/>
      <c r="Q161" s="92"/>
      <c r="R161" s="92"/>
      <c r="S161" s="92"/>
      <c r="T161" s="92"/>
      <c r="U161" s="92"/>
      <c r="V161" s="92"/>
      <c r="W161" s="92"/>
      <c r="X161" s="92"/>
      <c r="Y161" s="92"/>
      <c r="Z161" s="92"/>
      <c r="AA161" s="92"/>
      <c r="AB161" s="92"/>
      <c r="AC161" s="92"/>
      <c r="AD161" s="92"/>
      <c r="AE161" s="92"/>
      <c r="AF161" s="92"/>
      <c r="AG161" s="92"/>
      <c r="AH161" s="92"/>
      <c r="AI161" s="92"/>
      <c r="AJ161" s="92"/>
      <c r="AK161" s="92"/>
      <c r="AL161" s="92"/>
      <c r="AM161" s="92"/>
      <c r="AN161" s="92"/>
      <c r="AO161" s="92"/>
      <c r="AP161" s="92"/>
      <c r="AQ161" s="92"/>
      <c r="AR161" s="92"/>
      <c r="AS161" s="92"/>
      <c r="AT161" s="92"/>
      <c r="AU161" s="92"/>
      <c r="AV161" s="92"/>
      <c r="AW161" s="92"/>
      <c r="AX161" s="92"/>
      <c r="AY161" s="92"/>
      <c r="AZ161" s="92"/>
      <c r="BA161" s="92"/>
      <c r="BB161" s="92"/>
      <c r="BC161" s="92"/>
      <c r="BD161" s="92"/>
      <c r="BE161" s="92"/>
      <c r="BF161" s="92"/>
      <c r="BG161" s="92"/>
      <c r="BH161" s="92"/>
      <c r="BI161" s="92"/>
      <c r="BJ161" s="92"/>
      <c r="BK161" s="92"/>
      <c r="BL161" s="92"/>
      <c r="BM161" s="92"/>
      <c r="BN161" s="92"/>
      <c r="BO161" s="92"/>
      <c r="BP161" s="92"/>
      <c r="BQ161" s="92"/>
      <c r="BR161" s="92"/>
      <c r="BS161" s="92"/>
      <c r="BT161" s="92"/>
      <c r="BU161" s="92"/>
      <c r="BV161" s="92"/>
      <c r="BW161" s="92"/>
      <c r="BX161" s="92"/>
      <c r="BY161" s="92"/>
      <c r="BZ161" s="92"/>
      <c r="CA161" s="92"/>
      <c r="CB161" s="92"/>
      <c r="CC161" s="92"/>
      <c r="CD161" s="92"/>
      <c r="CE161" s="92"/>
      <c r="CF161" s="92"/>
      <c r="CG161" s="92"/>
      <c r="CH161" s="92"/>
      <c r="CI161" s="92"/>
      <c r="CJ161" s="92"/>
      <c r="CK161" s="92"/>
      <c r="CL161" s="92"/>
      <c r="CM161" s="92"/>
      <c r="CN161" s="92"/>
      <c r="CO161" s="92"/>
      <c r="CP161" s="92"/>
      <c r="CQ161" s="92"/>
      <c r="CR161" s="92"/>
      <c r="CS161" s="92"/>
      <c r="CT161" s="92"/>
      <c r="CU161" s="92"/>
      <c r="CV161" s="92"/>
      <c r="CW161" s="92"/>
      <c r="CX161" s="92"/>
      <c r="CY161" s="92"/>
      <c r="CZ161" s="92"/>
      <c r="DA161" s="92"/>
      <c r="DB161" s="92"/>
      <c r="DC161" s="92"/>
      <c r="DD161" s="92"/>
      <c r="DE161" s="92"/>
      <c r="DF161" s="92"/>
      <c r="DG161" s="92"/>
      <c r="DH161" s="92"/>
      <c r="DI161" s="92"/>
      <c r="DJ161" s="92"/>
      <c r="DK161" s="92"/>
      <c r="DL161" s="92"/>
      <c r="DM161" s="92"/>
      <c r="DN161" s="92"/>
      <c r="DO161" s="92"/>
      <c r="DP161" s="92"/>
      <c r="DQ161" s="92"/>
      <c r="DR161" s="92"/>
      <c r="DS161" s="92"/>
      <c r="DT161" s="92"/>
      <c r="DU161" s="92"/>
      <c r="DV161" s="92"/>
      <c r="DW161" s="92"/>
      <c r="DX161" s="92"/>
      <c r="DY161" s="92"/>
      <c r="DZ161" s="92"/>
      <c r="EA161" s="92"/>
      <c r="EB161" s="92"/>
      <c r="EC161" s="92"/>
      <c r="ED161" s="92"/>
      <c r="EE161" s="92"/>
      <c r="EF161" s="92"/>
      <c r="EG161" s="92"/>
      <c r="EH161" s="92"/>
      <c r="EI161" s="92"/>
      <c r="EJ161" s="92"/>
      <c r="EK161" s="92"/>
      <c r="EL161" s="92"/>
      <c r="EM161" s="92"/>
      <c r="EN161" s="92"/>
      <c r="EO161" s="92"/>
      <c r="EP161" s="92"/>
    </row>
    <row r="162" spans="10:146" x14ac:dyDescent="0.25">
      <c r="J162" s="92"/>
      <c r="K162" s="92"/>
      <c r="L162" s="92"/>
      <c r="M162" s="92"/>
      <c r="N162" s="92"/>
      <c r="O162" s="92"/>
      <c r="P162" s="92"/>
      <c r="Q162" s="92"/>
      <c r="R162" s="92"/>
      <c r="S162" s="92"/>
      <c r="T162" s="92"/>
      <c r="U162" s="92"/>
      <c r="V162" s="92"/>
      <c r="W162" s="92"/>
      <c r="X162" s="92"/>
      <c r="Y162" s="92"/>
      <c r="Z162" s="92"/>
      <c r="AA162" s="92"/>
      <c r="AB162" s="92"/>
      <c r="AC162" s="92"/>
      <c r="AD162" s="92"/>
      <c r="AE162" s="92"/>
      <c r="AF162" s="92"/>
      <c r="AG162" s="92"/>
      <c r="AH162" s="92"/>
      <c r="AI162" s="92"/>
      <c r="AJ162" s="92"/>
      <c r="AK162" s="92"/>
      <c r="AL162" s="92"/>
      <c r="AM162" s="92"/>
      <c r="AN162" s="92"/>
      <c r="AO162" s="92"/>
      <c r="AP162" s="92"/>
      <c r="AQ162" s="92"/>
      <c r="AR162" s="92"/>
      <c r="AS162" s="92"/>
      <c r="AT162" s="92"/>
      <c r="AU162" s="92"/>
      <c r="AV162" s="92"/>
      <c r="AW162" s="92"/>
      <c r="AX162" s="92"/>
      <c r="AY162" s="92"/>
      <c r="AZ162" s="92"/>
      <c r="BA162" s="92"/>
      <c r="BB162" s="92"/>
      <c r="BC162" s="92"/>
      <c r="BD162" s="92"/>
      <c r="BE162" s="92"/>
      <c r="BF162" s="92"/>
      <c r="BG162" s="92"/>
      <c r="BH162" s="92"/>
      <c r="BI162" s="92"/>
      <c r="BJ162" s="92"/>
      <c r="BK162" s="92"/>
      <c r="BL162" s="92"/>
      <c r="BM162" s="92"/>
      <c r="BN162" s="92"/>
      <c r="BO162" s="92"/>
      <c r="BP162" s="92"/>
      <c r="BQ162" s="92"/>
      <c r="BR162" s="92"/>
      <c r="BS162" s="92"/>
      <c r="BT162" s="92"/>
      <c r="BU162" s="92"/>
      <c r="BV162" s="92"/>
      <c r="BW162" s="92"/>
      <c r="BX162" s="92"/>
      <c r="BY162" s="92"/>
      <c r="BZ162" s="92"/>
      <c r="CA162" s="92"/>
      <c r="CB162" s="92"/>
      <c r="CC162" s="92"/>
      <c r="CD162" s="92"/>
      <c r="CE162" s="92"/>
      <c r="CF162" s="92"/>
      <c r="CG162" s="92"/>
      <c r="CH162" s="92"/>
      <c r="CI162" s="92"/>
      <c r="CJ162" s="92"/>
      <c r="CK162" s="92"/>
      <c r="CL162" s="92"/>
      <c r="CM162" s="92"/>
      <c r="CN162" s="92"/>
      <c r="CO162" s="92"/>
      <c r="CP162" s="92"/>
      <c r="CQ162" s="92"/>
      <c r="CR162" s="92"/>
      <c r="CS162" s="92"/>
      <c r="CT162" s="92"/>
      <c r="CU162" s="92"/>
      <c r="CV162" s="92"/>
      <c r="CW162" s="92"/>
      <c r="CX162" s="92"/>
      <c r="CY162" s="92"/>
      <c r="CZ162" s="92"/>
      <c r="DA162" s="92"/>
      <c r="DB162" s="92"/>
      <c r="DC162" s="92"/>
      <c r="DD162" s="92"/>
      <c r="DE162" s="92"/>
      <c r="DF162" s="92"/>
      <c r="DG162" s="92"/>
      <c r="DH162" s="92"/>
      <c r="DI162" s="92"/>
      <c r="DJ162" s="92"/>
      <c r="DK162" s="92"/>
      <c r="DL162" s="92"/>
      <c r="DM162" s="92"/>
      <c r="DN162" s="92"/>
      <c r="DO162" s="92"/>
      <c r="DP162" s="92"/>
      <c r="DQ162" s="92"/>
      <c r="DR162" s="92"/>
      <c r="DS162" s="92"/>
      <c r="DT162" s="92"/>
      <c r="DU162" s="92"/>
      <c r="DV162" s="92"/>
      <c r="DW162" s="92"/>
      <c r="DX162" s="92"/>
      <c r="DY162" s="92"/>
      <c r="DZ162" s="92"/>
      <c r="EA162" s="92"/>
      <c r="EB162" s="92"/>
      <c r="EC162" s="92"/>
      <c r="ED162" s="92"/>
      <c r="EE162" s="92"/>
      <c r="EF162" s="92"/>
      <c r="EG162" s="92"/>
      <c r="EH162" s="92"/>
      <c r="EI162" s="92"/>
      <c r="EJ162" s="92"/>
      <c r="EK162" s="92"/>
      <c r="EL162" s="92"/>
      <c r="EM162" s="92"/>
      <c r="EN162" s="92"/>
      <c r="EO162" s="92"/>
      <c r="EP162" s="92"/>
    </row>
    <row r="163" spans="10:146" x14ac:dyDescent="0.25">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2"/>
      <c r="AG163" s="92"/>
      <c r="AH163" s="92"/>
      <c r="AI163" s="92"/>
      <c r="AJ163" s="92"/>
      <c r="AK163" s="92"/>
      <c r="AL163" s="92"/>
      <c r="AM163" s="92"/>
      <c r="AN163" s="92"/>
      <c r="AO163" s="92"/>
      <c r="AP163" s="92"/>
      <c r="AQ163" s="92"/>
      <c r="AR163" s="92"/>
      <c r="AS163" s="92"/>
      <c r="AT163" s="92"/>
      <c r="AU163" s="92"/>
      <c r="AV163" s="92"/>
      <c r="AW163" s="92"/>
      <c r="AX163" s="92"/>
      <c r="AY163" s="92"/>
      <c r="AZ163" s="92"/>
      <c r="BA163" s="92"/>
      <c r="BB163" s="92"/>
      <c r="BC163" s="92"/>
      <c r="BD163" s="92"/>
      <c r="BE163" s="92"/>
      <c r="BF163" s="92"/>
      <c r="BG163" s="92"/>
      <c r="BH163" s="92"/>
      <c r="BI163" s="92"/>
      <c r="BJ163" s="92"/>
      <c r="BK163" s="92"/>
      <c r="BL163" s="92"/>
      <c r="BM163" s="92"/>
      <c r="BN163" s="92"/>
      <c r="BO163" s="92"/>
      <c r="BP163" s="92"/>
      <c r="BQ163" s="92"/>
      <c r="BR163" s="92"/>
      <c r="BS163" s="92"/>
      <c r="BT163" s="92"/>
      <c r="BU163" s="92"/>
      <c r="BV163" s="92"/>
      <c r="BW163" s="92"/>
      <c r="BX163" s="92"/>
      <c r="BY163" s="92"/>
      <c r="BZ163" s="92"/>
      <c r="CA163" s="92"/>
      <c r="CB163" s="92"/>
      <c r="CC163" s="92"/>
      <c r="CD163" s="92"/>
      <c r="CE163" s="92"/>
      <c r="CF163" s="92"/>
      <c r="CG163" s="92"/>
      <c r="CH163" s="92"/>
      <c r="CI163" s="92"/>
      <c r="CJ163" s="92"/>
      <c r="CK163" s="92"/>
      <c r="CL163" s="92"/>
      <c r="CM163" s="92"/>
      <c r="CN163" s="92"/>
      <c r="CO163" s="92"/>
      <c r="CP163" s="92"/>
      <c r="CQ163" s="92"/>
      <c r="CR163" s="92"/>
      <c r="CS163" s="92"/>
      <c r="CT163" s="92"/>
      <c r="CU163" s="92"/>
      <c r="CV163" s="92"/>
      <c r="CW163" s="92"/>
      <c r="CX163" s="92"/>
      <c r="CY163" s="92"/>
      <c r="CZ163" s="92"/>
      <c r="DA163" s="92"/>
      <c r="DB163" s="92"/>
      <c r="DC163" s="92"/>
      <c r="DD163" s="92"/>
      <c r="DE163" s="92"/>
      <c r="DF163" s="92"/>
      <c r="DG163" s="92"/>
      <c r="DH163" s="92"/>
      <c r="DI163" s="92"/>
      <c r="DJ163" s="92"/>
      <c r="DK163" s="92"/>
      <c r="DL163" s="92"/>
      <c r="DM163" s="92"/>
      <c r="DN163" s="92"/>
      <c r="DO163" s="92"/>
      <c r="DP163" s="92"/>
      <c r="DQ163" s="92"/>
      <c r="DR163" s="92"/>
      <c r="DS163" s="92"/>
      <c r="DT163" s="92"/>
      <c r="DU163" s="92"/>
      <c r="DV163" s="92"/>
      <c r="DW163" s="92"/>
      <c r="DX163" s="92"/>
      <c r="DY163" s="92"/>
      <c r="DZ163" s="92"/>
      <c r="EA163" s="92"/>
      <c r="EB163" s="92"/>
      <c r="EC163" s="92"/>
      <c r="ED163" s="92"/>
      <c r="EE163" s="92"/>
      <c r="EF163" s="92"/>
      <c r="EG163" s="92"/>
      <c r="EH163" s="92"/>
      <c r="EI163" s="92"/>
      <c r="EJ163" s="92"/>
      <c r="EK163" s="92"/>
      <c r="EL163" s="92"/>
      <c r="EM163" s="92"/>
      <c r="EN163" s="92"/>
      <c r="EO163" s="92"/>
      <c r="EP163" s="92"/>
    </row>
    <row r="164" spans="10:146" x14ac:dyDescent="0.25">
      <c r="J164" s="92"/>
      <c r="K164" s="92"/>
      <c r="L164" s="92"/>
      <c r="M164" s="92"/>
      <c r="N164" s="92"/>
      <c r="O164" s="92"/>
      <c r="P164" s="92"/>
      <c r="Q164" s="92"/>
      <c r="R164" s="92"/>
      <c r="S164" s="92"/>
      <c r="T164" s="92"/>
      <c r="U164" s="92"/>
      <c r="V164" s="92"/>
      <c r="W164" s="92"/>
      <c r="X164" s="92"/>
      <c r="Y164" s="92"/>
      <c r="Z164" s="92"/>
      <c r="AA164" s="92"/>
      <c r="AB164" s="92"/>
      <c r="AC164" s="92"/>
      <c r="AD164" s="92"/>
      <c r="AE164" s="92"/>
      <c r="AF164" s="92"/>
      <c r="AG164" s="92"/>
      <c r="AH164" s="92"/>
      <c r="AI164" s="92"/>
      <c r="AJ164" s="92"/>
      <c r="AK164" s="92"/>
      <c r="AL164" s="92"/>
      <c r="AM164" s="92"/>
      <c r="AN164" s="92"/>
      <c r="AO164" s="92"/>
      <c r="AP164" s="92"/>
      <c r="AQ164" s="92"/>
      <c r="AR164" s="92"/>
      <c r="AS164" s="92"/>
      <c r="AT164" s="92"/>
      <c r="AU164" s="92"/>
      <c r="AV164" s="92"/>
      <c r="AW164" s="92"/>
      <c r="AX164" s="92"/>
      <c r="AY164" s="92"/>
      <c r="AZ164" s="92"/>
      <c r="BA164" s="92"/>
      <c r="BB164" s="92"/>
      <c r="BC164" s="92"/>
      <c r="BD164" s="92"/>
      <c r="BE164" s="92"/>
      <c r="BF164" s="92"/>
      <c r="BG164" s="92"/>
      <c r="BH164" s="92"/>
      <c r="BI164" s="92"/>
      <c r="BJ164" s="92"/>
      <c r="BK164" s="92"/>
      <c r="BL164" s="92"/>
      <c r="BM164" s="92"/>
      <c r="BN164" s="92"/>
      <c r="BO164" s="92"/>
      <c r="BP164" s="92"/>
      <c r="BQ164" s="92"/>
      <c r="BR164" s="92"/>
      <c r="BS164" s="92"/>
      <c r="BT164" s="92"/>
      <c r="BU164" s="92"/>
      <c r="BV164" s="92"/>
      <c r="BW164" s="92"/>
      <c r="BX164" s="92"/>
      <c r="BY164" s="92"/>
      <c r="BZ164" s="92"/>
      <c r="CA164" s="92"/>
      <c r="CB164" s="92"/>
      <c r="CC164" s="92"/>
      <c r="CD164" s="92"/>
      <c r="CE164" s="92"/>
      <c r="CF164" s="92"/>
      <c r="CG164" s="92"/>
      <c r="CH164" s="92"/>
      <c r="CI164" s="92"/>
      <c r="CJ164" s="92"/>
      <c r="CK164" s="92"/>
      <c r="CL164" s="92"/>
      <c r="CM164" s="92"/>
      <c r="CN164" s="92"/>
      <c r="CO164" s="92"/>
      <c r="CP164" s="92"/>
      <c r="CQ164" s="92"/>
      <c r="CR164" s="92"/>
      <c r="CS164" s="92"/>
      <c r="CT164" s="92"/>
      <c r="CU164" s="92"/>
      <c r="CV164" s="92"/>
      <c r="CW164" s="92"/>
      <c r="CX164" s="92"/>
      <c r="CY164" s="92"/>
      <c r="CZ164" s="92"/>
      <c r="DA164" s="92"/>
      <c r="DB164" s="92"/>
      <c r="DC164" s="92"/>
      <c r="DD164" s="92"/>
      <c r="DE164" s="92"/>
      <c r="DF164" s="92"/>
      <c r="DG164" s="92"/>
      <c r="DH164" s="92"/>
      <c r="DI164" s="92"/>
      <c r="DJ164" s="92"/>
      <c r="DK164" s="92"/>
      <c r="DL164" s="92"/>
      <c r="DM164" s="92"/>
      <c r="DN164" s="92"/>
      <c r="DO164" s="92"/>
      <c r="DP164" s="92"/>
      <c r="DQ164" s="92"/>
      <c r="DR164" s="92"/>
      <c r="DS164" s="92"/>
      <c r="DT164" s="92"/>
      <c r="DU164" s="92"/>
      <c r="DV164" s="92"/>
      <c r="DW164" s="92"/>
      <c r="DX164" s="92"/>
      <c r="DY164" s="92"/>
      <c r="DZ164" s="92"/>
      <c r="EA164" s="92"/>
      <c r="EB164" s="92"/>
      <c r="EC164" s="92"/>
      <c r="ED164" s="92"/>
      <c r="EE164" s="92"/>
      <c r="EF164" s="92"/>
      <c r="EG164" s="92"/>
      <c r="EH164" s="92"/>
      <c r="EI164" s="92"/>
      <c r="EJ164" s="92"/>
      <c r="EK164" s="92"/>
      <c r="EL164" s="92"/>
      <c r="EM164" s="92"/>
      <c r="EN164" s="92"/>
      <c r="EO164" s="92"/>
      <c r="EP164" s="92"/>
    </row>
    <row r="165" spans="10:146" x14ac:dyDescent="0.25">
      <c r="J165" s="92"/>
      <c r="K165" s="92"/>
      <c r="L165" s="92"/>
      <c r="M165" s="92"/>
      <c r="N165" s="92"/>
      <c r="O165" s="92"/>
      <c r="P165" s="92"/>
      <c r="Q165" s="92"/>
      <c r="R165" s="92"/>
      <c r="S165" s="92"/>
      <c r="T165" s="92"/>
      <c r="U165" s="92"/>
      <c r="V165" s="92"/>
      <c r="W165" s="92"/>
      <c r="X165" s="92"/>
      <c r="Y165" s="92"/>
      <c r="Z165" s="92"/>
      <c r="AA165" s="92"/>
      <c r="AB165" s="92"/>
      <c r="AC165" s="92"/>
      <c r="AD165" s="92"/>
      <c r="AE165" s="92"/>
      <c r="AF165" s="92"/>
      <c r="AG165" s="92"/>
      <c r="AH165" s="92"/>
      <c r="AI165" s="92"/>
      <c r="AJ165" s="92"/>
      <c r="AK165" s="92"/>
      <c r="AL165" s="92"/>
      <c r="AM165" s="92"/>
      <c r="AN165" s="92"/>
      <c r="AO165" s="92"/>
      <c r="AP165" s="92"/>
      <c r="AQ165" s="92"/>
      <c r="AR165" s="92"/>
      <c r="AS165" s="92"/>
      <c r="AT165" s="92"/>
      <c r="AU165" s="92"/>
      <c r="AV165" s="92"/>
      <c r="AW165" s="92"/>
      <c r="AX165" s="92"/>
      <c r="AY165" s="92"/>
      <c r="AZ165" s="92"/>
      <c r="BA165" s="92"/>
      <c r="BB165" s="92"/>
      <c r="BC165" s="92"/>
      <c r="BD165" s="92"/>
      <c r="BE165" s="92"/>
      <c r="BF165" s="92"/>
      <c r="BG165" s="92"/>
      <c r="BH165" s="92"/>
      <c r="BI165" s="92"/>
      <c r="BJ165" s="92"/>
      <c r="BK165" s="92"/>
      <c r="BL165" s="92"/>
      <c r="BM165" s="92"/>
      <c r="BN165" s="92"/>
      <c r="BO165" s="92"/>
      <c r="BP165" s="92"/>
      <c r="BQ165" s="92"/>
      <c r="BR165" s="92"/>
      <c r="BS165" s="92"/>
      <c r="BT165" s="92"/>
      <c r="BU165" s="92"/>
      <c r="BV165" s="92"/>
      <c r="BW165" s="92"/>
      <c r="BX165" s="92"/>
      <c r="BY165" s="92"/>
      <c r="BZ165" s="92"/>
      <c r="CA165" s="92"/>
      <c r="CB165" s="92"/>
      <c r="CC165" s="92"/>
      <c r="CD165" s="92"/>
      <c r="CE165" s="92"/>
      <c r="CF165" s="92"/>
      <c r="CG165" s="92"/>
      <c r="CH165" s="92"/>
      <c r="CI165" s="92"/>
      <c r="CJ165" s="92"/>
      <c r="CK165" s="92"/>
      <c r="CL165" s="92"/>
      <c r="CM165" s="92"/>
      <c r="CN165" s="92"/>
      <c r="CO165" s="92"/>
      <c r="CP165" s="92"/>
      <c r="CQ165" s="92"/>
      <c r="CR165" s="92"/>
      <c r="CS165" s="92"/>
      <c r="CT165" s="92"/>
      <c r="CU165" s="92"/>
      <c r="CV165" s="92"/>
      <c r="CW165" s="92"/>
      <c r="CX165" s="92"/>
      <c r="CY165" s="92"/>
      <c r="CZ165" s="92"/>
      <c r="DA165" s="92"/>
      <c r="DB165" s="92"/>
      <c r="DC165" s="92"/>
      <c r="DD165" s="92"/>
      <c r="DE165" s="92"/>
      <c r="DF165" s="92"/>
      <c r="DG165" s="92"/>
      <c r="DH165" s="92"/>
      <c r="DI165" s="92"/>
      <c r="DJ165" s="92"/>
      <c r="DK165" s="92"/>
      <c r="DL165" s="92"/>
      <c r="DM165" s="92"/>
      <c r="DN165" s="92"/>
      <c r="DO165" s="92"/>
      <c r="DP165" s="92"/>
      <c r="DQ165" s="92"/>
      <c r="DR165" s="92"/>
      <c r="DS165" s="92"/>
      <c r="DT165" s="92"/>
      <c r="DU165" s="92"/>
      <c r="DV165" s="92"/>
      <c r="DW165" s="92"/>
      <c r="DX165" s="92"/>
      <c r="DY165" s="92"/>
      <c r="DZ165" s="92"/>
      <c r="EA165" s="92"/>
      <c r="EB165" s="92"/>
      <c r="EC165" s="92"/>
      <c r="ED165" s="92"/>
      <c r="EE165" s="92"/>
      <c r="EF165" s="92"/>
      <c r="EG165" s="92"/>
      <c r="EH165" s="92"/>
      <c r="EI165" s="92"/>
      <c r="EJ165" s="92"/>
      <c r="EK165" s="92"/>
      <c r="EL165" s="92"/>
      <c r="EM165" s="92"/>
      <c r="EN165" s="92"/>
      <c r="EO165" s="92"/>
      <c r="EP165" s="92"/>
    </row>
    <row r="166" spans="10:146" x14ac:dyDescent="0.25">
      <c r="J166" s="92"/>
      <c r="K166" s="92"/>
      <c r="L166" s="92"/>
      <c r="M166" s="92"/>
      <c r="N166" s="92"/>
      <c r="O166" s="92"/>
      <c r="P166" s="92"/>
      <c r="Q166" s="92"/>
      <c r="R166" s="92"/>
      <c r="S166" s="92"/>
      <c r="T166" s="92"/>
      <c r="U166" s="92"/>
      <c r="V166" s="92"/>
      <c r="W166" s="92"/>
      <c r="X166" s="92"/>
      <c r="Y166" s="92"/>
      <c r="Z166" s="92"/>
      <c r="AA166" s="92"/>
      <c r="AB166" s="92"/>
      <c r="AC166" s="92"/>
      <c r="AD166" s="92"/>
      <c r="AE166" s="92"/>
      <c r="AF166" s="92"/>
      <c r="AG166" s="92"/>
      <c r="AH166" s="92"/>
      <c r="AI166" s="92"/>
      <c r="AJ166" s="92"/>
      <c r="AK166" s="92"/>
      <c r="AL166" s="92"/>
      <c r="AM166" s="92"/>
      <c r="AN166" s="92"/>
      <c r="AO166" s="92"/>
      <c r="AP166" s="92"/>
      <c r="AQ166" s="92"/>
      <c r="AR166" s="92"/>
      <c r="AS166" s="92"/>
      <c r="AT166" s="92"/>
      <c r="AU166" s="92"/>
      <c r="AV166" s="92"/>
      <c r="AW166" s="92"/>
      <c r="AX166" s="92"/>
      <c r="AY166" s="92"/>
      <c r="AZ166" s="92"/>
      <c r="BA166" s="92"/>
      <c r="BB166" s="92"/>
      <c r="BC166" s="92"/>
      <c r="BD166" s="92"/>
      <c r="BE166" s="92"/>
      <c r="BF166" s="92"/>
      <c r="BG166" s="92"/>
      <c r="BH166" s="92"/>
      <c r="BI166" s="92"/>
      <c r="BJ166" s="92"/>
      <c r="BK166" s="92"/>
      <c r="BL166" s="92"/>
      <c r="BM166" s="92"/>
      <c r="BN166" s="92"/>
      <c r="BO166" s="92"/>
      <c r="BP166" s="92"/>
      <c r="BQ166" s="92"/>
      <c r="BR166" s="92"/>
      <c r="BS166" s="92"/>
      <c r="BT166" s="92"/>
      <c r="BU166" s="92"/>
      <c r="BV166" s="92"/>
      <c r="BW166" s="92"/>
      <c r="BX166" s="92"/>
      <c r="BY166" s="92"/>
      <c r="BZ166" s="92"/>
      <c r="CA166" s="92"/>
      <c r="CB166" s="92"/>
      <c r="CC166" s="92"/>
      <c r="CD166" s="92"/>
      <c r="CE166" s="92"/>
      <c r="CF166" s="92"/>
      <c r="CG166" s="92"/>
      <c r="CH166" s="92"/>
      <c r="CI166" s="92"/>
      <c r="CJ166" s="92"/>
      <c r="CK166" s="92"/>
      <c r="CL166" s="92"/>
      <c r="CM166" s="92"/>
      <c r="CN166" s="92"/>
      <c r="CO166" s="92"/>
      <c r="CP166" s="92"/>
      <c r="CQ166" s="92"/>
      <c r="CR166" s="92"/>
      <c r="CS166" s="92"/>
      <c r="CT166" s="92"/>
      <c r="CU166" s="92"/>
      <c r="CV166" s="92"/>
      <c r="CW166" s="92"/>
      <c r="CX166" s="92"/>
      <c r="CY166" s="92"/>
      <c r="CZ166" s="92"/>
      <c r="DA166" s="92"/>
      <c r="DB166" s="92"/>
      <c r="DC166" s="92"/>
      <c r="DD166" s="92"/>
      <c r="DE166" s="92"/>
      <c r="DF166" s="92"/>
      <c r="DG166" s="92"/>
      <c r="DH166" s="92"/>
      <c r="DI166" s="92"/>
      <c r="DJ166" s="92"/>
      <c r="DK166" s="92"/>
      <c r="DL166" s="92"/>
      <c r="DM166" s="92"/>
      <c r="DN166" s="92"/>
      <c r="DO166" s="92"/>
      <c r="DP166" s="92"/>
      <c r="DQ166" s="92"/>
      <c r="DR166" s="92"/>
      <c r="DS166" s="92"/>
      <c r="DT166" s="92"/>
      <c r="DU166" s="92"/>
      <c r="DV166" s="92"/>
      <c r="DW166" s="92"/>
      <c r="DX166" s="92"/>
      <c r="DY166" s="92"/>
      <c r="DZ166" s="92"/>
      <c r="EA166" s="92"/>
      <c r="EB166" s="92"/>
      <c r="EC166" s="92"/>
      <c r="ED166" s="92"/>
      <c r="EE166" s="92"/>
      <c r="EF166" s="92"/>
      <c r="EG166" s="92"/>
      <c r="EH166" s="92"/>
      <c r="EI166" s="92"/>
      <c r="EJ166" s="92"/>
      <c r="EK166" s="92"/>
      <c r="EL166" s="92"/>
      <c r="EM166" s="92"/>
      <c r="EN166" s="92"/>
      <c r="EO166" s="92"/>
      <c r="EP166" s="92"/>
    </row>
    <row r="167" spans="10:146" x14ac:dyDescent="0.25">
      <c r="J167" s="92"/>
      <c r="K167" s="92"/>
      <c r="L167" s="92"/>
      <c r="M167" s="92"/>
      <c r="N167" s="92"/>
      <c r="O167" s="92"/>
      <c r="P167" s="92"/>
      <c r="Q167" s="92"/>
      <c r="R167" s="92"/>
      <c r="S167" s="92"/>
      <c r="T167" s="92"/>
      <c r="U167" s="92"/>
      <c r="V167" s="92"/>
      <c r="W167" s="92"/>
      <c r="X167" s="92"/>
      <c r="Y167" s="92"/>
      <c r="Z167" s="92"/>
      <c r="AA167" s="92"/>
      <c r="AB167" s="92"/>
      <c r="AC167" s="92"/>
      <c r="AD167" s="92"/>
      <c r="AE167" s="92"/>
      <c r="AF167" s="92"/>
      <c r="AG167" s="92"/>
      <c r="AH167" s="92"/>
      <c r="AI167" s="92"/>
      <c r="AJ167" s="92"/>
      <c r="AK167" s="92"/>
      <c r="AL167" s="92"/>
      <c r="AM167" s="92"/>
      <c r="AN167" s="92"/>
      <c r="AO167" s="92"/>
      <c r="AP167" s="92"/>
      <c r="AQ167" s="92"/>
      <c r="AR167" s="92"/>
      <c r="AS167" s="92"/>
      <c r="AT167" s="92"/>
      <c r="AU167" s="92"/>
      <c r="AV167" s="92"/>
      <c r="AW167" s="92"/>
      <c r="AX167" s="92"/>
      <c r="AY167" s="92"/>
      <c r="AZ167" s="92"/>
      <c r="BA167" s="92"/>
      <c r="BB167" s="92"/>
      <c r="BC167" s="92"/>
      <c r="BD167" s="92"/>
      <c r="BE167" s="92"/>
      <c r="BF167" s="92"/>
      <c r="BG167" s="92"/>
      <c r="BH167" s="92"/>
      <c r="BI167" s="92"/>
      <c r="BJ167" s="92"/>
      <c r="BK167" s="92"/>
      <c r="BL167" s="92"/>
      <c r="BM167" s="92"/>
      <c r="BN167" s="92"/>
      <c r="BO167" s="92"/>
      <c r="BP167" s="92"/>
      <c r="BQ167" s="92"/>
      <c r="BR167" s="92"/>
      <c r="BS167" s="92"/>
      <c r="BT167" s="92"/>
      <c r="BU167" s="92"/>
      <c r="BV167" s="92"/>
      <c r="BW167" s="92"/>
      <c r="BX167" s="92"/>
      <c r="BY167" s="92"/>
      <c r="BZ167" s="92"/>
      <c r="CA167" s="92"/>
      <c r="CB167" s="92"/>
      <c r="CC167" s="92"/>
      <c r="CD167" s="92"/>
      <c r="CE167" s="92"/>
      <c r="CF167" s="92"/>
      <c r="CG167" s="92"/>
      <c r="CH167" s="92"/>
      <c r="CI167" s="92"/>
      <c r="CJ167" s="92"/>
      <c r="CK167" s="92"/>
      <c r="CL167" s="92"/>
      <c r="CM167" s="92"/>
      <c r="CN167" s="92"/>
      <c r="CO167" s="92"/>
      <c r="CP167" s="92"/>
      <c r="CQ167" s="92"/>
      <c r="CR167" s="92"/>
      <c r="CS167" s="92"/>
      <c r="CT167" s="92"/>
      <c r="CU167" s="92"/>
      <c r="CV167" s="92"/>
      <c r="CW167" s="92"/>
      <c r="CX167" s="92"/>
      <c r="CY167" s="92"/>
      <c r="CZ167" s="92"/>
      <c r="DA167" s="92"/>
      <c r="DB167" s="92"/>
      <c r="DC167" s="92"/>
      <c r="DD167" s="92"/>
      <c r="DE167" s="92"/>
      <c r="DF167" s="92"/>
      <c r="DG167" s="92"/>
      <c r="DH167" s="92"/>
      <c r="DI167" s="92"/>
      <c r="DJ167" s="92"/>
      <c r="DK167" s="92"/>
      <c r="DL167" s="92"/>
      <c r="DM167" s="92"/>
      <c r="DN167" s="92"/>
      <c r="DO167" s="92"/>
      <c r="DP167" s="92"/>
      <c r="DQ167" s="92"/>
      <c r="DR167" s="92"/>
      <c r="DS167" s="92"/>
      <c r="DT167" s="92"/>
      <c r="DU167" s="92"/>
      <c r="DV167" s="92"/>
      <c r="DW167" s="92"/>
      <c r="DX167" s="92"/>
      <c r="DY167" s="92"/>
      <c r="DZ167" s="92"/>
      <c r="EA167" s="92"/>
      <c r="EB167" s="92"/>
      <c r="EC167" s="92"/>
      <c r="ED167" s="92"/>
      <c r="EE167" s="92"/>
      <c r="EF167" s="92"/>
      <c r="EG167" s="92"/>
      <c r="EH167" s="92"/>
      <c r="EI167" s="92"/>
      <c r="EJ167" s="92"/>
      <c r="EK167" s="92"/>
      <c r="EL167" s="92"/>
      <c r="EM167" s="92"/>
      <c r="EN167" s="92"/>
      <c r="EO167" s="92"/>
      <c r="EP167" s="92"/>
    </row>
    <row r="168" spans="10:146" x14ac:dyDescent="0.25">
      <c r="J168" s="92"/>
      <c r="K168" s="92"/>
      <c r="L168" s="92"/>
      <c r="M168" s="92"/>
      <c r="N168" s="92"/>
      <c r="O168" s="92"/>
      <c r="P168" s="92"/>
      <c r="Q168" s="92"/>
      <c r="R168" s="92"/>
      <c r="S168" s="92"/>
      <c r="T168" s="92"/>
      <c r="U168" s="92"/>
      <c r="V168" s="92"/>
      <c r="W168" s="92"/>
      <c r="X168" s="92"/>
      <c r="Y168" s="92"/>
      <c r="Z168" s="92"/>
      <c r="AA168" s="92"/>
      <c r="AB168" s="92"/>
      <c r="AC168" s="92"/>
      <c r="AD168" s="92"/>
      <c r="AE168" s="92"/>
      <c r="AF168" s="92"/>
      <c r="AG168" s="92"/>
      <c r="AH168" s="92"/>
      <c r="AI168" s="92"/>
      <c r="AJ168" s="92"/>
      <c r="AK168" s="92"/>
      <c r="AL168" s="92"/>
      <c r="AM168" s="92"/>
      <c r="AN168" s="92"/>
      <c r="AO168" s="92"/>
      <c r="AP168" s="92"/>
      <c r="AQ168" s="92"/>
      <c r="AR168" s="92"/>
      <c r="AS168" s="92"/>
      <c r="AT168" s="92"/>
      <c r="AU168" s="92"/>
      <c r="AV168" s="92"/>
      <c r="AW168" s="92"/>
      <c r="AX168" s="92"/>
      <c r="AY168" s="92"/>
      <c r="AZ168" s="92"/>
      <c r="BA168" s="92"/>
      <c r="BB168" s="92"/>
      <c r="BC168" s="92"/>
      <c r="BD168" s="92"/>
      <c r="BE168" s="92"/>
      <c r="BF168" s="92"/>
      <c r="BG168" s="92"/>
      <c r="BH168" s="92"/>
      <c r="BI168" s="92"/>
      <c r="BJ168" s="92"/>
      <c r="BK168" s="92"/>
      <c r="BL168" s="92"/>
      <c r="BM168" s="92"/>
      <c r="BN168" s="92"/>
      <c r="BO168" s="92"/>
      <c r="BP168" s="92"/>
      <c r="BQ168" s="92"/>
      <c r="BR168" s="92"/>
      <c r="BS168" s="92"/>
      <c r="BT168" s="92"/>
      <c r="BU168" s="92"/>
      <c r="BV168" s="92"/>
      <c r="BW168" s="92"/>
      <c r="BX168" s="92"/>
      <c r="BY168" s="92"/>
      <c r="BZ168" s="92"/>
      <c r="CA168" s="92"/>
      <c r="CB168" s="92"/>
      <c r="CC168" s="92"/>
      <c r="CD168" s="92"/>
      <c r="CE168" s="92"/>
      <c r="CF168" s="92"/>
      <c r="CG168" s="92"/>
      <c r="CH168" s="92"/>
      <c r="CI168" s="92"/>
      <c r="CJ168" s="92"/>
      <c r="CK168" s="92"/>
      <c r="CL168" s="92"/>
      <c r="CM168" s="92"/>
      <c r="CN168" s="92"/>
      <c r="CO168" s="92"/>
      <c r="CP168" s="92"/>
      <c r="CQ168" s="92"/>
      <c r="CR168" s="92"/>
      <c r="CS168" s="92"/>
      <c r="CT168" s="92"/>
      <c r="CU168" s="92"/>
      <c r="CV168" s="92"/>
      <c r="CW168" s="92"/>
      <c r="CX168" s="92"/>
      <c r="CY168" s="92"/>
      <c r="CZ168" s="92"/>
      <c r="DA168" s="92"/>
      <c r="DB168" s="92"/>
      <c r="DC168" s="92"/>
      <c r="DD168" s="92"/>
      <c r="DE168" s="92"/>
      <c r="DF168" s="92"/>
      <c r="DG168" s="92"/>
      <c r="DH168" s="92"/>
      <c r="DI168" s="92"/>
      <c r="DJ168" s="92"/>
      <c r="DK168" s="92"/>
      <c r="DL168" s="92"/>
      <c r="DM168" s="92"/>
      <c r="DN168" s="92"/>
      <c r="DO168" s="92"/>
      <c r="DP168" s="92"/>
      <c r="DQ168" s="92"/>
      <c r="DR168" s="92"/>
      <c r="DS168" s="92"/>
      <c r="DT168" s="92"/>
      <c r="DU168" s="92"/>
      <c r="DV168" s="92"/>
      <c r="DW168" s="92"/>
      <c r="DX168" s="92"/>
      <c r="DY168" s="92"/>
      <c r="DZ168" s="92"/>
      <c r="EA168" s="92"/>
      <c r="EB168" s="92"/>
      <c r="EC168" s="92"/>
      <c r="ED168" s="92"/>
      <c r="EE168" s="92"/>
      <c r="EF168" s="92"/>
      <c r="EG168" s="92"/>
      <c r="EH168" s="92"/>
      <c r="EI168" s="92"/>
      <c r="EJ168" s="92"/>
      <c r="EK168" s="92"/>
      <c r="EL168" s="92"/>
      <c r="EM168" s="92"/>
      <c r="EN168" s="92"/>
      <c r="EO168" s="92"/>
      <c r="EP168" s="92"/>
    </row>
    <row r="169" spans="10:146" x14ac:dyDescent="0.25">
      <c r="J169" s="92"/>
      <c r="K169" s="92"/>
      <c r="L169" s="92"/>
      <c r="M169" s="92"/>
      <c r="N169" s="92"/>
      <c r="O169" s="92"/>
      <c r="P169" s="92"/>
      <c r="Q169" s="92"/>
      <c r="R169" s="92"/>
      <c r="S169" s="92"/>
      <c r="T169" s="92"/>
      <c r="U169" s="92"/>
      <c r="V169" s="92"/>
      <c r="W169" s="92"/>
      <c r="X169" s="92"/>
      <c r="Y169" s="92"/>
      <c r="Z169" s="92"/>
      <c r="AA169" s="92"/>
      <c r="AB169" s="92"/>
      <c r="AC169" s="92"/>
      <c r="AD169" s="92"/>
      <c r="AE169" s="92"/>
      <c r="AF169" s="92"/>
      <c r="AG169" s="92"/>
      <c r="AH169" s="92"/>
      <c r="AI169" s="92"/>
      <c r="AJ169" s="92"/>
      <c r="AK169" s="92"/>
      <c r="AL169" s="92"/>
      <c r="AM169" s="92"/>
      <c r="AN169" s="92"/>
      <c r="AO169" s="92"/>
      <c r="AP169" s="92"/>
      <c r="AQ169" s="92"/>
      <c r="AR169" s="92"/>
      <c r="AS169" s="92"/>
      <c r="AT169" s="92"/>
      <c r="AU169" s="92"/>
      <c r="AV169" s="92"/>
      <c r="AW169" s="92"/>
      <c r="AX169" s="92"/>
      <c r="AY169" s="92"/>
      <c r="AZ169" s="92"/>
      <c r="BA169" s="92"/>
      <c r="BB169" s="92"/>
      <c r="BC169" s="92"/>
      <c r="BD169" s="92"/>
      <c r="BE169" s="92"/>
      <c r="BF169" s="92"/>
      <c r="BG169" s="92"/>
      <c r="BH169" s="92"/>
      <c r="BI169" s="92"/>
      <c r="BJ169" s="92"/>
      <c r="BK169" s="92"/>
      <c r="BL169" s="92"/>
      <c r="BM169" s="92"/>
      <c r="BN169" s="92"/>
      <c r="BO169" s="92"/>
      <c r="BP169" s="92"/>
      <c r="BQ169" s="92"/>
      <c r="BR169" s="92"/>
      <c r="BS169" s="92"/>
      <c r="BT169" s="92"/>
      <c r="BU169" s="92"/>
      <c r="BV169" s="92"/>
      <c r="BW169" s="92"/>
      <c r="BX169" s="92"/>
      <c r="BY169" s="92"/>
      <c r="BZ169" s="92"/>
      <c r="CA169" s="92"/>
      <c r="CB169" s="92"/>
      <c r="CC169" s="92"/>
      <c r="CD169" s="92"/>
      <c r="CE169" s="92"/>
      <c r="CF169" s="92"/>
      <c r="CG169" s="92"/>
      <c r="CH169" s="92"/>
      <c r="CI169" s="92"/>
      <c r="CJ169" s="92"/>
      <c r="CK169" s="92"/>
      <c r="CL169" s="92"/>
      <c r="CM169" s="92"/>
      <c r="CN169" s="92"/>
      <c r="CO169" s="92"/>
      <c r="CP169" s="92"/>
      <c r="CQ169" s="92"/>
      <c r="CR169" s="92"/>
      <c r="CS169" s="92"/>
      <c r="CT169" s="92"/>
      <c r="CU169" s="92"/>
      <c r="CV169" s="92"/>
      <c r="CW169" s="92"/>
      <c r="CX169" s="92"/>
      <c r="CY169" s="92"/>
      <c r="CZ169" s="92"/>
      <c r="DA169" s="92"/>
      <c r="DB169" s="92"/>
      <c r="DC169" s="92"/>
      <c r="DD169" s="92"/>
      <c r="DE169" s="92"/>
      <c r="DF169" s="92"/>
      <c r="DG169" s="92"/>
      <c r="DH169" s="92"/>
      <c r="DI169" s="92"/>
      <c r="DJ169" s="92"/>
      <c r="DK169" s="92"/>
      <c r="DL169" s="92"/>
      <c r="DM169" s="92"/>
      <c r="DN169" s="92"/>
      <c r="DO169" s="92"/>
      <c r="DP169" s="92"/>
      <c r="DQ169" s="92"/>
      <c r="DR169" s="92"/>
      <c r="DS169" s="92"/>
      <c r="DT169" s="92"/>
      <c r="DU169" s="92"/>
      <c r="DV169" s="92"/>
      <c r="DW169" s="92"/>
      <c r="DX169" s="92"/>
      <c r="DY169" s="92"/>
      <c r="DZ169" s="92"/>
      <c r="EA169" s="92"/>
      <c r="EB169" s="92"/>
      <c r="EC169" s="92"/>
      <c r="ED169" s="92"/>
      <c r="EE169" s="92"/>
      <c r="EF169" s="92"/>
      <c r="EG169" s="92"/>
      <c r="EH169" s="92"/>
      <c r="EI169" s="92"/>
      <c r="EJ169" s="92"/>
      <c r="EK169" s="92"/>
      <c r="EL169" s="92"/>
      <c r="EM169" s="92"/>
      <c r="EN169" s="92"/>
      <c r="EO169" s="92"/>
      <c r="EP169" s="92"/>
    </row>
    <row r="170" spans="10:146" x14ac:dyDescent="0.25">
      <c r="J170" s="92"/>
      <c r="K170" s="92"/>
      <c r="L170" s="92"/>
      <c r="M170" s="92"/>
      <c r="N170" s="92"/>
      <c r="O170" s="92"/>
      <c r="P170" s="92"/>
      <c r="Q170" s="92"/>
      <c r="R170" s="92"/>
      <c r="S170" s="92"/>
      <c r="T170" s="92"/>
      <c r="U170" s="92"/>
      <c r="V170" s="92"/>
      <c r="W170" s="92"/>
      <c r="X170" s="92"/>
      <c r="Y170" s="92"/>
      <c r="Z170" s="92"/>
      <c r="AA170" s="92"/>
      <c r="AB170" s="92"/>
      <c r="AC170" s="92"/>
      <c r="AD170" s="92"/>
      <c r="AE170" s="92"/>
      <c r="AF170" s="92"/>
      <c r="AG170" s="92"/>
      <c r="AH170" s="92"/>
      <c r="AI170" s="92"/>
      <c r="AJ170" s="92"/>
      <c r="AK170" s="92"/>
      <c r="AL170" s="92"/>
      <c r="AM170" s="92"/>
      <c r="AN170" s="92"/>
      <c r="AO170" s="92"/>
      <c r="AP170" s="92"/>
      <c r="AQ170" s="92"/>
      <c r="AR170" s="92"/>
      <c r="AS170" s="92"/>
      <c r="AT170" s="92"/>
      <c r="AU170" s="92"/>
      <c r="AV170" s="92"/>
      <c r="AW170" s="92"/>
      <c r="AX170" s="92"/>
      <c r="AY170" s="92"/>
      <c r="AZ170" s="92"/>
      <c r="BA170" s="92"/>
      <c r="BB170" s="92"/>
      <c r="BC170" s="92"/>
      <c r="BD170" s="92"/>
      <c r="BE170" s="92"/>
      <c r="BF170" s="92"/>
      <c r="BG170" s="92"/>
      <c r="BH170" s="92"/>
      <c r="BI170" s="92"/>
      <c r="BJ170" s="92"/>
      <c r="BK170" s="92"/>
      <c r="BL170" s="92"/>
      <c r="BM170" s="92"/>
      <c r="BN170" s="92"/>
      <c r="BO170" s="92"/>
      <c r="BP170" s="92"/>
      <c r="BQ170" s="92"/>
      <c r="BR170" s="92"/>
      <c r="BS170" s="92"/>
      <c r="BT170" s="92"/>
      <c r="BU170" s="92"/>
      <c r="BV170" s="92"/>
      <c r="BW170" s="92"/>
      <c r="BX170" s="92"/>
      <c r="BY170" s="92"/>
      <c r="BZ170" s="92"/>
      <c r="CA170" s="92"/>
      <c r="CB170" s="92"/>
      <c r="CC170" s="92"/>
      <c r="CD170" s="92"/>
      <c r="CE170" s="92"/>
      <c r="CF170" s="92"/>
      <c r="CG170" s="92"/>
      <c r="CH170" s="92"/>
      <c r="CI170" s="92"/>
      <c r="CJ170" s="92"/>
      <c r="CK170" s="92"/>
      <c r="CL170" s="92"/>
      <c r="CM170" s="92"/>
      <c r="CN170" s="92"/>
      <c r="CO170" s="92"/>
      <c r="CP170" s="92"/>
      <c r="CQ170" s="92"/>
      <c r="CR170" s="92"/>
      <c r="CS170" s="92"/>
      <c r="CT170" s="92"/>
      <c r="CU170" s="92"/>
      <c r="CV170" s="92"/>
      <c r="CW170" s="92"/>
      <c r="CX170" s="92"/>
      <c r="CY170" s="92"/>
      <c r="CZ170" s="92"/>
      <c r="DA170" s="92"/>
      <c r="DB170" s="92"/>
      <c r="DC170" s="92"/>
      <c r="DD170" s="92"/>
      <c r="DE170" s="92"/>
      <c r="DF170" s="92"/>
      <c r="DG170" s="92"/>
      <c r="DH170" s="92"/>
      <c r="DI170" s="92"/>
      <c r="DJ170" s="92"/>
      <c r="DK170" s="92"/>
      <c r="DL170" s="92"/>
      <c r="DM170" s="92"/>
      <c r="DN170" s="92"/>
      <c r="DO170" s="92"/>
      <c r="DP170" s="92"/>
      <c r="DQ170" s="92"/>
      <c r="DR170" s="92"/>
      <c r="DS170" s="92"/>
      <c r="DT170" s="92"/>
      <c r="DU170" s="92"/>
      <c r="DV170" s="92"/>
      <c r="DW170" s="92"/>
      <c r="DX170" s="92"/>
      <c r="DY170" s="92"/>
      <c r="DZ170" s="92"/>
      <c r="EA170" s="92"/>
      <c r="EB170" s="92"/>
      <c r="EC170" s="92"/>
      <c r="ED170" s="92"/>
      <c r="EE170" s="92"/>
      <c r="EF170" s="92"/>
      <c r="EG170" s="92"/>
      <c r="EH170" s="92"/>
      <c r="EI170" s="92"/>
      <c r="EJ170" s="92"/>
      <c r="EK170" s="92"/>
      <c r="EL170" s="92"/>
      <c r="EM170" s="92"/>
      <c r="EN170" s="92"/>
      <c r="EO170" s="92"/>
      <c r="EP170" s="92"/>
    </row>
    <row r="171" spans="10:146" x14ac:dyDescent="0.25">
      <c r="J171" s="92"/>
      <c r="K171" s="92"/>
      <c r="L171" s="92"/>
      <c r="M171" s="92"/>
      <c r="N171" s="92"/>
      <c r="O171" s="92"/>
      <c r="P171" s="92"/>
      <c r="Q171" s="92"/>
      <c r="R171" s="92"/>
      <c r="S171" s="92"/>
      <c r="T171" s="92"/>
      <c r="U171" s="92"/>
      <c r="V171" s="92"/>
      <c r="W171" s="92"/>
      <c r="X171" s="92"/>
      <c r="Y171" s="92"/>
      <c r="Z171" s="92"/>
      <c r="AA171" s="92"/>
      <c r="AB171" s="92"/>
      <c r="AC171" s="92"/>
      <c r="AD171" s="92"/>
      <c r="AE171" s="92"/>
      <c r="AF171" s="92"/>
      <c r="AG171" s="92"/>
      <c r="AH171" s="92"/>
      <c r="AI171" s="92"/>
      <c r="AJ171" s="92"/>
      <c r="AK171" s="92"/>
      <c r="AL171" s="92"/>
      <c r="AM171" s="92"/>
      <c r="AN171" s="92"/>
      <c r="AO171" s="92"/>
      <c r="AP171" s="92"/>
      <c r="AQ171" s="92"/>
      <c r="AR171" s="92"/>
      <c r="AS171" s="92"/>
      <c r="AT171" s="92"/>
      <c r="AU171" s="92"/>
      <c r="AV171" s="92"/>
      <c r="AW171" s="92"/>
      <c r="AX171" s="92"/>
      <c r="AY171" s="92"/>
      <c r="AZ171" s="92"/>
      <c r="BA171" s="92"/>
      <c r="BB171" s="92"/>
      <c r="BC171" s="92"/>
      <c r="BD171" s="92"/>
      <c r="BE171" s="92"/>
      <c r="BF171" s="92"/>
      <c r="BG171" s="92"/>
      <c r="BH171" s="92"/>
      <c r="BI171" s="92"/>
      <c r="BJ171" s="92"/>
      <c r="BK171" s="92"/>
      <c r="BL171" s="92"/>
      <c r="BM171" s="92"/>
      <c r="BN171" s="92"/>
      <c r="BO171" s="92"/>
      <c r="BP171" s="92"/>
      <c r="BQ171" s="92"/>
      <c r="BR171" s="92"/>
      <c r="BS171" s="92"/>
      <c r="BT171" s="92"/>
      <c r="BU171" s="92"/>
      <c r="BV171" s="92"/>
      <c r="BW171" s="92"/>
      <c r="BX171" s="92"/>
      <c r="BY171" s="92"/>
      <c r="BZ171" s="92"/>
      <c r="CA171" s="92"/>
      <c r="CB171" s="92"/>
      <c r="CC171" s="92"/>
      <c r="CD171" s="92"/>
      <c r="CE171" s="92"/>
      <c r="CF171" s="92"/>
      <c r="CG171" s="92"/>
      <c r="CH171" s="92"/>
      <c r="CI171" s="92"/>
      <c r="CJ171" s="92"/>
      <c r="CK171" s="92"/>
      <c r="CL171" s="92"/>
      <c r="CM171" s="92"/>
      <c r="CN171" s="92"/>
      <c r="CO171" s="92"/>
      <c r="CP171" s="92"/>
      <c r="CQ171" s="92"/>
      <c r="CR171" s="92"/>
      <c r="CS171" s="92"/>
      <c r="CT171" s="92"/>
      <c r="CU171" s="92"/>
      <c r="CV171" s="92"/>
      <c r="CW171" s="92"/>
      <c r="CX171" s="92"/>
      <c r="CY171" s="92"/>
      <c r="CZ171" s="92"/>
      <c r="DA171" s="92"/>
      <c r="DB171" s="92"/>
      <c r="DC171" s="92"/>
      <c r="DD171" s="92"/>
      <c r="DE171" s="92"/>
      <c r="DF171" s="92"/>
      <c r="DG171" s="92"/>
      <c r="DH171" s="92"/>
      <c r="DI171" s="92"/>
      <c r="DJ171" s="92"/>
      <c r="DK171" s="92"/>
      <c r="DL171" s="92"/>
      <c r="DM171" s="92"/>
      <c r="DN171" s="92"/>
      <c r="DO171" s="92"/>
      <c r="DP171" s="92"/>
      <c r="DQ171" s="92"/>
      <c r="DR171" s="92"/>
      <c r="DS171" s="92"/>
      <c r="DT171" s="92"/>
      <c r="DU171" s="92"/>
      <c r="DV171" s="92"/>
      <c r="DW171" s="92"/>
      <c r="DX171" s="92"/>
      <c r="DY171" s="92"/>
      <c r="DZ171" s="92"/>
      <c r="EA171" s="92"/>
      <c r="EB171" s="92"/>
      <c r="EC171" s="92"/>
      <c r="ED171" s="92"/>
      <c r="EE171" s="92"/>
      <c r="EF171" s="92"/>
      <c r="EG171" s="92"/>
      <c r="EH171" s="92"/>
      <c r="EI171" s="92"/>
      <c r="EJ171" s="92"/>
      <c r="EK171" s="92"/>
      <c r="EL171" s="92"/>
      <c r="EM171" s="92"/>
      <c r="EN171" s="92"/>
      <c r="EO171" s="92"/>
      <c r="EP171" s="92"/>
    </row>
    <row r="172" spans="10:146" x14ac:dyDescent="0.25">
      <c r="J172" s="92"/>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92"/>
      <c r="AI172" s="92"/>
      <c r="AJ172" s="92"/>
      <c r="AK172" s="92"/>
      <c r="AL172" s="92"/>
      <c r="AM172" s="92"/>
      <c r="AN172" s="92"/>
      <c r="AO172" s="92"/>
      <c r="AP172" s="92"/>
      <c r="AQ172" s="92"/>
      <c r="AR172" s="92"/>
      <c r="AS172" s="92"/>
      <c r="AT172" s="92"/>
      <c r="AU172" s="92"/>
      <c r="AV172" s="92"/>
      <c r="AW172" s="92"/>
      <c r="AX172" s="92"/>
      <c r="AY172" s="92"/>
      <c r="AZ172" s="92"/>
      <c r="BA172" s="92"/>
      <c r="BB172" s="92"/>
      <c r="BC172" s="92"/>
      <c r="BD172" s="92"/>
      <c r="BE172" s="92"/>
      <c r="BF172" s="92"/>
      <c r="BG172" s="92"/>
      <c r="BH172" s="92"/>
      <c r="BI172" s="92"/>
      <c r="BJ172" s="92"/>
      <c r="BK172" s="92"/>
      <c r="BL172" s="92"/>
      <c r="BM172" s="92"/>
      <c r="BN172" s="92"/>
      <c r="BO172" s="92"/>
      <c r="BP172" s="92"/>
      <c r="BQ172" s="92"/>
      <c r="BR172" s="92"/>
      <c r="BS172" s="92"/>
      <c r="BT172" s="92"/>
      <c r="BU172" s="92"/>
      <c r="BV172" s="92"/>
      <c r="BW172" s="92"/>
      <c r="BX172" s="92"/>
      <c r="BY172" s="92"/>
      <c r="BZ172" s="92"/>
      <c r="CA172" s="92"/>
      <c r="CB172" s="92"/>
      <c r="CC172" s="92"/>
      <c r="CD172" s="92"/>
      <c r="CE172" s="92"/>
      <c r="CF172" s="92"/>
      <c r="CG172" s="92"/>
      <c r="CH172" s="92"/>
      <c r="CI172" s="92"/>
      <c r="CJ172" s="92"/>
      <c r="CK172" s="92"/>
      <c r="CL172" s="92"/>
      <c r="CM172" s="92"/>
      <c r="CN172" s="92"/>
      <c r="CO172" s="92"/>
      <c r="CP172" s="92"/>
      <c r="CQ172" s="92"/>
      <c r="CR172" s="92"/>
      <c r="CS172" s="92"/>
      <c r="CT172" s="92"/>
      <c r="CU172" s="92"/>
      <c r="CV172" s="92"/>
      <c r="CW172" s="92"/>
      <c r="CX172" s="92"/>
      <c r="CY172" s="92"/>
      <c r="CZ172" s="92"/>
      <c r="DA172" s="92"/>
      <c r="DB172" s="92"/>
      <c r="DC172" s="92"/>
      <c r="DD172" s="92"/>
      <c r="DE172" s="92"/>
      <c r="DF172" s="92"/>
      <c r="DG172" s="92"/>
      <c r="DH172" s="92"/>
      <c r="DI172" s="92"/>
      <c r="DJ172" s="92"/>
      <c r="DK172" s="92"/>
      <c r="DL172" s="92"/>
      <c r="DM172" s="92"/>
      <c r="DN172" s="92"/>
      <c r="DO172" s="92"/>
      <c r="DP172" s="92"/>
      <c r="DQ172" s="92"/>
      <c r="DR172" s="92"/>
      <c r="DS172" s="92"/>
      <c r="DT172" s="92"/>
      <c r="DU172" s="92"/>
      <c r="DV172" s="92"/>
      <c r="DW172" s="92"/>
      <c r="DX172" s="92"/>
      <c r="DY172" s="92"/>
      <c r="DZ172" s="92"/>
      <c r="EA172" s="92"/>
      <c r="EB172" s="92"/>
      <c r="EC172" s="92"/>
      <c r="ED172" s="92"/>
      <c r="EE172" s="92"/>
      <c r="EF172" s="92"/>
      <c r="EG172" s="92"/>
      <c r="EH172" s="92"/>
      <c r="EI172" s="92"/>
      <c r="EJ172" s="92"/>
      <c r="EK172" s="92"/>
      <c r="EL172" s="92"/>
      <c r="EM172" s="92"/>
      <c r="EN172" s="92"/>
      <c r="EO172" s="92"/>
      <c r="EP172" s="92"/>
    </row>
    <row r="173" spans="10:146" x14ac:dyDescent="0.25">
      <c r="J173" s="92"/>
      <c r="K173" s="92"/>
      <c r="L173" s="92"/>
      <c r="M173" s="92"/>
      <c r="N173" s="92"/>
      <c r="O173" s="92"/>
      <c r="P173" s="92"/>
      <c r="Q173" s="92"/>
      <c r="R173" s="92"/>
      <c r="S173" s="92"/>
      <c r="T173" s="92"/>
      <c r="U173" s="92"/>
      <c r="V173" s="92"/>
      <c r="W173" s="92"/>
      <c r="X173" s="92"/>
      <c r="Y173" s="92"/>
      <c r="Z173" s="92"/>
      <c r="AA173" s="92"/>
      <c r="AB173" s="92"/>
      <c r="AC173" s="92"/>
      <c r="AD173" s="92"/>
      <c r="AE173" s="92"/>
      <c r="AF173" s="92"/>
      <c r="AG173" s="92"/>
      <c r="AH173" s="92"/>
      <c r="AI173" s="92"/>
      <c r="AJ173" s="92"/>
      <c r="AK173" s="92"/>
      <c r="AL173" s="92"/>
      <c r="AM173" s="92"/>
      <c r="AN173" s="92"/>
      <c r="AO173" s="92"/>
      <c r="AP173" s="92"/>
      <c r="AQ173" s="92"/>
      <c r="AR173" s="92"/>
      <c r="AS173" s="92"/>
      <c r="AT173" s="92"/>
      <c r="AU173" s="92"/>
      <c r="AV173" s="92"/>
      <c r="AW173" s="92"/>
      <c r="AX173" s="92"/>
      <c r="AY173" s="92"/>
      <c r="AZ173" s="92"/>
      <c r="BA173" s="92"/>
      <c r="BB173" s="92"/>
      <c r="BC173" s="92"/>
      <c r="BD173" s="92"/>
      <c r="BE173" s="92"/>
      <c r="BF173" s="92"/>
      <c r="BG173" s="92"/>
      <c r="BH173" s="92"/>
      <c r="BI173" s="92"/>
      <c r="BJ173" s="92"/>
      <c r="BK173" s="92"/>
      <c r="BL173" s="92"/>
      <c r="BM173" s="92"/>
      <c r="BN173" s="92"/>
      <c r="BO173" s="92"/>
      <c r="BP173" s="92"/>
      <c r="BQ173" s="92"/>
      <c r="BR173" s="92"/>
      <c r="BS173" s="92"/>
      <c r="BT173" s="92"/>
      <c r="BU173" s="92"/>
      <c r="BV173" s="92"/>
      <c r="BW173" s="92"/>
      <c r="BX173" s="92"/>
      <c r="BY173" s="92"/>
      <c r="BZ173" s="92"/>
      <c r="CA173" s="92"/>
      <c r="CB173" s="92"/>
      <c r="CC173" s="92"/>
      <c r="CD173" s="92"/>
      <c r="CE173" s="92"/>
      <c r="CF173" s="92"/>
      <c r="CG173" s="92"/>
      <c r="CH173" s="92"/>
      <c r="CI173" s="92"/>
      <c r="CJ173" s="92"/>
      <c r="CK173" s="92"/>
      <c r="CL173" s="92"/>
      <c r="CM173" s="92"/>
      <c r="CN173" s="92"/>
      <c r="CO173" s="92"/>
      <c r="CP173" s="92"/>
      <c r="CQ173" s="92"/>
      <c r="CR173" s="92"/>
      <c r="CS173" s="92"/>
      <c r="CT173" s="92"/>
      <c r="CU173" s="92"/>
      <c r="CV173" s="92"/>
      <c r="CW173" s="92"/>
      <c r="CX173" s="92"/>
      <c r="CY173" s="92"/>
      <c r="CZ173" s="92"/>
      <c r="DA173" s="92"/>
      <c r="DB173" s="92"/>
      <c r="DC173" s="92"/>
      <c r="DD173" s="92"/>
      <c r="DE173" s="92"/>
      <c r="DF173" s="92"/>
      <c r="DG173" s="92"/>
      <c r="DH173" s="92"/>
      <c r="DI173" s="92"/>
      <c r="DJ173" s="92"/>
      <c r="DK173" s="92"/>
      <c r="DL173" s="92"/>
      <c r="DM173" s="92"/>
      <c r="DN173" s="92"/>
      <c r="DO173" s="92"/>
      <c r="DP173" s="92"/>
      <c r="DQ173" s="92"/>
      <c r="DR173" s="92"/>
      <c r="DS173" s="92"/>
      <c r="DT173" s="92"/>
      <c r="DU173" s="92"/>
      <c r="DV173" s="92"/>
      <c r="DW173" s="92"/>
      <c r="DX173" s="92"/>
      <c r="DY173" s="92"/>
      <c r="DZ173" s="92"/>
      <c r="EA173" s="92"/>
      <c r="EB173" s="92"/>
      <c r="EC173" s="92"/>
      <c r="ED173" s="92"/>
      <c r="EE173" s="92"/>
      <c r="EF173" s="92"/>
      <c r="EG173" s="92"/>
      <c r="EH173" s="92"/>
      <c r="EI173" s="92"/>
      <c r="EJ173" s="92"/>
      <c r="EK173" s="92"/>
      <c r="EL173" s="92"/>
      <c r="EM173" s="92"/>
      <c r="EN173" s="92"/>
      <c r="EO173" s="92"/>
      <c r="EP173" s="92"/>
    </row>
    <row r="174" spans="10:146" x14ac:dyDescent="0.25">
      <c r="J174" s="92"/>
      <c r="K174" s="92"/>
      <c r="L174" s="92"/>
      <c r="M174" s="92"/>
      <c r="N174" s="92"/>
      <c r="O174" s="92"/>
      <c r="P174" s="92"/>
      <c r="Q174" s="92"/>
      <c r="R174" s="92"/>
      <c r="S174" s="92"/>
      <c r="T174" s="92"/>
      <c r="U174" s="92"/>
      <c r="V174" s="92"/>
      <c r="W174" s="92"/>
      <c r="X174" s="92"/>
      <c r="Y174" s="92"/>
      <c r="Z174" s="92"/>
      <c r="AA174" s="92"/>
      <c r="AB174" s="92"/>
      <c r="AC174" s="92"/>
      <c r="AD174" s="92"/>
      <c r="AE174" s="92"/>
      <c r="AF174" s="92"/>
      <c r="AG174" s="92"/>
      <c r="AH174" s="92"/>
      <c r="AI174" s="92"/>
      <c r="AJ174" s="92"/>
      <c r="AK174" s="92"/>
      <c r="AL174" s="92"/>
      <c r="AM174" s="92"/>
      <c r="AN174" s="92"/>
      <c r="AO174" s="92"/>
      <c r="AP174" s="92"/>
      <c r="AQ174" s="92"/>
      <c r="AR174" s="92"/>
      <c r="AS174" s="92"/>
      <c r="AT174" s="92"/>
      <c r="AU174" s="92"/>
      <c r="AV174" s="92"/>
      <c r="AW174" s="92"/>
      <c r="AX174" s="92"/>
      <c r="AY174" s="92"/>
      <c r="AZ174" s="92"/>
      <c r="BA174" s="92"/>
      <c r="BB174" s="92"/>
      <c r="BC174" s="92"/>
      <c r="BD174" s="92"/>
      <c r="BE174" s="92"/>
      <c r="BF174" s="92"/>
      <c r="BG174" s="92"/>
      <c r="BH174" s="92"/>
      <c r="BI174" s="92"/>
      <c r="BJ174" s="92"/>
      <c r="BK174" s="92"/>
      <c r="BL174" s="92"/>
      <c r="BM174" s="92"/>
      <c r="BN174" s="92"/>
      <c r="BO174" s="92"/>
      <c r="BP174" s="92"/>
      <c r="BQ174" s="92"/>
      <c r="BR174" s="92"/>
      <c r="BS174" s="92"/>
      <c r="BT174" s="92"/>
      <c r="BU174" s="92"/>
      <c r="BV174" s="92"/>
      <c r="BW174" s="92"/>
      <c r="BX174" s="92"/>
      <c r="BY174" s="92"/>
      <c r="BZ174" s="92"/>
      <c r="CA174" s="92"/>
      <c r="CB174" s="92"/>
      <c r="CC174" s="92"/>
      <c r="CD174" s="92"/>
      <c r="CE174" s="92"/>
      <c r="CF174" s="92"/>
      <c r="CG174" s="92"/>
      <c r="CH174" s="92"/>
      <c r="CI174" s="92"/>
      <c r="CJ174" s="92"/>
      <c r="CK174" s="92"/>
      <c r="CL174" s="92"/>
      <c r="CM174" s="92"/>
      <c r="CN174" s="92"/>
      <c r="CO174" s="92"/>
      <c r="CP174" s="92"/>
      <c r="CQ174" s="92"/>
      <c r="CR174" s="92"/>
      <c r="CS174" s="92"/>
      <c r="CT174" s="92"/>
      <c r="CU174" s="92"/>
      <c r="CV174" s="92"/>
      <c r="CW174" s="92"/>
      <c r="CX174" s="92"/>
      <c r="CY174" s="92"/>
      <c r="CZ174" s="92"/>
      <c r="DA174" s="92"/>
      <c r="DB174" s="92"/>
      <c r="DC174" s="92"/>
      <c r="DD174" s="92"/>
      <c r="DE174" s="92"/>
      <c r="DF174" s="92"/>
      <c r="DG174" s="92"/>
      <c r="DH174" s="92"/>
      <c r="DI174" s="92"/>
      <c r="DJ174" s="92"/>
      <c r="DK174" s="92"/>
      <c r="DL174" s="92"/>
      <c r="DM174" s="92"/>
      <c r="DN174" s="92"/>
      <c r="DO174" s="92"/>
      <c r="DP174" s="92"/>
      <c r="DQ174" s="92"/>
      <c r="DR174" s="92"/>
      <c r="DS174" s="92"/>
      <c r="DT174" s="92"/>
      <c r="DU174" s="92"/>
      <c r="DV174" s="92"/>
      <c r="DW174" s="92"/>
      <c r="DX174" s="92"/>
      <c r="DY174" s="92"/>
      <c r="DZ174" s="92"/>
      <c r="EA174" s="92"/>
      <c r="EB174" s="92"/>
      <c r="EC174" s="92"/>
      <c r="ED174" s="92"/>
      <c r="EE174" s="92"/>
      <c r="EF174" s="92"/>
      <c r="EG174" s="92"/>
      <c r="EH174" s="92"/>
      <c r="EI174" s="92"/>
      <c r="EJ174" s="92"/>
      <c r="EK174" s="92"/>
      <c r="EL174" s="92"/>
      <c r="EM174" s="92"/>
      <c r="EN174" s="92"/>
      <c r="EO174" s="92"/>
      <c r="EP174" s="92"/>
    </row>
    <row r="175" spans="10:146" x14ac:dyDescent="0.25">
      <c r="J175" s="92"/>
      <c r="K175" s="92"/>
      <c r="L175" s="92"/>
      <c r="M175" s="92"/>
      <c r="N175" s="92"/>
      <c r="O175" s="92"/>
      <c r="P175" s="92"/>
      <c r="Q175" s="92"/>
      <c r="R175" s="92"/>
      <c r="S175" s="92"/>
      <c r="T175" s="92"/>
      <c r="U175" s="92"/>
      <c r="V175" s="92"/>
      <c r="W175" s="92"/>
      <c r="X175" s="92"/>
      <c r="Y175" s="92"/>
      <c r="Z175" s="92"/>
      <c r="AA175" s="92"/>
      <c r="AB175" s="92"/>
      <c r="AC175" s="92"/>
      <c r="AD175" s="92"/>
      <c r="AE175" s="92"/>
      <c r="AF175" s="92"/>
      <c r="AG175" s="92"/>
      <c r="AH175" s="92"/>
      <c r="AI175" s="92"/>
      <c r="AJ175" s="92"/>
      <c r="AK175" s="92"/>
      <c r="AL175" s="92"/>
      <c r="AM175" s="92"/>
      <c r="AN175" s="92"/>
      <c r="AO175" s="92"/>
      <c r="AP175" s="92"/>
      <c r="AQ175" s="92"/>
      <c r="AR175" s="92"/>
      <c r="AS175" s="92"/>
      <c r="AT175" s="92"/>
      <c r="AU175" s="92"/>
      <c r="AV175" s="92"/>
      <c r="AW175" s="92"/>
      <c r="AX175" s="92"/>
      <c r="AY175" s="92"/>
      <c r="AZ175" s="92"/>
      <c r="BA175" s="92"/>
      <c r="BB175" s="92"/>
      <c r="BC175" s="92"/>
      <c r="BD175" s="92"/>
      <c r="BE175" s="92"/>
      <c r="BF175" s="92"/>
      <c r="BG175" s="92"/>
      <c r="BH175" s="92"/>
      <c r="BI175" s="92"/>
      <c r="BJ175" s="92"/>
      <c r="BK175" s="92"/>
      <c r="BL175" s="92"/>
      <c r="BM175" s="92"/>
      <c r="BN175" s="92"/>
      <c r="BO175" s="92"/>
      <c r="BP175" s="92"/>
      <c r="BQ175" s="92"/>
      <c r="BR175" s="92"/>
      <c r="BS175" s="92"/>
      <c r="BT175" s="92"/>
      <c r="BU175" s="92"/>
      <c r="BV175" s="92"/>
      <c r="BW175" s="92"/>
      <c r="BX175" s="92"/>
      <c r="BY175" s="92"/>
      <c r="BZ175" s="92"/>
      <c r="CA175" s="92"/>
      <c r="CB175" s="92"/>
      <c r="CC175" s="92"/>
      <c r="CD175" s="92"/>
      <c r="CE175" s="92"/>
      <c r="CF175" s="92"/>
      <c r="CG175" s="92"/>
      <c r="CH175" s="92"/>
      <c r="CI175" s="92"/>
      <c r="CJ175" s="92"/>
      <c r="CK175" s="92"/>
      <c r="CL175" s="92"/>
      <c r="CM175" s="92"/>
      <c r="CN175" s="92"/>
      <c r="CO175" s="92"/>
      <c r="CP175" s="92"/>
      <c r="CQ175" s="92"/>
      <c r="CR175" s="92"/>
      <c r="CS175" s="92"/>
      <c r="CT175" s="92"/>
      <c r="CU175" s="92"/>
      <c r="CV175" s="92"/>
      <c r="CW175" s="92"/>
      <c r="CX175" s="92"/>
      <c r="CY175" s="92"/>
      <c r="CZ175" s="92"/>
      <c r="DA175" s="92"/>
      <c r="DB175" s="92"/>
      <c r="DC175" s="92"/>
      <c r="DD175" s="92"/>
      <c r="DE175" s="92"/>
      <c r="DF175" s="92"/>
      <c r="DG175" s="92"/>
      <c r="DH175" s="92"/>
      <c r="DI175" s="92"/>
      <c r="DJ175" s="92"/>
      <c r="DK175" s="92"/>
      <c r="DL175" s="92"/>
      <c r="DM175" s="92"/>
      <c r="DN175" s="92"/>
      <c r="DO175" s="92"/>
      <c r="DP175" s="92"/>
      <c r="DQ175" s="92"/>
      <c r="DR175" s="92"/>
      <c r="DS175" s="92"/>
      <c r="DT175" s="92"/>
      <c r="DU175" s="92"/>
      <c r="DV175" s="92"/>
      <c r="DW175" s="92"/>
      <c r="DX175" s="92"/>
      <c r="DY175" s="92"/>
      <c r="DZ175" s="92"/>
      <c r="EA175" s="92"/>
      <c r="EB175" s="92"/>
      <c r="EC175" s="92"/>
      <c r="ED175" s="92"/>
      <c r="EE175" s="92"/>
      <c r="EF175" s="92"/>
      <c r="EG175" s="92"/>
      <c r="EH175" s="92"/>
      <c r="EI175" s="92"/>
      <c r="EJ175" s="92"/>
      <c r="EK175" s="92"/>
      <c r="EL175" s="92"/>
      <c r="EM175" s="92"/>
      <c r="EN175" s="92"/>
      <c r="EO175" s="92"/>
      <c r="EP175" s="92"/>
    </row>
    <row r="176" spans="10:146" x14ac:dyDescent="0.25">
      <c r="J176" s="92"/>
      <c r="K176" s="92"/>
      <c r="L176" s="92"/>
      <c r="M176" s="92"/>
      <c r="N176" s="92"/>
      <c r="O176" s="92"/>
      <c r="P176" s="92"/>
      <c r="Q176" s="92"/>
      <c r="R176" s="92"/>
      <c r="S176" s="92"/>
      <c r="T176" s="92"/>
      <c r="U176" s="92"/>
      <c r="V176" s="92"/>
      <c r="W176" s="92"/>
      <c r="X176" s="92"/>
      <c r="Y176" s="92"/>
      <c r="Z176" s="92"/>
      <c r="AA176" s="92"/>
      <c r="AB176" s="92"/>
      <c r="AC176" s="92"/>
      <c r="AD176" s="92"/>
      <c r="AE176" s="92"/>
      <c r="AF176" s="92"/>
      <c r="AG176" s="92"/>
      <c r="AH176" s="92"/>
      <c r="AI176" s="92"/>
      <c r="AJ176" s="92"/>
      <c r="AK176" s="92"/>
      <c r="AL176" s="92"/>
      <c r="AM176" s="92"/>
      <c r="AN176" s="92"/>
      <c r="AO176" s="92"/>
      <c r="AP176" s="92"/>
      <c r="AQ176" s="92"/>
      <c r="AR176" s="92"/>
      <c r="AS176" s="92"/>
      <c r="AT176" s="92"/>
      <c r="AU176" s="92"/>
      <c r="AV176" s="92"/>
      <c r="AW176" s="92"/>
      <c r="AX176" s="92"/>
      <c r="AY176" s="92"/>
      <c r="AZ176" s="92"/>
      <c r="BA176" s="92"/>
      <c r="BB176" s="92"/>
      <c r="BC176" s="92"/>
      <c r="BD176" s="92"/>
      <c r="BE176" s="92"/>
      <c r="BF176" s="92"/>
      <c r="BG176" s="92"/>
      <c r="BH176" s="92"/>
      <c r="BI176" s="92"/>
      <c r="BJ176" s="92"/>
      <c r="BK176" s="92"/>
      <c r="BL176" s="92"/>
      <c r="BM176" s="92"/>
      <c r="BN176" s="92"/>
      <c r="BO176" s="92"/>
      <c r="BP176" s="92"/>
      <c r="BQ176" s="92"/>
      <c r="BR176" s="92"/>
      <c r="BS176" s="92"/>
      <c r="BT176" s="92"/>
      <c r="BU176" s="92"/>
      <c r="BV176" s="92"/>
      <c r="BW176" s="92"/>
      <c r="BX176" s="92"/>
      <c r="BY176" s="92"/>
      <c r="BZ176" s="92"/>
      <c r="CA176" s="92"/>
      <c r="CB176" s="92"/>
      <c r="CC176" s="92"/>
      <c r="CD176" s="92"/>
      <c r="CE176" s="92"/>
      <c r="CF176" s="92"/>
      <c r="CG176" s="92"/>
      <c r="CH176" s="92"/>
      <c r="CI176" s="92"/>
      <c r="CJ176" s="92"/>
      <c r="CK176" s="92"/>
      <c r="CL176" s="92"/>
      <c r="CM176" s="92"/>
      <c r="CN176" s="92"/>
      <c r="CO176" s="92"/>
      <c r="CP176" s="92"/>
      <c r="CQ176" s="92"/>
      <c r="CR176" s="92"/>
      <c r="CS176" s="92"/>
      <c r="CT176" s="92"/>
      <c r="CU176" s="92"/>
      <c r="CV176" s="92"/>
      <c r="CW176" s="92"/>
      <c r="CX176" s="92"/>
      <c r="CY176" s="92"/>
      <c r="CZ176" s="92"/>
      <c r="DA176" s="92"/>
      <c r="DB176" s="92"/>
      <c r="DC176" s="92"/>
      <c r="DD176" s="92"/>
      <c r="DE176" s="92"/>
      <c r="DF176" s="92"/>
      <c r="DG176" s="92"/>
      <c r="DH176" s="92"/>
      <c r="DI176" s="92"/>
      <c r="DJ176" s="92"/>
      <c r="DK176" s="92"/>
      <c r="DL176" s="92"/>
      <c r="DM176" s="92"/>
      <c r="DN176" s="92"/>
      <c r="DO176" s="92"/>
      <c r="DP176" s="92"/>
      <c r="DQ176" s="92"/>
      <c r="DR176" s="92"/>
      <c r="DS176" s="92"/>
      <c r="DT176" s="92"/>
      <c r="DU176" s="92"/>
      <c r="DV176" s="92"/>
      <c r="DW176" s="92"/>
      <c r="DX176" s="92"/>
      <c r="DY176" s="92"/>
      <c r="DZ176" s="92"/>
      <c r="EA176" s="92"/>
      <c r="EB176" s="92"/>
      <c r="EC176" s="92"/>
      <c r="ED176" s="92"/>
      <c r="EE176" s="92"/>
      <c r="EF176" s="92"/>
      <c r="EG176" s="92"/>
      <c r="EH176" s="92"/>
      <c r="EI176" s="92"/>
      <c r="EJ176" s="92"/>
      <c r="EK176" s="92"/>
      <c r="EL176" s="92"/>
      <c r="EM176" s="92"/>
      <c r="EN176" s="92"/>
      <c r="EO176" s="92"/>
      <c r="EP176" s="92"/>
    </row>
    <row r="177" spans="1:146" x14ac:dyDescent="0.25">
      <c r="J177" s="92"/>
      <c r="K177" s="92"/>
      <c r="L177" s="92"/>
      <c r="M177" s="92"/>
      <c r="N177" s="92"/>
      <c r="O177" s="92"/>
      <c r="P177" s="92"/>
      <c r="Q177" s="92"/>
      <c r="R177" s="92"/>
      <c r="S177" s="92"/>
      <c r="T177" s="92"/>
      <c r="U177" s="92"/>
      <c r="V177" s="92"/>
      <c r="W177" s="92"/>
      <c r="X177" s="92"/>
      <c r="Y177" s="92"/>
      <c r="Z177" s="92"/>
      <c r="AA177" s="92"/>
      <c r="AB177" s="92"/>
      <c r="AC177" s="92"/>
      <c r="AD177" s="92"/>
      <c r="AE177" s="92"/>
      <c r="AF177" s="92"/>
      <c r="AG177" s="92"/>
      <c r="AH177" s="92"/>
      <c r="AI177" s="92"/>
      <c r="AJ177" s="92"/>
      <c r="AK177" s="92"/>
      <c r="AL177" s="92"/>
      <c r="AM177" s="92"/>
      <c r="AN177" s="92"/>
      <c r="AO177" s="92"/>
      <c r="AP177" s="92"/>
      <c r="AQ177" s="92"/>
      <c r="AR177" s="92"/>
      <c r="AS177" s="92"/>
      <c r="AT177" s="92"/>
      <c r="AU177" s="92"/>
      <c r="AV177" s="92"/>
      <c r="AW177" s="92"/>
      <c r="AX177" s="92"/>
      <c r="AY177" s="92"/>
      <c r="AZ177" s="92"/>
      <c r="BA177" s="92"/>
      <c r="BB177" s="92"/>
      <c r="BC177" s="92"/>
      <c r="BD177" s="92"/>
      <c r="BE177" s="92"/>
      <c r="BF177" s="92"/>
      <c r="BG177" s="92"/>
      <c r="BH177" s="92"/>
      <c r="BI177" s="92"/>
      <c r="BJ177" s="92"/>
      <c r="BK177" s="92"/>
      <c r="BL177" s="92"/>
      <c r="BM177" s="92"/>
      <c r="BN177" s="92"/>
      <c r="BO177" s="92"/>
      <c r="BP177" s="92"/>
      <c r="BQ177" s="92"/>
      <c r="BR177" s="92"/>
      <c r="BS177" s="92"/>
      <c r="BT177" s="92"/>
      <c r="BU177" s="92"/>
      <c r="BV177" s="92"/>
      <c r="BW177" s="92"/>
      <c r="BX177" s="92"/>
      <c r="BY177" s="92"/>
      <c r="BZ177" s="92"/>
      <c r="CA177" s="92"/>
      <c r="CB177" s="92"/>
      <c r="CC177" s="92"/>
      <c r="CD177" s="92"/>
      <c r="CE177" s="92"/>
      <c r="CF177" s="92"/>
      <c r="CG177" s="92"/>
      <c r="CH177" s="92"/>
      <c r="CI177" s="92"/>
      <c r="CJ177" s="92"/>
      <c r="CK177" s="92"/>
      <c r="CL177" s="92"/>
      <c r="CM177" s="92"/>
      <c r="CN177" s="92"/>
      <c r="CO177" s="92"/>
      <c r="CP177" s="92"/>
      <c r="CQ177" s="92"/>
      <c r="CR177" s="92"/>
      <c r="CS177" s="92"/>
      <c r="CT177" s="92"/>
      <c r="CU177" s="92"/>
      <c r="CV177" s="92"/>
      <c r="CW177" s="92"/>
      <c r="CX177" s="92"/>
      <c r="CY177" s="92"/>
      <c r="CZ177" s="92"/>
      <c r="DA177" s="92"/>
      <c r="DB177" s="92"/>
      <c r="DC177" s="92"/>
      <c r="DD177" s="92"/>
      <c r="DE177" s="92"/>
      <c r="DF177" s="92"/>
      <c r="DG177" s="92"/>
      <c r="DH177" s="92"/>
      <c r="DI177" s="92"/>
      <c r="DJ177" s="92"/>
      <c r="DK177" s="92"/>
      <c r="DL177" s="92"/>
      <c r="DM177" s="92"/>
      <c r="DN177" s="92"/>
      <c r="DO177" s="92"/>
      <c r="DP177" s="92"/>
      <c r="DQ177" s="92"/>
      <c r="DR177" s="92"/>
      <c r="DS177" s="92"/>
      <c r="DT177" s="92"/>
      <c r="DU177" s="92"/>
      <c r="DV177" s="92"/>
      <c r="DW177" s="92"/>
      <c r="DX177" s="92"/>
      <c r="DY177" s="92"/>
      <c r="DZ177" s="92"/>
      <c r="EA177" s="92"/>
      <c r="EB177" s="92"/>
      <c r="EC177" s="92"/>
      <c r="ED177" s="92"/>
      <c r="EE177" s="92"/>
      <c r="EF177" s="92"/>
      <c r="EG177" s="92"/>
      <c r="EH177" s="92"/>
      <c r="EI177" s="92"/>
      <c r="EJ177" s="92"/>
      <c r="EK177" s="92"/>
      <c r="EL177" s="92"/>
      <c r="EM177" s="92"/>
      <c r="EN177" s="92"/>
      <c r="EO177" s="92"/>
      <c r="EP177" s="92"/>
    </row>
    <row r="178" spans="1:146" x14ac:dyDescent="0.25">
      <c r="J178" s="92"/>
      <c r="K178" s="92"/>
      <c r="L178" s="92"/>
      <c r="M178" s="92"/>
      <c r="N178" s="92"/>
      <c r="O178" s="92"/>
      <c r="P178" s="92"/>
      <c r="Q178" s="92"/>
      <c r="R178" s="92"/>
      <c r="S178" s="92"/>
      <c r="T178" s="92"/>
      <c r="U178" s="92"/>
      <c r="V178" s="92"/>
      <c r="W178" s="92"/>
      <c r="X178" s="92"/>
      <c r="Y178" s="92"/>
      <c r="Z178" s="92"/>
      <c r="AA178" s="92"/>
      <c r="AB178" s="92"/>
      <c r="AC178" s="92"/>
      <c r="AD178" s="92"/>
      <c r="AE178" s="92"/>
      <c r="AF178" s="92"/>
      <c r="AG178" s="92"/>
      <c r="AH178" s="92"/>
      <c r="AI178" s="92"/>
      <c r="AJ178" s="92"/>
      <c r="AK178" s="92"/>
      <c r="AL178" s="92"/>
      <c r="AM178" s="92"/>
      <c r="AN178" s="92"/>
      <c r="AO178" s="92"/>
      <c r="AP178" s="92"/>
      <c r="AQ178" s="92"/>
      <c r="AR178" s="92"/>
      <c r="AS178" s="92"/>
      <c r="AT178" s="92"/>
      <c r="AU178" s="92"/>
      <c r="AV178" s="92"/>
      <c r="AW178" s="92"/>
      <c r="AX178" s="92"/>
      <c r="AY178" s="92"/>
      <c r="AZ178" s="92"/>
      <c r="BA178" s="92"/>
      <c r="BB178" s="92"/>
      <c r="BC178" s="92"/>
      <c r="BD178" s="92"/>
      <c r="BE178" s="92"/>
      <c r="BF178" s="92"/>
      <c r="BG178" s="92"/>
      <c r="BH178" s="92"/>
      <c r="BI178" s="92"/>
      <c r="BJ178" s="92"/>
      <c r="BK178" s="92"/>
      <c r="BL178" s="92"/>
      <c r="BM178" s="92"/>
      <c r="BN178" s="92"/>
      <c r="BO178" s="92"/>
      <c r="BP178" s="92"/>
      <c r="BQ178" s="92"/>
      <c r="BR178" s="92"/>
      <c r="BS178" s="92"/>
      <c r="BT178" s="92"/>
      <c r="BU178" s="92"/>
      <c r="BV178" s="92"/>
      <c r="BW178" s="92"/>
      <c r="BX178" s="92"/>
      <c r="BY178" s="92"/>
      <c r="BZ178" s="92"/>
      <c r="CA178" s="92"/>
      <c r="CB178" s="92"/>
      <c r="CC178" s="92"/>
      <c r="CD178" s="92"/>
      <c r="CE178" s="92"/>
      <c r="CF178" s="92"/>
      <c r="CG178" s="92"/>
      <c r="CH178" s="92"/>
      <c r="CI178" s="92"/>
      <c r="CJ178" s="92"/>
      <c r="CK178" s="92"/>
      <c r="CL178" s="92"/>
      <c r="CM178" s="92"/>
      <c r="CN178" s="92"/>
      <c r="CO178" s="92"/>
      <c r="CP178" s="92"/>
      <c r="CQ178" s="92"/>
      <c r="CR178" s="92"/>
      <c r="CS178" s="92"/>
      <c r="CT178" s="92"/>
      <c r="CU178" s="92"/>
      <c r="CV178" s="92"/>
      <c r="CW178" s="92"/>
      <c r="CX178" s="92"/>
      <c r="CY178" s="92"/>
      <c r="CZ178" s="92"/>
      <c r="DA178" s="92"/>
      <c r="DB178" s="92"/>
      <c r="DC178" s="92"/>
      <c r="DD178" s="92"/>
      <c r="DE178" s="92"/>
      <c r="DF178" s="92"/>
      <c r="DG178" s="92"/>
      <c r="DH178" s="92"/>
      <c r="DI178" s="92"/>
      <c r="DJ178" s="92"/>
      <c r="DK178" s="92"/>
      <c r="DL178" s="92"/>
      <c r="DM178" s="92"/>
      <c r="DN178" s="92"/>
      <c r="DO178" s="92"/>
      <c r="DP178" s="92"/>
      <c r="DQ178" s="92"/>
      <c r="DR178" s="92"/>
      <c r="DS178" s="92"/>
      <c r="DT178" s="92"/>
      <c r="DU178" s="92"/>
      <c r="DV178" s="92"/>
      <c r="DW178" s="92"/>
      <c r="DX178" s="92"/>
      <c r="DY178" s="92"/>
      <c r="DZ178" s="92"/>
      <c r="EA178" s="92"/>
      <c r="EB178" s="92"/>
      <c r="EC178" s="92"/>
      <c r="ED178" s="92"/>
      <c r="EE178" s="92"/>
      <c r="EF178" s="92"/>
      <c r="EG178" s="92"/>
      <c r="EH178" s="92"/>
      <c r="EI178" s="92"/>
      <c r="EJ178" s="92"/>
      <c r="EK178" s="92"/>
      <c r="EL178" s="92"/>
      <c r="EM178" s="92"/>
      <c r="EN178" s="92"/>
      <c r="EO178" s="92"/>
      <c r="EP178" s="92"/>
    </row>
    <row r="179" spans="1:146" x14ac:dyDescent="0.25">
      <c r="J179" s="92"/>
      <c r="K179" s="92"/>
      <c r="L179" s="92"/>
      <c r="M179" s="92"/>
      <c r="N179" s="92"/>
      <c r="O179" s="92"/>
      <c r="P179" s="92"/>
      <c r="Q179" s="92"/>
      <c r="R179" s="92"/>
      <c r="S179" s="92"/>
      <c r="T179" s="92"/>
      <c r="U179" s="92"/>
      <c r="V179" s="92"/>
      <c r="W179" s="92"/>
      <c r="X179" s="92"/>
      <c r="Y179" s="92"/>
      <c r="Z179" s="92"/>
      <c r="AA179" s="92"/>
      <c r="AB179" s="92"/>
      <c r="AC179" s="92"/>
      <c r="AD179" s="92"/>
      <c r="AE179" s="92"/>
      <c r="AF179" s="92"/>
      <c r="AG179" s="92"/>
      <c r="AH179" s="92"/>
      <c r="AI179" s="92"/>
      <c r="AJ179" s="92"/>
      <c r="AK179" s="92"/>
      <c r="AL179" s="92"/>
      <c r="AM179" s="92"/>
      <c r="AN179" s="92"/>
      <c r="AO179" s="92"/>
      <c r="AP179" s="92"/>
      <c r="AQ179" s="92"/>
      <c r="AR179" s="92"/>
      <c r="AS179" s="92"/>
      <c r="AT179" s="92"/>
      <c r="AU179" s="92"/>
      <c r="AV179" s="92"/>
      <c r="AW179" s="92"/>
      <c r="AX179" s="92"/>
      <c r="AY179" s="92"/>
      <c r="AZ179" s="92"/>
      <c r="BA179" s="92"/>
      <c r="BB179" s="92"/>
      <c r="BC179" s="92"/>
      <c r="BD179" s="92"/>
      <c r="BE179" s="92"/>
      <c r="BF179" s="92"/>
      <c r="BG179" s="92"/>
      <c r="BH179" s="92"/>
      <c r="BI179" s="92"/>
      <c r="BJ179" s="92"/>
      <c r="BK179" s="92"/>
      <c r="BL179" s="92"/>
      <c r="BM179" s="92"/>
      <c r="BN179" s="92"/>
      <c r="BO179" s="92"/>
      <c r="BP179" s="92"/>
      <c r="BQ179" s="92"/>
      <c r="BR179" s="92"/>
      <c r="BS179" s="92"/>
      <c r="BT179" s="92"/>
      <c r="BU179" s="92"/>
      <c r="BV179" s="92"/>
      <c r="BW179" s="92"/>
      <c r="BX179" s="92"/>
      <c r="BY179" s="92"/>
      <c r="BZ179" s="92"/>
      <c r="CA179" s="92"/>
      <c r="CB179" s="92"/>
      <c r="CC179" s="92"/>
      <c r="CD179" s="92"/>
      <c r="CE179" s="92"/>
      <c r="CF179" s="92"/>
      <c r="CG179" s="92"/>
      <c r="CH179" s="92"/>
      <c r="CI179" s="92"/>
      <c r="CJ179" s="92"/>
      <c r="CK179" s="92"/>
      <c r="CL179" s="92"/>
      <c r="CM179" s="92"/>
      <c r="CN179" s="92"/>
      <c r="CO179" s="92"/>
      <c r="CP179" s="92"/>
      <c r="CQ179" s="92"/>
      <c r="CR179" s="92"/>
      <c r="CS179" s="92"/>
      <c r="CT179" s="92"/>
      <c r="CU179" s="92"/>
      <c r="CV179" s="92"/>
      <c r="CW179" s="92"/>
      <c r="CX179" s="92"/>
      <c r="CY179" s="92"/>
      <c r="CZ179" s="92"/>
      <c r="DA179" s="92"/>
      <c r="DB179" s="92"/>
      <c r="DC179" s="92"/>
      <c r="DD179" s="92"/>
      <c r="DE179" s="92"/>
      <c r="DF179" s="92"/>
      <c r="DG179" s="92"/>
      <c r="DH179" s="92"/>
      <c r="DI179" s="92"/>
      <c r="DJ179" s="92"/>
      <c r="DK179" s="92"/>
      <c r="DL179" s="92"/>
      <c r="DM179" s="92"/>
      <c r="DN179" s="92"/>
      <c r="DO179" s="92"/>
      <c r="DP179" s="92"/>
      <c r="DQ179" s="92"/>
      <c r="DR179" s="92"/>
      <c r="DS179" s="92"/>
      <c r="DT179" s="92"/>
      <c r="DU179" s="92"/>
      <c r="DV179" s="92"/>
      <c r="DW179" s="92"/>
      <c r="DX179" s="92"/>
      <c r="DY179" s="92"/>
      <c r="DZ179" s="92"/>
      <c r="EA179" s="92"/>
      <c r="EB179" s="92"/>
      <c r="EC179" s="92"/>
      <c r="ED179" s="92"/>
      <c r="EE179" s="92"/>
      <c r="EF179" s="92"/>
      <c r="EG179" s="92"/>
      <c r="EH179" s="92"/>
      <c r="EI179" s="92"/>
      <c r="EJ179" s="92"/>
      <c r="EK179" s="92"/>
      <c r="EL179" s="92"/>
      <c r="EM179" s="92"/>
      <c r="EN179" s="92"/>
      <c r="EO179" s="92"/>
      <c r="EP179" s="92"/>
    </row>
    <row r="180" spans="1:146" x14ac:dyDescent="0.25">
      <c r="J180" s="92"/>
      <c r="K180" s="92"/>
      <c r="L180" s="92"/>
      <c r="M180" s="92"/>
      <c r="N180" s="92"/>
      <c r="O180" s="92"/>
      <c r="P180" s="92"/>
      <c r="Q180" s="92"/>
      <c r="R180" s="92"/>
      <c r="S180" s="92"/>
      <c r="T180" s="92"/>
      <c r="U180" s="92"/>
      <c r="V180" s="92"/>
      <c r="W180" s="92"/>
      <c r="X180" s="92"/>
      <c r="Y180" s="92"/>
      <c r="Z180" s="92"/>
      <c r="AA180" s="92"/>
      <c r="AB180" s="92"/>
      <c r="AC180" s="92"/>
      <c r="AD180" s="92"/>
      <c r="AE180" s="92"/>
      <c r="AF180" s="92"/>
      <c r="AG180" s="92"/>
      <c r="AH180" s="92"/>
      <c r="AI180" s="92"/>
      <c r="AJ180" s="92"/>
      <c r="AK180" s="92"/>
      <c r="AL180" s="92"/>
      <c r="AM180" s="92"/>
      <c r="AN180" s="92"/>
      <c r="AO180" s="92"/>
      <c r="AP180" s="92"/>
      <c r="AQ180" s="92"/>
      <c r="AR180" s="92"/>
      <c r="AS180" s="92"/>
      <c r="AT180" s="92"/>
      <c r="AU180" s="92"/>
      <c r="AV180" s="92"/>
      <c r="AW180" s="92"/>
      <c r="AX180" s="92"/>
      <c r="AY180" s="92"/>
      <c r="AZ180" s="92"/>
      <c r="BA180" s="92"/>
      <c r="BB180" s="92"/>
      <c r="BC180" s="92"/>
      <c r="BD180" s="92"/>
      <c r="BE180" s="92"/>
      <c r="BF180" s="92"/>
      <c r="BG180" s="92"/>
      <c r="BH180" s="92"/>
      <c r="BI180" s="92"/>
      <c r="BJ180" s="92"/>
      <c r="BK180" s="92"/>
      <c r="BL180" s="92"/>
      <c r="BM180" s="92"/>
      <c r="BN180" s="92"/>
      <c r="BO180" s="92"/>
      <c r="BP180" s="92"/>
      <c r="BQ180" s="92"/>
      <c r="BR180" s="92"/>
      <c r="BS180" s="92"/>
      <c r="BT180" s="92"/>
      <c r="BU180" s="92"/>
      <c r="BV180" s="92"/>
      <c r="BW180" s="92"/>
      <c r="BX180" s="92"/>
      <c r="BY180" s="92"/>
      <c r="BZ180" s="92"/>
      <c r="CA180" s="92"/>
      <c r="CB180" s="92"/>
      <c r="CC180" s="92"/>
      <c r="CD180" s="92"/>
      <c r="CE180" s="92"/>
      <c r="CF180" s="92"/>
      <c r="CG180" s="92"/>
      <c r="CH180" s="92"/>
      <c r="CI180" s="92"/>
      <c r="CJ180" s="92"/>
      <c r="CK180" s="92"/>
      <c r="CL180" s="92"/>
      <c r="CM180" s="92"/>
      <c r="CN180" s="92"/>
      <c r="CO180" s="92"/>
      <c r="CP180" s="92"/>
      <c r="CQ180" s="92"/>
      <c r="CR180" s="92"/>
      <c r="CS180" s="92"/>
      <c r="CT180" s="92"/>
      <c r="CU180" s="92"/>
      <c r="CV180" s="92"/>
      <c r="CW180" s="92"/>
      <c r="CX180" s="92"/>
      <c r="CY180" s="92"/>
      <c r="CZ180" s="92"/>
      <c r="DA180" s="92"/>
      <c r="DB180" s="92"/>
      <c r="DC180" s="92"/>
      <c r="DD180" s="92"/>
      <c r="DE180" s="92"/>
      <c r="DF180" s="92"/>
      <c r="DG180" s="92"/>
      <c r="DH180" s="92"/>
      <c r="DI180" s="92"/>
      <c r="DJ180" s="92"/>
      <c r="DK180" s="92"/>
      <c r="DL180" s="92"/>
      <c r="DM180" s="92"/>
      <c r="DN180" s="92"/>
      <c r="DO180" s="92"/>
      <c r="DP180" s="92"/>
      <c r="DQ180" s="92"/>
      <c r="DR180" s="92"/>
      <c r="DS180" s="92"/>
      <c r="DT180" s="92"/>
      <c r="DU180" s="92"/>
      <c r="DV180" s="92"/>
      <c r="DW180" s="92"/>
      <c r="DX180" s="92"/>
      <c r="DY180" s="92"/>
      <c r="DZ180" s="92"/>
      <c r="EA180" s="92"/>
      <c r="EB180" s="92"/>
      <c r="EC180" s="92"/>
      <c r="ED180" s="92"/>
      <c r="EE180" s="92"/>
      <c r="EF180" s="92"/>
      <c r="EG180" s="92"/>
      <c r="EH180" s="92"/>
      <c r="EI180" s="92"/>
      <c r="EJ180" s="92"/>
      <c r="EK180" s="92"/>
      <c r="EL180" s="92"/>
      <c r="EM180" s="92"/>
      <c r="EN180" s="92"/>
      <c r="EO180" s="92"/>
      <c r="EP180" s="92"/>
    </row>
    <row r="181" spans="1:146" x14ac:dyDescent="0.25">
      <c r="J181" s="92"/>
      <c r="K181" s="92"/>
      <c r="L181" s="92"/>
      <c r="M181" s="92"/>
      <c r="N181" s="92"/>
      <c r="O181" s="92"/>
      <c r="P181" s="92"/>
      <c r="Q181" s="92"/>
      <c r="R181" s="92"/>
      <c r="S181" s="92"/>
      <c r="T181" s="92"/>
      <c r="U181" s="92"/>
      <c r="V181" s="92"/>
      <c r="W181" s="92"/>
      <c r="X181" s="92"/>
      <c r="Y181" s="92"/>
      <c r="Z181" s="92"/>
      <c r="AA181" s="92"/>
      <c r="AB181" s="92"/>
      <c r="AC181" s="92"/>
      <c r="AD181" s="92"/>
      <c r="AE181" s="92"/>
      <c r="AF181" s="92"/>
      <c r="AG181" s="92"/>
      <c r="AH181" s="92"/>
      <c r="AI181" s="92"/>
      <c r="AJ181" s="92"/>
      <c r="AK181" s="92"/>
      <c r="AL181" s="92"/>
      <c r="AM181" s="92"/>
      <c r="AN181" s="92"/>
      <c r="AO181" s="92"/>
      <c r="AP181" s="92"/>
      <c r="AQ181" s="92"/>
      <c r="AR181" s="92"/>
      <c r="AS181" s="92"/>
      <c r="AT181" s="92"/>
      <c r="AU181" s="92"/>
      <c r="AV181" s="92"/>
      <c r="AW181" s="92"/>
      <c r="AX181" s="92"/>
      <c r="AY181" s="92"/>
      <c r="AZ181" s="92"/>
      <c r="BA181" s="92"/>
      <c r="BB181" s="92"/>
      <c r="BC181" s="92"/>
      <c r="BD181" s="92"/>
      <c r="BE181" s="92"/>
      <c r="BF181" s="92"/>
      <c r="BG181" s="92"/>
      <c r="BH181" s="92"/>
      <c r="BI181" s="92"/>
      <c r="BJ181" s="92"/>
      <c r="BK181" s="92"/>
      <c r="BL181" s="92"/>
      <c r="BM181" s="92"/>
      <c r="BN181" s="92"/>
      <c r="BO181" s="92"/>
      <c r="BP181" s="92"/>
      <c r="BQ181" s="92"/>
      <c r="BR181" s="92"/>
      <c r="BS181" s="92"/>
      <c r="BT181" s="92"/>
      <c r="BU181" s="92"/>
      <c r="BV181" s="92"/>
      <c r="BW181" s="92"/>
      <c r="BX181" s="92"/>
      <c r="BY181" s="92"/>
      <c r="BZ181" s="92"/>
      <c r="CA181" s="92"/>
      <c r="CB181" s="92"/>
      <c r="CC181" s="92"/>
      <c r="CD181" s="92"/>
      <c r="CE181" s="92"/>
      <c r="CF181" s="92"/>
      <c r="CG181" s="92"/>
      <c r="CH181" s="92"/>
      <c r="CI181" s="92"/>
      <c r="CJ181" s="92"/>
      <c r="CK181" s="92"/>
      <c r="CL181" s="92"/>
      <c r="CM181" s="92"/>
      <c r="CN181" s="92"/>
      <c r="CO181" s="92"/>
      <c r="CP181" s="92"/>
      <c r="CQ181" s="92"/>
      <c r="CR181" s="92"/>
      <c r="CS181" s="92"/>
      <c r="CT181" s="92"/>
      <c r="CU181" s="92"/>
      <c r="CV181" s="92"/>
      <c r="CW181" s="92"/>
      <c r="CX181" s="92"/>
      <c r="CY181" s="92"/>
      <c r="CZ181" s="92"/>
      <c r="DA181" s="92"/>
      <c r="DB181" s="92"/>
      <c r="DC181" s="92"/>
      <c r="DD181" s="92"/>
      <c r="DE181" s="92"/>
      <c r="DF181" s="92"/>
      <c r="DG181" s="92"/>
      <c r="DH181" s="92"/>
      <c r="DI181" s="92"/>
      <c r="DJ181" s="92"/>
      <c r="DK181" s="92"/>
      <c r="DL181" s="92"/>
      <c r="DM181" s="92"/>
      <c r="DN181" s="92"/>
      <c r="DO181" s="92"/>
      <c r="DP181" s="92"/>
      <c r="DQ181" s="92"/>
      <c r="DR181" s="92"/>
      <c r="DS181" s="92"/>
      <c r="DT181" s="92"/>
      <c r="DU181" s="92"/>
      <c r="DV181" s="92"/>
      <c r="DW181" s="92"/>
      <c r="DX181" s="92"/>
      <c r="DY181" s="92"/>
      <c r="DZ181" s="92"/>
      <c r="EA181" s="92"/>
      <c r="EB181" s="92"/>
      <c r="EC181" s="92"/>
      <c r="ED181" s="92"/>
      <c r="EE181" s="92"/>
      <c r="EF181" s="92"/>
      <c r="EG181" s="92"/>
      <c r="EH181" s="92"/>
      <c r="EI181" s="92"/>
      <c r="EJ181" s="92"/>
      <c r="EK181" s="92"/>
      <c r="EL181" s="92"/>
      <c r="EM181" s="92"/>
      <c r="EN181" s="92"/>
      <c r="EO181" s="92"/>
      <c r="EP181" s="92"/>
    </row>
    <row r="182" spans="1:146" x14ac:dyDescent="0.25">
      <c r="J182" s="92"/>
      <c r="K182" s="92"/>
      <c r="L182" s="92"/>
      <c r="M182" s="92"/>
      <c r="N182" s="92"/>
      <c r="O182" s="92"/>
      <c r="P182" s="92"/>
      <c r="Q182" s="92"/>
      <c r="R182" s="92"/>
      <c r="S182" s="92"/>
      <c r="T182" s="92"/>
      <c r="U182" s="92"/>
      <c r="V182" s="92"/>
      <c r="W182" s="92"/>
      <c r="X182" s="92"/>
      <c r="Y182" s="92"/>
      <c r="Z182" s="92"/>
      <c r="AA182" s="92"/>
      <c r="AB182" s="92"/>
      <c r="AC182" s="92"/>
      <c r="AD182" s="92"/>
      <c r="AE182" s="92"/>
      <c r="AF182" s="92"/>
      <c r="AG182" s="92"/>
      <c r="AH182" s="92"/>
      <c r="AI182" s="92"/>
      <c r="AJ182" s="92"/>
      <c r="AK182" s="92"/>
      <c r="AL182" s="92"/>
      <c r="AM182" s="92"/>
      <c r="AN182" s="92"/>
      <c r="AO182" s="92"/>
      <c r="AP182" s="92"/>
      <c r="AQ182" s="92"/>
      <c r="AR182" s="92"/>
      <c r="AS182" s="92"/>
      <c r="AT182" s="92"/>
      <c r="AU182" s="92"/>
      <c r="AV182" s="92"/>
      <c r="AW182" s="92"/>
      <c r="AX182" s="92"/>
      <c r="AY182" s="92"/>
      <c r="AZ182" s="92"/>
      <c r="BA182" s="92"/>
      <c r="BB182" s="92"/>
      <c r="BC182" s="92"/>
      <c r="BD182" s="92"/>
      <c r="BE182" s="92"/>
      <c r="BF182" s="92"/>
      <c r="BG182" s="92"/>
      <c r="BH182" s="92"/>
      <c r="BI182" s="92"/>
      <c r="BJ182" s="92"/>
      <c r="BK182" s="92"/>
      <c r="BL182" s="92"/>
      <c r="BM182" s="92"/>
      <c r="BN182" s="92"/>
      <c r="BO182" s="92"/>
      <c r="BP182" s="92"/>
      <c r="BQ182" s="92"/>
      <c r="BR182" s="92"/>
      <c r="BS182" s="92"/>
      <c r="BT182" s="92"/>
      <c r="BU182" s="92"/>
      <c r="BV182" s="92"/>
      <c r="BW182" s="92"/>
      <c r="BX182" s="92"/>
      <c r="BY182" s="92"/>
      <c r="BZ182" s="92"/>
      <c r="CA182" s="92"/>
      <c r="CB182" s="92"/>
      <c r="CC182" s="92"/>
      <c r="CD182" s="92"/>
      <c r="CE182" s="92"/>
      <c r="CF182" s="92"/>
      <c r="CG182" s="92"/>
      <c r="CH182" s="92"/>
      <c r="CI182" s="92"/>
      <c r="CJ182" s="92"/>
      <c r="CK182" s="92"/>
      <c r="CL182" s="92"/>
      <c r="CM182" s="92"/>
      <c r="CN182" s="92"/>
      <c r="CO182" s="92"/>
      <c r="CP182" s="92"/>
      <c r="CQ182" s="92"/>
      <c r="CR182" s="92"/>
      <c r="CS182" s="92"/>
      <c r="CT182" s="92"/>
      <c r="CU182" s="92"/>
      <c r="CV182" s="92"/>
      <c r="CW182" s="92"/>
      <c r="CX182" s="92"/>
      <c r="CY182" s="92"/>
      <c r="CZ182" s="92"/>
      <c r="DA182" s="92"/>
      <c r="DB182" s="92"/>
      <c r="DC182" s="92"/>
      <c r="DD182" s="92"/>
      <c r="DE182" s="92"/>
      <c r="DF182" s="92"/>
      <c r="DG182" s="92"/>
      <c r="DH182" s="92"/>
      <c r="DI182" s="92"/>
      <c r="DJ182" s="92"/>
      <c r="DK182" s="92"/>
      <c r="DL182" s="92"/>
      <c r="DM182" s="92"/>
      <c r="DN182" s="92"/>
      <c r="DO182" s="92"/>
      <c r="DP182" s="92"/>
      <c r="DQ182" s="92"/>
      <c r="DR182" s="92"/>
      <c r="DS182" s="92"/>
      <c r="DT182" s="92"/>
      <c r="DU182" s="92"/>
      <c r="DV182" s="92"/>
      <c r="DW182" s="92"/>
      <c r="DX182" s="92"/>
      <c r="DY182" s="92"/>
      <c r="DZ182" s="92"/>
      <c r="EA182" s="92"/>
      <c r="EB182" s="92"/>
      <c r="EC182" s="92"/>
      <c r="ED182" s="92"/>
      <c r="EE182" s="92"/>
      <c r="EF182" s="92"/>
      <c r="EG182" s="92"/>
      <c r="EH182" s="92"/>
      <c r="EI182" s="92"/>
      <c r="EJ182" s="92"/>
      <c r="EK182" s="92"/>
      <c r="EL182" s="92"/>
      <c r="EM182" s="92"/>
      <c r="EN182" s="92"/>
      <c r="EO182" s="92"/>
      <c r="EP182" s="92"/>
    </row>
    <row r="183" spans="1:146" x14ac:dyDescent="0.25">
      <c r="J183" s="92"/>
      <c r="K183" s="92"/>
      <c r="L183" s="92"/>
      <c r="M183" s="92"/>
      <c r="N183" s="92"/>
      <c r="O183" s="92"/>
      <c r="P183" s="92"/>
      <c r="Q183" s="92"/>
      <c r="R183" s="92"/>
      <c r="S183" s="92"/>
      <c r="T183" s="92"/>
      <c r="U183" s="92"/>
      <c r="V183" s="92"/>
      <c r="W183" s="92"/>
      <c r="X183" s="92"/>
      <c r="Y183" s="92"/>
      <c r="Z183" s="92"/>
      <c r="AA183" s="92"/>
      <c r="AB183" s="92"/>
      <c r="AC183" s="92"/>
      <c r="AD183" s="92"/>
      <c r="AE183" s="92"/>
      <c r="AF183" s="92"/>
      <c r="AG183" s="92"/>
      <c r="AH183" s="92"/>
      <c r="AI183" s="92"/>
      <c r="AJ183" s="92"/>
      <c r="AK183" s="92"/>
      <c r="AL183" s="92"/>
      <c r="AM183" s="92"/>
      <c r="AN183" s="92"/>
      <c r="AO183" s="92"/>
      <c r="AP183" s="92"/>
      <c r="AQ183" s="92"/>
      <c r="AR183" s="92"/>
      <c r="AS183" s="92"/>
      <c r="AT183" s="92"/>
      <c r="AU183" s="92"/>
      <c r="AV183" s="92"/>
      <c r="AW183" s="92"/>
      <c r="AX183" s="92"/>
      <c r="AY183" s="92"/>
      <c r="AZ183" s="92"/>
      <c r="BA183" s="92"/>
      <c r="BB183" s="92"/>
      <c r="BC183" s="92"/>
      <c r="BD183" s="92"/>
      <c r="BE183" s="92"/>
      <c r="BF183" s="92"/>
      <c r="BG183" s="92"/>
      <c r="BH183" s="92"/>
      <c r="BI183" s="92"/>
      <c r="BJ183" s="92"/>
      <c r="BK183" s="92"/>
      <c r="BL183" s="92"/>
      <c r="BM183" s="92"/>
      <c r="BN183" s="92"/>
      <c r="BO183" s="92"/>
      <c r="BP183" s="92"/>
      <c r="BQ183" s="92"/>
      <c r="BR183" s="92"/>
      <c r="BS183" s="92"/>
      <c r="BT183" s="92"/>
      <c r="BU183" s="92"/>
      <c r="BV183" s="92"/>
      <c r="BW183" s="92"/>
      <c r="BX183" s="92"/>
      <c r="BY183" s="92"/>
      <c r="BZ183" s="92"/>
      <c r="CA183" s="92"/>
      <c r="CB183" s="92"/>
      <c r="CC183" s="92"/>
      <c r="CD183" s="92"/>
      <c r="CE183" s="92"/>
      <c r="CF183" s="92"/>
      <c r="CG183" s="92"/>
      <c r="CH183" s="92"/>
      <c r="CI183" s="92"/>
      <c r="CJ183" s="92"/>
      <c r="CK183" s="92"/>
      <c r="CL183" s="92"/>
      <c r="CM183" s="92"/>
      <c r="CN183" s="92"/>
      <c r="CO183" s="92"/>
      <c r="CP183" s="92"/>
      <c r="CQ183" s="92"/>
      <c r="CR183" s="92"/>
      <c r="CS183" s="92"/>
      <c r="CT183" s="92"/>
      <c r="CU183" s="92"/>
      <c r="CV183" s="92"/>
      <c r="CW183" s="92"/>
      <c r="CX183" s="92"/>
      <c r="CY183" s="92"/>
      <c r="CZ183" s="92"/>
      <c r="DA183" s="92"/>
      <c r="DB183" s="92"/>
      <c r="DC183" s="92"/>
      <c r="DD183" s="92"/>
      <c r="DE183" s="92"/>
      <c r="DF183" s="92"/>
      <c r="DG183" s="92"/>
      <c r="DH183" s="92"/>
      <c r="DI183" s="92"/>
      <c r="DJ183" s="92"/>
      <c r="DK183" s="92"/>
      <c r="DL183" s="92"/>
      <c r="DM183" s="92"/>
      <c r="DN183" s="92"/>
      <c r="DO183" s="92"/>
      <c r="DP183" s="92"/>
      <c r="DQ183" s="92"/>
      <c r="DR183" s="92"/>
      <c r="DS183" s="92"/>
      <c r="DT183" s="92"/>
      <c r="DU183" s="92"/>
      <c r="DV183" s="92"/>
      <c r="DW183" s="92"/>
      <c r="DX183" s="92"/>
      <c r="DY183" s="92"/>
      <c r="DZ183" s="92"/>
      <c r="EA183" s="92"/>
      <c r="EB183" s="92"/>
      <c r="EC183" s="92"/>
      <c r="ED183" s="92"/>
      <c r="EE183" s="92"/>
      <c r="EF183" s="92"/>
      <c r="EG183" s="92"/>
      <c r="EH183" s="92"/>
      <c r="EI183" s="92"/>
      <c r="EJ183" s="92"/>
      <c r="EK183" s="92"/>
      <c r="EL183" s="92"/>
      <c r="EM183" s="92"/>
      <c r="EN183" s="92"/>
      <c r="EO183" s="92"/>
      <c r="EP183" s="92"/>
    </row>
    <row r="184" spans="1:146" x14ac:dyDescent="0.25">
      <c r="J184" s="92"/>
      <c r="K184" s="92"/>
      <c r="L184" s="92"/>
      <c r="M184" s="92"/>
      <c r="N184" s="92"/>
      <c r="O184" s="92"/>
      <c r="P184" s="92"/>
      <c r="Q184" s="92"/>
      <c r="R184" s="92"/>
      <c r="S184" s="92"/>
      <c r="T184" s="92"/>
      <c r="U184" s="92"/>
      <c r="V184" s="92"/>
      <c r="W184" s="92"/>
      <c r="X184" s="92"/>
      <c r="Y184" s="92"/>
      <c r="Z184" s="92"/>
      <c r="AA184" s="92"/>
      <c r="AB184" s="92"/>
      <c r="AC184" s="92"/>
      <c r="AD184" s="92"/>
      <c r="AE184" s="92"/>
      <c r="AF184" s="92"/>
      <c r="AG184" s="92"/>
      <c r="AH184" s="92"/>
      <c r="AI184" s="92"/>
      <c r="AJ184" s="92"/>
      <c r="AK184" s="92"/>
      <c r="AL184" s="92"/>
      <c r="AM184" s="92"/>
      <c r="AN184" s="92"/>
      <c r="AO184" s="92"/>
      <c r="AP184" s="92"/>
      <c r="AQ184" s="92"/>
      <c r="AR184" s="92"/>
      <c r="AS184" s="92"/>
      <c r="AT184" s="92"/>
      <c r="AU184" s="92"/>
      <c r="AV184" s="92"/>
      <c r="AW184" s="92"/>
      <c r="AX184" s="92"/>
      <c r="AY184" s="92"/>
      <c r="AZ184" s="92"/>
      <c r="BA184" s="92"/>
      <c r="BB184" s="92"/>
      <c r="BC184" s="92"/>
      <c r="BD184" s="92"/>
      <c r="BE184" s="92"/>
      <c r="BF184" s="92"/>
      <c r="BG184" s="92"/>
      <c r="BH184" s="92"/>
      <c r="BI184" s="92"/>
      <c r="BJ184" s="92"/>
      <c r="BK184" s="92"/>
      <c r="BL184" s="92"/>
      <c r="BM184" s="92"/>
      <c r="BN184" s="92"/>
      <c r="BO184" s="92"/>
      <c r="BP184" s="92"/>
      <c r="BQ184" s="92"/>
      <c r="BR184" s="92"/>
      <c r="BS184" s="92"/>
      <c r="BT184" s="92"/>
      <c r="BU184" s="92"/>
      <c r="BV184" s="92"/>
      <c r="BW184" s="92"/>
      <c r="BX184" s="92"/>
      <c r="BY184" s="92"/>
      <c r="BZ184" s="92"/>
      <c r="CA184" s="92"/>
      <c r="CB184" s="92"/>
      <c r="CC184" s="92"/>
      <c r="CD184" s="92"/>
      <c r="CE184" s="92"/>
      <c r="CF184" s="92"/>
      <c r="CG184" s="92"/>
      <c r="CH184" s="92"/>
      <c r="CI184" s="92"/>
      <c r="CJ184" s="92"/>
      <c r="CK184" s="92"/>
      <c r="CL184" s="92"/>
      <c r="CM184" s="92"/>
      <c r="CN184" s="92"/>
      <c r="CO184" s="92"/>
      <c r="CP184" s="92"/>
      <c r="CQ184" s="92"/>
      <c r="CR184" s="92"/>
      <c r="CS184" s="92"/>
      <c r="CT184" s="92"/>
      <c r="CU184" s="92"/>
      <c r="CV184" s="92"/>
      <c r="CW184" s="92"/>
      <c r="CX184" s="92"/>
      <c r="CY184" s="92"/>
      <c r="CZ184" s="92"/>
      <c r="DA184" s="92"/>
      <c r="DB184" s="92"/>
      <c r="DC184" s="92"/>
      <c r="DD184" s="92"/>
      <c r="DE184" s="92"/>
      <c r="DF184" s="92"/>
      <c r="DG184" s="92"/>
      <c r="DH184" s="92"/>
      <c r="DI184" s="92"/>
      <c r="DJ184" s="92"/>
      <c r="DK184" s="92"/>
      <c r="DL184" s="92"/>
      <c r="DM184" s="92"/>
      <c r="DN184" s="92"/>
      <c r="DO184" s="92"/>
      <c r="DP184" s="92"/>
      <c r="DQ184" s="92"/>
      <c r="DR184" s="92"/>
      <c r="DS184" s="92"/>
      <c r="DT184" s="92"/>
      <c r="DU184" s="92"/>
      <c r="DV184" s="92"/>
      <c r="DW184" s="92"/>
      <c r="DX184" s="92"/>
      <c r="DY184" s="92"/>
      <c r="DZ184" s="92"/>
      <c r="EA184" s="92"/>
      <c r="EB184" s="92"/>
      <c r="EC184" s="92"/>
      <c r="ED184" s="92"/>
      <c r="EE184" s="92"/>
      <c r="EF184" s="92"/>
      <c r="EG184" s="92"/>
      <c r="EH184" s="92"/>
      <c r="EI184" s="92"/>
      <c r="EJ184" s="92"/>
      <c r="EK184" s="92"/>
      <c r="EL184" s="92"/>
      <c r="EM184" s="92"/>
      <c r="EN184" s="92"/>
      <c r="EO184" s="92"/>
      <c r="EP184" s="92"/>
    </row>
    <row r="185" spans="1:146" x14ac:dyDescent="0.25">
      <c r="J185" s="92"/>
      <c r="K185" s="92"/>
      <c r="L185" s="92"/>
      <c r="M185" s="92"/>
      <c r="N185" s="92"/>
      <c r="O185" s="92"/>
      <c r="P185" s="92"/>
      <c r="Q185" s="92"/>
      <c r="R185" s="92"/>
      <c r="S185" s="92"/>
      <c r="T185" s="92"/>
      <c r="U185" s="92"/>
      <c r="V185" s="92"/>
      <c r="W185" s="92"/>
      <c r="X185" s="92"/>
      <c r="Y185" s="92"/>
      <c r="Z185" s="92"/>
      <c r="AA185" s="92"/>
      <c r="AB185" s="92"/>
      <c r="AC185" s="92"/>
      <c r="AD185" s="92"/>
      <c r="AE185" s="92"/>
      <c r="AF185" s="92"/>
      <c r="AG185" s="92"/>
      <c r="AH185" s="92"/>
      <c r="AI185" s="92"/>
      <c r="AJ185" s="92"/>
      <c r="AK185" s="92"/>
      <c r="AL185" s="92"/>
      <c r="AM185" s="92"/>
      <c r="AN185" s="92"/>
      <c r="AO185" s="92"/>
      <c r="AP185" s="92"/>
      <c r="AQ185" s="92"/>
      <c r="AR185" s="92"/>
      <c r="AS185" s="92"/>
      <c r="AT185" s="92"/>
      <c r="AU185" s="92"/>
      <c r="AV185" s="92"/>
      <c r="AW185" s="92"/>
      <c r="AX185" s="92"/>
      <c r="AY185" s="92"/>
      <c r="AZ185" s="92"/>
      <c r="BA185" s="92"/>
      <c r="BB185" s="92"/>
      <c r="BC185" s="92"/>
      <c r="BD185" s="92"/>
      <c r="BE185" s="92"/>
      <c r="BF185" s="92"/>
      <c r="BG185" s="92"/>
      <c r="BH185" s="92"/>
      <c r="BI185" s="92"/>
      <c r="BJ185" s="92"/>
      <c r="BK185" s="92"/>
      <c r="BL185" s="92"/>
      <c r="BM185" s="92"/>
      <c r="BN185" s="92"/>
      <c r="BO185" s="92"/>
      <c r="BP185" s="92"/>
      <c r="BQ185" s="92"/>
      <c r="BR185" s="92"/>
      <c r="BS185" s="92"/>
      <c r="BT185" s="92"/>
      <c r="BU185" s="92"/>
      <c r="BV185" s="92"/>
      <c r="BW185" s="92"/>
      <c r="BX185" s="92"/>
      <c r="BY185" s="92"/>
      <c r="BZ185" s="92"/>
      <c r="CA185" s="92"/>
      <c r="CB185" s="92"/>
      <c r="CC185" s="92"/>
      <c r="CD185" s="92"/>
      <c r="CE185" s="92"/>
      <c r="CF185" s="92"/>
      <c r="CG185" s="92"/>
      <c r="CH185" s="92"/>
      <c r="CI185" s="92"/>
      <c r="CJ185" s="92"/>
      <c r="CK185" s="92"/>
      <c r="CL185" s="92"/>
      <c r="CM185" s="92"/>
      <c r="CN185" s="92"/>
      <c r="CO185" s="92"/>
      <c r="CP185" s="92"/>
      <c r="CQ185" s="92"/>
      <c r="CR185" s="92"/>
      <c r="CS185" s="92"/>
      <c r="CT185" s="92"/>
      <c r="CU185" s="92"/>
      <c r="CV185" s="92"/>
      <c r="CW185" s="92"/>
      <c r="CX185" s="92"/>
      <c r="CY185" s="92"/>
      <c r="CZ185" s="92"/>
      <c r="DA185" s="92"/>
      <c r="DB185" s="92"/>
      <c r="DC185" s="92"/>
      <c r="DD185" s="92"/>
      <c r="DE185" s="92"/>
      <c r="DF185" s="92"/>
      <c r="DG185" s="92"/>
      <c r="DH185" s="92"/>
      <c r="DI185" s="92"/>
      <c r="DJ185" s="92"/>
      <c r="DK185" s="92"/>
      <c r="DL185" s="92"/>
      <c r="DM185" s="92"/>
      <c r="DN185" s="92"/>
      <c r="DO185" s="92"/>
      <c r="DP185" s="92"/>
      <c r="DQ185" s="92"/>
      <c r="DR185" s="92"/>
      <c r="DS185" s="92"/>
      <c r="DT185" s="92"/>
      <c r="DU185" s="92"/>
      <c r="DV185" s="92"/>
      <c r="DW185" s="92"/>
      <c r="DX185" s="92"/>
      <c r="DY185" s="92"/>
      <c r="DZ185" s="92"/>
      <c r="EA185" s="92"/>
      <c r="EB185" s="92"/>
      <c r="EC185" s="92"/>
      <c r="ED185" s="92"/>
      <c r="EE185" s="92"/>
      <c r="EF185" s="92"/>
      <c r="EG185" s="92"/>
      <c r="EH185" s="92"/>
      <c r="EI185" s="92"/>
      <c r="EJ185" s="92"/>
      <c r="EK185" s="92"/>
      <c r="EL185" s="92"/>
      <c r="EM185" s="92"/>
      <c r="EN185" s="92"/>
      <c r="EO185" s="92"/>
      <c r="EP185" s="92"/>
    </row>
    <row r="186" spans="1:146" x14ac:dyDescent="0.25">
      <c r="J186" s="92"/>
      <c r="K186" s="92"/>
      <c r="L186" s="92"/>
      <c r="M186" s="92"/>
      <c r="N186" s="92"/>
      <c r="O186" s="92"/>
      <c r="P186" s="92"/>
      <c r="Q186" s="92"/>
      <c r="R186" s="92"/>
      <c r="S186" s="92"/>
      <c r="T186" s="92"/>
      <c r="U186" s="92"/>
      <c r="V186" s="92"/>
      <c r="W186" s="92"/>
      <c r="X186" s="92"/>
      <c r="Y186" s="92"/>
      <c r="Z186" s="92"/>
      <c r="AA186" s="92"/>
      <c r="AB186" s="92"/>
      <c r="AC186" s="92"/>
      <c r="AD186" s="92"/>
      <c r="AE186" s="92"/>
      <c r="AF186" s="92"/>
      <c r="AG186" s="92"/>
      <c r="AH186" s="92"/>
      <c r="AI186" s="92"/>
      <c r="AJ186" s="92"/>
      <c r="AK186" s="92"/>
      <c r="AL186" s="92"/>
      <c r="AM186" s="92"/>
      <c r="AN186" s="92"/>
      <c r="AO186" s="92"/>
      <c r="AP186" s="92"/>
      <c r="AQ186" s="92"/>
      <c r="AR186" s="92"/>
      <c r="AS186" s="92"/>
      <c r="AT186" s="92"/>
      <c r="AU186" s="92"/>
      <c r="AV186" s="92"/>
      <c r="AW186" s="92"/>
      <c r="AX186" s="92"/>
      <c r="AY186" s="92"/>
      <c r="AZ186" s="92"/>
      <c r="BA186" s="92"/>
      <c r="BB186" s="92"/>
      <c r="BC186" s="92"/>
      <c r="BD186" s="92"/>
      <c r="BE186" s="92"/>
      <c r="BF186" s="92"/>
      <c r="BG186" s="92"/>
      <c r="BH186" s="92"/>
      <c r="BI186" s="92"/>
      <c r="BJ186" s="92"/>
      <c r="BK186" s="92"/>
      <c r="BL186" s="92"/>
      <c r="BM186" s="92"/>
      <c r="BN186" s="92"/>
      <c r="BO186" s="92"/>
      <c r="BP186" s="92"/>
      <c r="BQ186" s="92"/>
      <c r="BR186" s="92"/>
      <c r="BS186" s="92"/>
      <c r="BT186" s="92"/>
      <c r="BU186" s="92"/>
      <c r="BV186" s="92"/>
      <c r="BW186" s="92"/>
      <c r="BX186" s="92"/>
      <c r="BY186" s="92"/>
      <c r="BZ186" s="92"/>
      <c r="CA186" s="92"/>
      <c r="CB186" s="92"/>
      <c r="CC186" s="92"/>
      <c r="CD186" s="92"/>
      <c r="CE186" s="92"/>
      <c r="CF186" s="92"/>
      <c r="CG186" s="92"/>
      <c r="CH186" s="92"/>
      <c r="CI186" s="92"/>
      <c r="CJ186" s="92"/>
      <c r="CK186" s="92"/>
      <c r="CL186" s="92"/>
      <c r="CM186" s="92"/>
      <c r="CN186" s="92"/>
      <c r="CO186" s="92"/>
      <c r="CP186" s="92"/>
      <c r="CQ186" s="92"/>
      <c r="CR186" s="92"/>
      <c r="CS186" s="92"/>
      <c r="CT186" s="92"/>
      <c r="CU186" s="92"/>
      <c r="CV186" s="92"/>
      <c r="CW186" s="92"/>
      <c r="CX186" s="92"/>
      <c r="CY186" s="92"/>
      <c r="CZ186" s="92"/>
      <c r="DA186" s="92"/>
      <c r="DB186" s="92"/>
      <c r="DC186" s="92"/>
      <c r="DD186" s="92"/>
      <c r="DE186" s="92"/>
      <c r="DF186" s="92"/>
      <c r="DG186" s="92"/>
      <c r="DH186" s="92"/>
      <c r="DI186" s="92"/>
      <c r="DJ186" s="92"/>
      <c r="DK186" s="92"/>
      <c r="DL186" s="92"/>
      <c r="DM186" s="92"/>
      <c r="DN186" s="92"/>
      <c r="DO186" s="92"/>
      <c r="DP186" s="92"/>
      <c r="DQ186" s="92"/>
      <c r="DR186" s="92"/>
      <c r="DS186" s="92"/>
      <c r="DT186" s="92"/>
      <c r="DU186" s="92"/>
      <c r="DV186" s="92"/>
      <c r="DW186" s="92"/>
      <c r="DX186" s="92"/>
      <c r="DY186" s="92"/>
      <c r="DZ186" s="92"/>
      <c r="EA186" s="92"/>
      <c r="EB186" s="92"/>
      <c r="EC186" s="92"/>
      <c r="ED186" s="92"/>
      <c r="EE186" s="92"/>
      <c r="EF186" s="92"/>
      <c r="EG186" s="92"/>
      <c r="EH186" s="92"/>
      <c r="EI186" s="92"/>
      <c r="EJ186" s="92"/>
      <c r="EK186" s="92"/>
      <c r="EL186" s="92"/>
      <c r="EM186" s="92"/>
      <c r="EN186" s="92"/>
      <c r="EO186" s="92"/>
      <c r="EP186" s="92"/>
    </row>
    <row r="187" spans="1:146" x14ac:dyDescent="0.25">
      <c r="J187" s="92"/>
      <c r="K187" s="92"/>
      <c r="L187" s="92"/>
      <c r="M187" s="92"/>
      <c r="N187" s="92"/>
      <c r="O187" s="92"/>
      <c r="P187" s="92"/>
      <c r="Q187" s="92"/>
      <c r="R187" s="92"/>
      <c r="S187" s="92"/>
      <c r="T187" s="92"/>
      <c r="U187" s="92"/>
      <c r="V187" s="92"/>
      <c r="W187" s="92"/>
      <c r="X187" s="92"/>
      <c r="Y187" s="92"/>
      <c r="Z187" s="92"/>
      <c r="AA187" s="92"/>
      <c r="AB187" s="92"/>
      <c r="AC187" s="92"/>
      <c r="AD187" s="92"/>
      <c r="AE187" s="92"/>
      <c r="AF187" s="92"/>
      <c r="AG187" s="92"/>
      <c r="AH187" s="92"/>
      <c r="AI187" s="92"/>
      <c r="AJ187" s="92"/>
      <c r="AK187" s="92"/>
      <c r="AL187" s="92"/>
      <c r="AM187" s="92"/>
      <c r="AN187" s="92"/>
      <c r="AO187" s="92"/>
      <c r="AP187" s="92"/>
      <c r="AQ187" s="92"/>
      <c r="AR187" s="92"/>
      <c r="AS187" s="92"/>
      <c r="AT187" s="92"/>
      <c r="AU187" s="92"/>
      <c r="AV187" s="92"/>
      <c r="AW187" s="92"/>
      <c r="AX187" s="92"/>
      <c r="AY187" s="92"/>
      <c r="AZ187" s="92"/>
      <c r="BA187" s="92"/>
      <c r="BB187" s="92"/>
      <c r="BC187" s="92"/>
      <c r="BD187" s="92"/>
      <c r="BE187" s="92"/>
      <c r="BF187" s="92"/>
      <c r="BG187" s="92"/>
      <c r="BH187" s="92"/>
      <c r="BI187" s="92"/>
      <c r="BJ187" s="92"/>
      <c r="BK187" s="92"/>
      <c r="BL187" s="92"/>
      <c r="BM187" s="92"/>
      <c r="BN187" s="92"/>
      <c r="BO187" s="92"/>
      <c r="BP187" s="92"/>
      <c r="BQ187" s="92"/>
      <c r="BR187" s="92"/>
      <c r="BS187" s="92"/>
      <c r="BT187" s="92"/>
      <c r="BU187" s="92"/>
      <c r="BV187" s="92"/>
      <c r="BW187" s="92"/>
      <c r="BX187" s="92"/>
      <c r="BY187" s="92"/>
      <c r="BZ187" s="92"/>
      <c r="CA187" s="92"/>
      <c r="CB187" s="92"/>
      <c r="CC187" s="92"/>
      <c r="CD187" s="92"/>
      <c r="CE187" s="92"/>
      <c r="CF187" s="92"/>
      <c r="CG187" s="92"/>
      <c r="CH187" s="92"/>
      <c r="CI187" s="92"/>
      <c r="CJ187" s="92"/>
      <c r="CK187" s="92"/>
      <c r="CL187" s="92"/>
      <c r="CM187" s="92"/>
      <c r="CN187" s="92"/>
      <c r="CO187" s="92"/>
      <c r="CP187" s="92"/>
      <c r="CQ187" s="92"/>
      <c r="CR187" s="92"/>
      <c r="CS187" s="92"/>
      <c r="CT187" s="92"/>
      <c r="CU187" s="92"/>
      <c r="CV187" s="92"/>
      <c r="CW187" s="92"/>
      <c r="CX187" s="92"/>
      <c r="CY187" s="92"/>
      <c r="CZ187" s="92"/>
      <c r="DA187" s="92"/>
      <c r="DB187" s="92"/>
      <c r="DC187" s="92"/>
      <c r="DD187" s="92"/>
      <c r="DE187" s="92"/>
      <c r="DF187" s="92"/>
      <c r="DG187" s="92"/>
      <c r="DH187" s="92"/>
      <c r="DI187" s="92"/>
      <c r="DJ187" s="92"/>
      <c r="DK187" s="92"/>
      <c r="DL187" s="92"/>
      <c r="DM187" s="92"/>
      <c r="DN187" s="92"/>
      <c r="DO187" s="92"/>
      <c r="DP187" s="92"/>
      <c r="DQ187" s="92"/>
      <c r="DR187" s="92"/>
      <c r="DS187" s="92"/>
      <c r="DT187" s="92"/>
      <c r="DU187" s="92"/>
      <c r="DV187" s="92"/>
      <c r="DW187" s="92"/>
      <c r="DX187" s="92"/>
      <c r="DY187" s="92"/>
      <c r="DZ187" s="92"/>
      <c r="EA187" s="92"/>
      <c r="EB187" s="92"/>
      <c r="EC187" s="92"/>
      <c r="ED187" s="92"/>
      <c r="EE187" s="92"/>
      <c r="EF187" s="92"/>
      <c r="EG187" s="92"/>
      <c r="EH187" s="92"/>
      <c r="EI187" s="92"/>
      <c r="EJ187" s="92"/>
      <c r="EK187" s="92"/>
      <c r="EL187" s="92"/>
      <c r="EM187" s="92"/>
      <c r="EN187" s="92"/>
      <c r="EO187" s="92"/>
      <c r="EP187" s="92"/>
    </row>
    <row r="188" spans="1:146" x14ac:dyDescent="0.25">
      <c r="J188" s="92"/>
      <c r="K188" s="92"/>
      <c r="L188" s="92"/>
      <c r="M188" s="92"/>
      <c r="N188" s="92"/>
      <c r="O188" s="92"/>
      <c r="P188" s="92"/>
      <c r="Q188" s="92"/>
      <c r="R188" s="92"/>
      <c r="S188" s="92"/>
      <c r="T188" s="92"/>
      <c r="U188" s="92"/>
      <c r="V188" s="92"/>
      <c r="W188" s="92"/>
      <c r="X188" s="92"/>
      <c r="Y188" s="92"/>
      <c r="Z188" s="92"/>
      <c r="AA188" s="92"/>
      <c r="AB188" s="92"/>
      <c r="AC188" s="92"/>
      <c r="AD188" s="92"/>
      <c r="AE188" s="92"/>
      <c r="AF188" s="92"/>
      <c r="AG188" s="92"/>
      <c r="AH188" s="92"/>
      <c r="AI188" s="92"/>
      <c r="AJ188" s="92"/>
      <c r="AK188" s="92"/>
      <c r="AL188" s="92"/>
      <c r="AM188" s="92"/>
      <c r="AN188" s="92"/>
      <c r="AO188" s="92"/>
      <c r="AP188" s="92"/>
      <c r="AQ188" s="92"/>
      <c r="AR188" s="92"/>
      <c r="AS188" s="92"/>
      <c r="AT188" s="92"/>
      <c r="AU188" s="92"/>
      <c r="AV188" s="92"/>
      <c r="AW188" s="92"/>
      <c r="AX188" s="92"/>
      <c r="AY188" s="92"/>
      <c r="AZ188" s="92"/>
      <c r="BA188" s="92"/>
      <c r="BB188" s="92"/>
      <c r="BC188" s="92"/>
      <c r="BD188" s="92"/>
      <c r="BE188" s="92"/>
      <c r="BF188" s="92"/>
      <c r="BG188" s="92"/>
      <c r="BH188" s="92"/>
      <c r="BI188" s="92"/>
      <c r="BJ188" s="92"/>
      <c r="BK188" s="92"/>
      <c r="BL188" s="92"/>
      <c r="BM188" s="92"/>
      <c r="BN188" s="92"/>
      <c r="BO188" s="92"/>
      <c r="BP188" s="92"/>
      <c r="BQ188" s="92"/>
      <c r="BR188" s="92"/>
      <c r="BS188" s="92"/>
      <c r="BT188" s="92"/>
      <c r="BU188" s="92"/>
      <c r="BV188" s="92"/>
      <c r="BW188" s="92"/>
      <c r="BX188" s="92"/>
      <c r="BY188" s="92"/>
      <c r="BZ188" s="92"/>
      <c r="CA188" s="92"/>
      <c r="CB188" s="92"/>
      <c r="CC188" s="92"/>
      <c r="CD188" s="92"/>
      <c r="CE188" s="92"/>
      <c r="CF188" s="92"/>
      <c r="CG188" s="92"/>
      <c r="CH188" s="92"/>
      <c r="CI188" s="92"/>
      <c r="CJ188" s="92"/>
      <c r="CK188" s="92"/>
      <c r="CL188" s="92"/>
      <c r="CM188" s="92"/>
      <c r="CN188" s="92"/>
      <c r="CO188" s="92"/>
      <c r="CP188" s="92"/>
      <c r="CQ188" s="92"/>
      <c r="CR188" s="92"/>
      <c r="CS188" s="92"/>
      <c r="CT188" s="92"/>
      <c r="CU188" s="92"/>
      <c r="CV188" s="92"/>
      <c r="CW188" s="92"/>
      <c r="CX188" s="92"/>
      <c r="CY188" s="92"/>
      <c r="CZ188" s="92"/>
      <c r="DA188" s="92"/>
      <c r="DB188" s="92"/>
      <c r="DC188" s="92"/>
      <c r="DD188" s="92"/>
      <c r="DE188" s="92"/>
      <c r="DF188" s="92"/>
      <c r="DG188" s="92"/>
      <c r="DH188" s="92"/>
      <c r="DI188" s="92"/>
      <c r="DJ188" s="92"/>
      <c r="DK188" s="92"/>
      <c r="DL188" s="92"/>
      <c r="DM188" s="92"/>
      <c r="DN188" s="92"/>
      <c r="DO188" s="92"/>
      <c r="DP188" s="92"/>
      <c r="DQ188" s="92"/>
      <c r="DR188" s="92"/>
      <c r="DS188" s="92"/>
      <c r="DT188" s="92"/>
      <c r="DU188" s="92"/>
      <c r="DV188" s="92"/>
      <c r="DW188" s="92"/>
      <c r="DX188" s="92"/>
      <c r="DY188" s="92"/>
      <c r="DZ188" s="92"/>
      <c r="EA188" s="92"/>
      <c r="EB188" s="92"/>
      <c r="EC188" s="92"/>
      <c r="ED188" s="92"/>
      <c r="EE188" s="92"/>
      <c r="EF188" s="92"/>
      <c r="EG188" s="92"/>
      <c r="EH188" s="92"/>
      <c r="EI188" s="92"/>
      <c r="EJ188" s="92"/>
      <c r="EK188" s="92"/>
      <c r="EL188" s="92"/>
      <c r="EM188" s="92"/>
      <c r="EN188" s="92"/>
      <c r="EO188" s="92"/>
      <c r="EP188" s="92"/>
    </row>
    <row r="189" spans="1:146" x14ac:dyDescent="0.2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5"/>
      <c r="AX189" s="45"/>
      <c r="AY189" s="45"/>
      <c r="AZ189" s="45"/>
      <c r="BA189" s="45"/>
      <c r="BB189" s="45"/>
      <c r="BC189" s="45"/>
      <c r="BD189" s="45"/>
      <c r="BE189" s="45"/>
      <c r="BF189" s="45"/>
      <c r="BG189" s="45"/>
      <c r="BH189" s="45"/>
      <c r="BI189" s="45"/>
      <c r="BJ189" s="45"/>
      <c r="BK189" s="45"/>
      <c r="BL189" s="45"/>
      <c r="BM189" s="45"/>
      <c r="BN189" s="45"/>
      <c r="BO189" s="45"/>
      <c r="BP189" s="45"/>
      <c r="BQ189" s="45"/>
      <c r="BR189" s="45"/>
      <c r="BS189" s="45"/>
      <c r="BT189" s="45"/>
      <c r="BU189" s="45"/>
      <c r="BV189" s="45"/>
      <c r="BW189" s="45"/>
      <c r="BX189" s="45"/>
      <c r="BY189" s="45"/>
      <c r="BZ189" s="45"/>
      <c r="CA189" s="45"/>
      <c r="CB189" s="45"/>
      <c r="CC189" s="45"/>
      <c r="CD189" s="45"/>
      <c r="CE189" s="45"/>
      <c r="CF189" s="45"/>
      <c r="CG189" s="45"/>
      <c r="CH189" s="45"/>
      <c r="CI189" s="45"/>
      <c r="CJ189" s="45"/>
      <c r="CK189" s="45"/>
      <c r="CL189" s="45"/>
      <c r="CM189" s="45"/>
      <c r="CN189" s="45"/>
      <c r="CO189" s="45"/>
      <c r="CP189" s="45"/>
      <c r="CQ189" s="45"/>
      <c r="CR189" s="45"/>
      <c r="CS189" s="45"/>
      <c r="CT189" s="45"/>
      <c r="CU189" s="45"/>
      <c r="CV189" s="45"/>
      <c r="CW189" s="45"/>
      <c r="CX189" s="45"/>
      <c r="CY189" s="45"/>
      <c r="CZ189" s="45"/>
      <c r="DA189" s="45"/>
      <c r="DB189" s="45"/>
      <c r="DC189" s="45"/>
      <c r="DD189" s="45"/>
      <c r="DE189" s="45"/>
      <c r="DF189" s="45"/>
      <c r="DG189" s="45"/>
      <c r="DH189" s="45"/>
      <c r="DI189" s="45"/>
      <c r="DJ189" s="45"/>
      <c r="DK189" s="45"/>
      <c r="DL189" s="45"/>
      <c r="DM189" s="45"/>
      <c r="DN189" s="45"/>
      <c r="DO189" s="45"/>
      <c r="DP189" s="45"/>
      <c r="DQ189" s="45"/>
      <c r="DR189" s="45"/>
      <c r="DS189" s="45"/>
      <c r="DT189" s="45"/>
      <c r="DU189" s="45"/>
      <c r="DV189" s="45"/>
      <c r="DW189" s="45"/>
      <c r="DX189" s="45"/>
      <c r="DY189" s="45"/>
      <c r="DZ189" s="45"/>
      <c r="EA189" s="45"/>
      <c r="EB189" s="45"/>
      <c r="EC189" s="45"/>
      <c r="ED189" s="45"/>
      <c r="EE189" s="45"/>
      <c r="EF189" s="45"/>
      <c r="EG189" s="45"/>
      <c r="EH189" s="45"/>
      <c r="EI189" s="45"/>
      <c r="EJ189" s="45"/>
      <c r="EK189" s="45"/>
      <c r="EL189" s="45"/>
      <c r="EM189" s="45"/>
      <c r="EN189" s="45"/>
      <c r="EO189" s="45"/>
      <c r="EP189" s="45"/>
    </row>
    <row r="190" spans="1:146" x14ac:dyDescent="0.25">
      <c r="A190" s="35" t="s">
        <v>189</v>
      </c>
      <c r="B190" s="25" t="s">
        <v>183</v>
      </c>
      <c r="C190" s="17" t="s">
        <v>184</v>
      </c>
      <c r="D190" s="17" t="s">
        <v>185</v>
      </c>
      <c r="E190" s="17" t="s">
        <v>48</v>
      </c>
      <c r="F190" s="16"/>
      <c r="G190" s="16"/>
      <c r="H190" s="33"/>
      <c r="I190" s="32"/>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46"/>
      <c r="CY190" s="46"/>
      <c r="CZ190" s="46"/>
      <c r="DA190" s="46"/>
      <c r="DB190" s="46"/>
      <c r="DC190" s="46"/>
      <c r="DD190" s="46"/>
      <c r="DE190" s="46"/>
      <c r="DF190" s="46"/>
      <c r="DG190" s="46"/>
      <c r="DH190" s="46"/>
      <c r="DI190" s="46"/>
      <c r="DJ190" s="46"/>
      <c r="DK190" s="46"/>
      <c r="DL190" s="46"/>
      <c r="DM190" s="46"/>
      <c r="DN190" s="46"/>
      <c r="DO190" s="46"/>
      <c r="DP190" s="46"/>
      <c r="DQ190" s="46"/>
      <c r="DR190" s="46"/>
      <c r="DS190" s="46"/>
      <c r="DT190" s="46"/>
      <c r="DU190" s="46"/>
      <c r="DV190" s="46"/>
      <c r="DW190" s="46"/>
      <c r="DX190" s="46"/>
      <c r="DY190" s="46"/>
      <c r="DZ190" s="46"/>
      <c r="EA190" s="46"/>
      <c r="EB190" s="46"/>
      <c r="EC190" s="46"/>
      <c r="ED190" s="46"/>
      <c r="EE190" s="46"/>
      <c r="EF190" s="46"/>
      <c r="EG190" s="46"/>
      <c r="EH190" s="46"/>
      <c r="EI190" s="46"/>
      <c r="EJ190" s="46"/>
      <c r="EK190" s="46"/>
      <c r="EL190" s="46"/>
      <c r="EM190" s="45"/>
      <c r="EN190" s="45"/>
      <c r="EO190" s="45"/>
      <c r="EP190" s="45"/>
    </row>
    <row r="191" spans="1:146" x14ac:dyDescent="0.25">
      <c r="A191" s="35" t="s">
        <v>193</v>
      </c>
      <c r="B191" s="25" t="s">
        <v>190</v>
      </c>
      <c r="C191" s="17" t="s">
        <v>184</v>
      </c>
      <c r="D191" s="17" t="s">
        <v>191</v>
      </c>
      <c r="E191" s="17" t="s">
        <v>48</v>
      </c>
      <c r="F191" s="16"/>
      <c r="G191" s="16"/>
      <c r="H191" s="33"/>
      <c r="I191" s="32"/>
      <c r="J191" s="45"/>
      <c r="K191" s="45"/>
      <c r="L191" s="45"/>
      <c r="M191" s="45"/>
      <c r="N191" s="45"/>
      <c r="O191" s="45"/>
      <c r="P191" s="45"/>
      <c r="Q191" s="45"/>
      <c r="R191" s="45"/>
      <c r="S191" s="45"/>
      <c r="T191" s="45"/>
      <c r="U191" s="45"/>
      <c r="V191" s="45"/>
      <c r="W191" s="45"/>
      <c r="X191" s="45"/>
      <c r="Y191" s="45"/>
      <c r="Z191" s="45"/>
      <c r="AA191" s="45"/>
      <c r="AB191" s="45"/>
      <c r="AC191" s="45"/>
      <c r="AD191" s="45"/>
      <c r="AE191" s="45"/>
      <c r="AF191" s="45"/>
      <c r="AG191" s="45"/>
      <c r="AH191" s="45"/>
      <c r="AI191" s="45"/>
      <c r="AJ191" s="45"/>
      <c r="AK191" s="45"/>
      <c r="AL191" s="45"/>
      <c r="AM191" s="45"/>
      <c r="AN191" s="45"/>
      <c r="AO191" s="45"/>
      <c r="AP191" s="45"/>
      <c r="AQ191" s="45"/>
      <c r="AR191" s="45"/>
      <c r="AS191" s="45"/>
      <c r="AT191" s="45"/>
      <c r="AU191" s="45"/>
      <c r="AV191" s="45"/>
      <c r="AW191" s="45"/>
      <c r="AX191" s="45"/>
      <c r="AY191" s="45"/>
      <c r="AZ191" s="45"/>
      <c r="BA191" s="45"/>
      <c r="BB191" s="45"/>
      <c r="BC191" s="45"/>
      <c r="BD191" s="45"/>
      <c r="BE191" s="45"/>
      <c r="BF191" s="45"/>
      <c r="BG191" s="45"/>
      <c r="BH191" s="45"/>
      <c r="BI191" s="45"/>
      <c r="BJ191" s="45"/>
      <c r="BK191" s="45"/>
      <c r="BL191" s="45"/>
      <c r="BM191" s="45"/>
      <c r="BN191" s="45"/>
      <c r="BO191" s="45"/>
      <c r="BP191" s="45"/>
      <c r="BQ191" s="45"/>
      <c r="BR191" s="45"/>
      <c r="BS191" s="45"/>
      <c r="BT191" s="45"/>
      <c r="BU191" s="45"/>
      <c r="BV191" s="45"/>
      <c r="BW191" s="45"/>
      <c r="BX191" s="45"/>
      <c r="BY191" s="45"/>
      <c r="BZ191" s="45"/>
      <c r="CA191" s="45"/>
      <c r="CB191" s="45"/>
      <c r="CC191" s="45"/>
      <c r="CD191" s="45"/>
      <c r="CE191" s="45"/>
      <c r="CF191" s="45"/>
      <c r="CG191" s="45"/>
      <c r="CH191" s="45"/>
      <c r="CI191" s="45"/>
      <c r="CJ191" s="45"/>
      <c r="CK191" s="45"/>
      <c r="CL191" s="45"/>
      <c r="CM191" s="45"/>
      <c r="CN191" s="45"/>
      <c r="CO191" s="45"/>
      <c r="CP191" s="45"/>
      <c r="CQ191" s="45"/>
      <c r="CR191" s="45"/>
      <c r="CS191" s="45"/>
      <c r="CT191" s="45"/>
      <c r="CU191" s="45"/>
      <c r="CV191" s="45"/>
      <c r="CW191" s="45"/>
      <c r="CX191" s="45"/>
      <c r="CY191" s="45"/>
      <c r="CZ191" s="45"/>
      <c r="DA191" s="45"/>
      <c r="DB191" s="45"/>
      <c r="DC191" s="45"/>
      <c r="DD191" s="45"/>
      <c r="DE191" s="45"/>
      <c r="DF191" s="45"/>
      <c r="DG191" s="45"/>
      <c r="DH191" s="45"/>
      <c r="DI191" s="45"/>
      <c r="DJ191" s="45"/>
      <c r="DK191" s="45"/>
      <c r="DL191" s="45"/>
      <c r="DM191" s="45"/>
      <c r="DN191" s="45"/>
      <c r="DO191" s="45"/>
      <c r="DP191" s="45"/>
      <c r="DQ191" s="45"/>
      <c r="DR191" s="45"/>
      <c r="DS191" s="45"/>
      <c r="DT191" s="45"/>
      <c r="DU191" s="45"/>
      <c r="DV191" s="45"/>
      <c r="DW191" s="45"/>
      <c r="DX191" s="45"/>
      <c r="DY191" s="45"/>
      <c r="DZ191" s="45"/>
      <c r="EA191" s="45"/>
      <c r="EB191" s="45"/>
      <c r="EC191" s="45"/>
      <c r="ED191" s="45"/>
      <c r="EE191" s="45"/>
      <c r="EF191" s="45"/>
      <c r="EG191" s="45"/>
      <c r="EH191" s="45"/>
      <c r="EI191" s="45"/>
      <c r="EJ191" s="45"/>
      <c r="EK191" s="45"/>
      <c r="EL191" s="45"/>
      <c r="EM191" s="45"/>
      <c r="EN191" s="45"/>
      <c r="EO191" s="45"/>
      <c r="EP191" s="45"/>
    </row>
    <row r="192" spans="1:146" x14ac:dyDescent="0.25">
      <c r="A192" s="35" t="s">
        <v>200</v>
      </c>
      <c r="B192" s="25" t="s">
        <v>194</v>
      </c>
      <c r="C192" s="17" t="s">
        <v>184</v>
      </c>
      <c r="D192" s="17" t="s">
        <v>186</v>
      </c>
      <c r="E192" s="17" t="s">
        <v>48</v>
      </c>
      <c r="F192" s="16"/>
      <c r="G192" s="16"/>
      <c r="H192" s="33"/>
      <c r="I192" s="32"/>
      <c r="J192" s="45"/>
      <c r="K192" s="45"/>
      <c r="L192" s="45"/>
      <c r="M192" s="45"/>
      <c r="N192" s="45"/>
      <c r="O192" s="45"/>
      <c r="P192" s="45"/>
      <c r="Q192" s="45"/>
      <c r="R192" s="45"/>
      <c r="S192" s="45"/>
      <c r="T192" s="45"/>
      <c r="U192" s="45"/>
      <c r="V192" s="45"/>
      <c r="W192" s="45"/>
      <c r="X192" s="45"/>
      <c r="Y192" s="45"/>
      <c r="Z192" s="45"/>
      <c r="AA192" s="45"/>
      <c r="AB192" s="45"/>
      <c r="AC192" s="45"/>
      <c r="AD192" s="45"/>
      <c r="AE192" s="45"/>
      <c r="AF192" s="45"/>
      <c r="AG192" s="45"/>
      <c r="AH192" s="45"/>
      <c r="AI192" s="45"/>
      <c r="AJ192" s="45"/>
      <c r="AK192" s="45"/>
      <c r="AL192" s="45"/>
      <c r="AM192" s="45"/>
      <c r="AN192" s="45"/>
      <c r="AO192" s="45"/>
      <c r="AP192" s="45"/>
      <c r="AQ192" s="45"/>
      <c r="AR192" s="45"/>
      <c r="AS192" s="45"/>
      <c r="AT192" s="45"/>
      <c r="AU192" s="45"/>
      <c r="AV192" s="45"/>
      <c r="AW192" s="45"/>
      <c r="AX192" s="45"/>
      <c r="AY192" s="45"/>
      <c r="AZ192" s="45"/>
      <c r="BA192" s="45"/>
      <c r="BB192" s="45"/>
      <c r="BC192" s="45"/>
      <c r="BD192" s="45"/>
      <c r="BE192" s="45"/>
      <c r="BF192" s="45"/>
      <c r="BG192" s="45"/>
      <c r="BH192" s="45"/>
      <c r="BI192" s="45"/>
      <c r="BJ192" s="45"/>
      <c r="BK192" s="45"/>
      <c r="BL192" s="45"/>
      <c r="BM192" s="45"/>
      <c r="BN192" s="45"/>
      <c r="BO192" s="45"/>
      <c r="BP192" s="45"/>
      <c r="BQ192" s="45"/>
      <c r="BR192" s="45"/>
      <c r="BS192" s="45"/>
      <c r="BT192" s="45"/>
      <c r="BU192" s="45"/>
      <c r="BV192" s="45"/>
      <c r="BW192" s="45"/>
      <c r="BX192" s="45"/>
      <c r="BY192" s="45"/>
      <c r="BZ192" s="45"/>
      <c r="CA192" s="45"/>
      <c r="CB192" s="45"/>
      <c r="CC192" s="45"/>
      <c r="CD192" s="45"/>
      <c r="CE192" s="45"/>
      <c r="CF192" s="45"/>
      <c r="CG192" s="45"/>
      <c r="CH192" s="45"/>
      <c r="CI192" s="45"/>
      <c r="CJ192" s="45"/>
      <c r="CK192" s="45"/>
      <c r="CL192" s="45"/>
      <c r="CM192" s="45"/>
      <c r="CN192" s="45"/>
      <c r="CO192" s="45"/>
      <c r="CP192" s="45"/>
      <c r="CQ192" s="45"/>
      <c r="CR192" s="45"/>
      <c r="CS192" s="45"/>
      <c r="CT192" s="45"/>
      <c r="CU192" s="45"/>
      <c r="CV192" s="45"/>
      <c r="CW192" s="45"/>
      <c r="CX192" s="45"/>
      <c r="CY192" s="45"/>
      <c r="CZ192" s="45"/>
      <c r="DA192" s="45"/>
      <c r="DB192" s="45"/>
      <c r="DC192" s="45"/>
      <c r="DD192" s="45"/>
      <c r="DE192" s="45"/>
      <c r="DF192" s="45"/>
      <c r="DG192" s="45"/>
      <c r="DH192" s="45"/>
      <c r="DI192" s="45"/>
      <c r="DJ192" s="45"/>
      <c r="DK192" s="45"/>
      <c r="DL192" s="45"/>
      <c r="DM192" s="45"/>
      <c r="DN192" s="45"/>
      <c r="DO192" s="45"/>
      <c r="DP192" s="45"/>
      <c r="DQ192" s="45"/>
      <c r="DR192" s="45"/>
      <c r="DS192" s="45"/>
      <c r="DT192" s="45"/>
      <c r="DU192" s="45"/>
      <c r="DV192" s="45"/>
      <c r="DW192" s="45"/>
      <c r="DX192" s="45"/>
      <c r="DY192" s="45"/>
      <c r="DZ192" s="45"/>
      <c r="EA192" s="45"/>
      <c r="EB192" s="45"/>
      <c r="EC192" s="45"/>
      <c r="ED192" s="45"/>
      <c r="EE192" s="45"/>
      <c r="EF192" s="45"/>
      <c r="EG192" s="45"/>
      <c r="EH192" s="45"/>
      <c r="EI192" s="45"/>
      <c r="EJ192" s="45"/>
      <c r="EK192" s="45"/>
      <c r="EL192" s="45"/>
      <c r="EM192" s="45"/>
      <c r="EN192" s="45"/>
      <c r="EO192" s="45"/>
      <c r="EP192" s="45"/>
    </row>
    <row r="193" spans="1:146" x14ac:dyDescent="0.25">
      <c r="A193" s="35" t="s">
        <v>201</v>
      </c>
      <c r="B193" s="25" t="s">
        <v>195</v>
      </c>
      <c r="C193" s="17" t="s">
        <v>184</v>
      </c>
      <c r="D193" s="17" t="s">
        <v>187</v>
      </c>
      <c r="E193" s="17" t="s">
        <v>196</v>
      </c>
      <c r="F193" s="16"/>
      <c r="G193" s="16"/>
      <c r="H193" s="33"/>
      <c r="I193" s="32"/>
      <c r="J193" s="45"/>
      <c r="K193" s="45"/>
      <c r="L193" s="45"/>
      <c r="M193" s="45"/>
      <c r="N193" s="45"/>
      <c r="O193" s="45"/>
      <c r="P193" s="45"/>
      <c r="Q193" s="45"/>
      <c r="R193" s="45"/>
      <c r="S193" s="45"/>
      <c r="T193" s="45"/>
      <c r="U193" s="45"/>
      <c r="V193" s="45"/>
      <c r="W193" s="45"/>
      <c r="X193" s="45"/>
      <c r="Y193" s="45"/>
      <c r="Z193" s="45"/>
      <c r="AA193" s="45"/>
      <c r="AB193" s="45"/>
      <c r="AC193" s="45"/>
      <c r="AD193" s="45"/>
      <c r="AE193" s="45"/>
      <c r="AF193" s="45"/>
      <c r="AG193" s="45"/>
      <c r="AH193" s="45"/>
      <c r="AI193" s="45"/>
      <c r="AJ193" s="45"/>
      <c r="AK193" s="45"/>
      <c r="AL193" s="45"/>
      <c r="AM193" s="45"/>
      <c r="AN193" s="45"/>
      <c r="AO193" s="45"/>
      <c r="AP193" s="45"/>
      <c r="AQ193" s="45"/>
      <c r="AR193" s="45"/>
      <c r="AS193" s="45"/>
      <c r="AT193" s="45"/>
      <c r="AU193" s="45"/>
      <c r="AV193" s="45"/>
      <c r="AW193" s="45"/>
      <c r="AX193" s="45"/>
      <c r="AY193" s="45"/>
      <c r="AZ193" s="45"/>
      <c r="BA193" s="45"/>
      <c r="BB193" s="45"/>
      <c r="BC193" s="45"/>
      <c r="BD193" s="45"/>
      <c r="BE193" s="45"/>
      <c r="BF193" s="45"/>
      <c r="BG193" s="45"/>
      <c r="BH193" s="45"/>
      <c r="BI193" s="45"/>
      <c r="BJ193" s="45"/>
      <c r="BK193" s="45"/>
      <c r="BL193" s="45"/>
      <c r="BM193" s="45"/>
      <c r="BN193" s="45"/>
      <c r="BO193" s="45"/>
      <c r="BP193" s="45"/>
      <c r="BQ193" s="45"/>
      <c r="BR193" s="45"/>
      <c r="BS193" s="45"/>
      <c r="BT193" s="45"/>
      <c r="BU193" s="45"/>
      <c r="BV193" s="45"/>
      <c r="BW193" s="45"/>
      <c r="BX193" s="45"/>
      <c r="BY193" s="45"/>
      <c r="BZ193" s="45"/>
      <c r="CA193" s="45"/>
      <c r="CB193" s="45"/>
      <c r="CC193" s="45"/>
      <c r="CD193" s="45"/>
      <c r="CE193" s="45"/>
      <c r="CF193" s="45"/>
      <c r="CG193" s="45"/>
      <c r="CH193" s="45"/>
      <c r="CI193" s="45"/>
      <c r="CJ193" s="45"/>
      <c r="CK193" s="45"/>
      <c r="CL193" s="45"/>
      <c r="CM193" s="45"/>
      <c r="CN193" s="45"/>
      <c r="CO193" s="45"/>
      <c r="CP193" s="45"/>
      <c r="CQ193" s="45"/>
      <c r="CR193" s="45"/>
      <c r="CS193" s="45"/>
      <c r="CT193" s="45"/>
      <c r="CU193" s="45"/>
      <c r="CV193" s="45"/>
      <c r="CW193" s="45"/>
      <c r="CX193" s="45"/>
      <c r="CY193" s="45"/>
      <c r="CZ193" s="45"/>
      <c r="DA193" s="45"/>
      <c r="DB193" s="45"/>
      <c r="DC193" s="45"/>
      <c r="DD193" s="45"/>
      <c r="DE193" s="45"/>
      <c r="DF193" s="45"/>
      <c r="DG193" s="45"/>
      <c r="DH193" s="45"/>
      <c r="DI193" s="45"/>
      <c r="DJ193" s="45"/>
      <c r="DK193" s="45"/>
      <c r="DL193" s="45"/>
      <c r="DM193" s="45"/>
      <c r="DN193" s="45"/>
      <c r="DO193" s="45"/>
      <c r="DP193" s="45"/>
      <c r="DQ193" s="45"/>
      <c r="DR193" s="45"/>
      <c r="DS193" s="45"/>
      <c r="DT193" s="45"/>
      <c r="DU193" s="45"/>
      <c r="DV193" s="45"/>
      <c r="DW193" s="45"/>
      <c r="DX193" s="45"/>
      <c r="DY193" s="45"/>
      <c r="DZ193" s="45"/>
      <c r="EA193" s="45"/>
      <c r="EB193" s="45"/>
      <c r="EC193" s="45"/>
      <c r="ED193" s="45"/>
      <c r="EE193" s="45"/>
      <c r="EF193" s="45"/>
      <c r="EG193" s="45"/>
      <c r="EH193" s="45"/>
      <c r="EI193" s="45"/>
      <c r="EJ193" s="45"/>
      <c r="EK193" s="45"/>
      <c r="EL193" s="45"/>
      <c r="EM193" s="45"/>
      <c r="EN193" s="45"/>
      <c r="EO193" s="45"/>
      <c r="EP193" s="45"/>
    </row>
    <row r="194" spans="1:146" x14ac:dyDescent="0.25">
      <c r="A194" s="35" t="s">
        <v>199</v>
      </c>
      <c r="B194" s="25" t="s">
        <v>197</v>
      </c>
      <c r="C194" s="17" t="s">
        <v>198</v>
      </c>
      <c r="D194" s="17" t="s">
        <v>188</v>
      </c>
      <c r="E194" s="17" t="s">
        <v>48</v>
      </c>
      <c r="F194" s="16"/>
      <c r="G194" s="16"/>
      <c r="H194" s="33"/>
      <c r="I194" s="32"/>
      <c r="J194" s="45"/>
      <c r="K194" s="45"/>
      <c r="L194" s="45"/>
      <c r="M194" s="45"/>
      <c r="N194" s="45"/>
      <c r="O194" s="45"/>
      <c r="P194" s="45"/>
      <c r="Q194" s="45"/>
      <c r="R194" s="45"/>
      <c r="S194" s="45"/>
      <c r="T194" s="45"/>
      <c r="U194" s="45"/>
      <c r="V194" s="45"/>
      <c r="W194" s="45"/>
      <c r="X194" s="45"/>
      <c r="Y194" s="45"/>
      <c r="Z194" s="45"/>
      <c r="AA194" s="45"/>
      <c r="AB194" s="45"/>
      <c r="AC194" s="45"/>
      <c r="AD194" s="45"/>
      <c r="AE194" s="45"/>
      <c r="AF194" s="45"/>
      <c r="AG194" s="45"/>
      <c r="AH194" s="45"/>
      <c r="AI194" s="45"/>
      <c r="AJ194" s="45"/>
      <c r="AK194" s="45"/>
      <c r="AL194" s="45"/>
      <c r="AM194" s="45"/>
      <c r="AN194" s="45"/>
      <c r="AO194" s="45"/>
      <c r="AP194" s="45"/>
      <c r="AQ194" s="45"/>
      <c r="AR194" s="45"/>
      <c r="AS194" s="45"/>
      <c r="AT194" s="45"/>
      <c r="AU194" s="45"/>
      <c r="AV194" s="45"/>
      <c r="AW194" s="45"/>
      <c r="AX194" s="45"/>
      <c r="AY194" s="45"/>
      <c r="AZ194" s="45"/>
      <c r="BA194" s="45"/>
      <c r="BB194" s="45"/>
      <c r="BC194" s="45"/>
      <c r="BD194" s="45"/>
      <c r="BE194" s="45"/>
      <c r="BF194" s="45"/>
      <c r="BG194" s="45"/>
      <c r="BH194" s="45"/>
      <c r="BI194" s="45"/>
      <c r="BJ194" s="45"/>
      <c r="BK194" s="45"/>
      <c r="BL194" s="45"/>
      <c r="BM194" s="45"/>
      <c r="BN194" s="45"/>
      <c r="BO194" s="45"/>
      <c r="BP194" s="45"/>
      <c r="BQ194" s="45"/>
      <c r="BR194" s="45"/>
      <c r="BS194" s="45"/>
      <c r="BT194" s="45"/>
      <c r="BU194" s="45"/>
      <c r="BV194" s="45"/>
      <c r="BW194" s="45"/>
      <c r="BX194" s="45"/>
      <c r="BY194" s="45"/>
      <c r="BZ194" s="45"/>
      <c r="CA194" s="45"/>
      <c r="CB194" s="45"/>
      <c r="CC194" s="45"/>
      <c r="CD194" s="45"/>
      <c r="CE194" s="45"/>
      <c r="CF194" s="45"/>
      <c r="CG194" s="45"/>
      <c r="CH194" s="45"/>
      <c r="CI194" s="45"/>
      <c r="CJ194" s="45"/>
      <c r="CK194" s="45"/>
      <c r="CL194" s="45"/>
      <c r="CM194" s="45"/>
      <c r="CN194" s="45"/>
      <c r="CO194" s="45"/>
      <c r="CP194" s="45"/>
      <c r="CQ194" s="45"/>
      <c r="CR194" s="45"/>
      <c r="CS194" s="45"/>
      <c r="CT194" s="45"/>
      <c r="CU194" s="45"/>
      <c r="CV194" s="45"/>
      <c r="CW194" s="45"/>
      <c r="CX194" s="45"/>
      <c r="CY194" s="45"/>
      <c r="CZ194" s="45"/>
      <c r="DA194" s="45"/>
      <c r="DB194" s="45"/>
      <c r="DC194" s="45"/>
      <c r="DD194" s="45"/>
      <c r="DE194" s="45"/>
      <c r="DF194" s="45"/>
      <c r="DG194" s="45"/>
      <c r="DH194" s="45"/>
      <c r="DI194" s="45"/>
      <c r="DJ194" s="45"/>
      <c r="DK194" s="45"/>
      <c r="DL194" s="45"/>
      <c r="DM194" s="45"/>
      <c r="DN194" s="45"/>
      <c r="DO194" s="45"/>
      <c r="DP194" s="45"/>
      <c r="DQ194" s="45"/>
      <c r="DR194" s="45"/>
      <c r="DS194" s="45"/>
      <c r="DT194" s="45"/>
      <c r="DU194" s="45"/>
      <c r="DV194" s="45"/>
      <c r="DW194" s="45"/>
      <c r="DX194" s="45"/>
      <c r="DY194" s="45"/>
      <c r="DZ194" s="45"/>
      <c r="EA194" s="45"/>
      <c r="EB194" s="45"/>
      <c r="EC194" s="45"/>
      <c r="ED194" s="45"/>
      <c r="EE194" s="45"/>
      <c r="EF194" s="45"/>
      <c r="EG194" s="45"/>
      <c r="EH194" s="45"/>
      <c r="EI194" s="45"/>
      <c r="EJ194" s="45"/>
      <c r="EK194" s="45"/>
      <c r="EL194" s="45"/>
      <c r="EM194" s="45"/>
      <c r="EN194" s="45"/>
      <c r="EO194" s="45"/>
      <c r="EP194" s="45"/>
    </row>
    <row r="195" spans="1:146" s="44" customFormat="1" x14ac:dyDescent="0.25">
      <c r="A195" s="35" t="s">
        <v>182</v>
      </c>
      <c r="B195" s="25" t="s">
        <v>202</v>
      </c>
      <c r="C195" s="17" t="s">
        <v>198</v>
      </c>
      <c r="D195" s="17" t="s">
        <v>192</v>
      </c>
      <c r="E195" s="17" t="s">
        <v>48</v>
      </c>
      <c r="F195" s="16"/>
      <c r="G195" s="16"/>
      <c r="H195" s="33"/>
      <c r="I195" s="32"/>
      <c r="J195" s="46">
        <v>10855.300998573466</v>
      </c>
      <c r="K195" s="46">
        <v>7269.532817906721</v>
      </c>
      <c r="L195" s="46">
        <v>57.540778637570746</v>
      </c>
      <c r="M195" s="46"/>
      <c r="N195" s="46"/>
      <c r="O195" s="46">
        <v>5384.0571380084975</v>
      </c>
      <c r="P195" s="46"/>
      <c r="Q195" s="46"/>
      <c r="R195" s="46"/>
      <c r="S195" s="46"/>
      <c r="T195" s="46">
        <v>89951.771546556396</v>
      </c>
      <c r="U195" s="46"/>
      <c r="V195" s="46"/>
      <c r="W195" s="46"/>
      <c r="X195" s="46"/>
      <c r="Y195" s="46"/>
      <c r="Z195" s="46"/>
      <c r="AA195" s="46"/>
      <c r="AB195" s="46"/>
      <c r="AC195" s="46"/>
      <c r="AD195" s="46">
        <v>98.951479032442748</v>
      </c>
      <c r="AE195" s="46">
        <v>34431.031266250517</v>
      </c>
      <c r="AF195" s="46">
        <v>15207.983581264169</v>
      </c>
      <c r="AG195" s="46">
        <v>5.8910764162228251</v>
      </c>
      <c r="AH195" s="46" t="s">
        <v>225</v>
      </c>
      <c r="AI195" s="46">
        <v>6.0619463747756272E-2</v>
      </c>
      <c r="AJ195" s="46"/>
      <c r="AK195" s="46">
        <v>11.672347091528852</v>
      </c>
      <c r="AL195" s="46">
        <v>0.77209404457442687</v>
      </c>
      <c r="AM195" s="46"/>
      <c r="AN195" s="46">
        <v>11.404272775923658</v>
      </c>
      <c r="AO195" s="46">
        <v>0.19137256426635516</v>
      </c>
      <c r="AP195" s="46">
        <v>0.12839290704817863</v>
      </c>
      <c r="AQ195" s="46">
        <v>0.63972781096602038</v>
      </c>
      <c r="AR195" s="46">
        <v>7.9208980899713888</v>
      </c>
      <c r="AS195" s="46">
        <v>3.0073932494669348E-2</v>
      </c>
      <c r="AT195" s="46">
        <v>2.8040253431238065</v>
      </c>
      <c r="AU195" s="46">
        <v>0.8782933072188398</v>
      </c>
      <c r="AV195" s="46">
        <v>4.3506713792727039E-3</v>
      </c>
      <c r="AW195" s="46">
        <v>0.61937444748067594</v>
      </c>
      <c r="AX195" s="46">
        <v>1.1364454830693651E-2</v>
      </c>
      <c r="AY195" s="46">
        <v>0.17820406392424812</v>
      </c>
      <c r="AZ195" s="46" t="s">
        <v>225</v>
      </c>
      <c r="BA195" s="46" t="s">
        <v>225</v>
      </c>
      <c r="BB195" s="46" t="s">
        <v>225</v>
      </c>
      <c r="BC195" s="46" t="s">
        <v>225</v>
      </c>
      <c r="BD195" s="46" t="s">
        <v>225</v>
      </c>
      <c r="BE195" s="46" t="s">
        <v>225</v>
      </c>
      <c r="BF195" s="46" t="s">
        <v>225</v>
      </c>
      <c r="BG195" s="46" t="s">
        <v>225</v>
      </c>
      <c r="BH195" s="46" t="s">
        <v>225</v>
      </c>
      <c r="BI195" s="46" t="s">
        <v>225</v>
      </c>
      <c r="BJ195" s="46" t="s">
        <v>225</v>
      </c>
      <c r="BK195" s="46" t="s">
        <v>225</v>
      </c>
      <c r="BL195" s="46" t="s">
        <v>225</v>
      </c>
      <c r="BM195" s="46" t="s">
        <v>225</v>
      </c>
      <c r="BN195" s="46" t="s">
        <v>225</v>
      </c>
      <c r="BO195" s="46">
        <v>5.9670557597900943E-2</v>
      </c>
      <c r="BP195" s="46">
        <v>0.31344053050374709</v>
      </c>
      <c r="BQ195" s="46">
        <v>9190.6329226411326</v>
      </c>
      <c r="BR195" s="46" t="s">
        <v>225</v>
      </c>
      <c r="BS195" s="46">
        <v>105.30743219997073</v>
      </c>
      <c r="BT195" s="46" t="s">
        <v>225</v>
      </c>
      <c r="BU195" s="46">
        <v>321.98861402379401</v>
      </c>
      <c r="BV195" s="46">
        <v>155.59969332153727</v>
      </c>
      <c r="BW195" s="46" t="s">
        <v>225</v>
      </c>
      <c r="BX195" s="46">
        <v>19795.77056709701</v>
      </c>
      <c r="BY195" s="46">
        <v>789.38853975036011</v>
      </c>
      <c r="BZ195" s="46">
        <v>5.9235255532638282</v>
      </c>
      <c r="CA195" s="46">
        <v>93.172860347120491</v>
      </c>
      <c r="CB195" s="46">
        <v>585036.71125921095</v>
      </c>
      <c r="CC195" s="46">
        <v>144.87624650107526</v>
      </c>
      <c r="CD195" s="46">
        <v>118980.56924253418</v>
      </c>
      <c r="CE195" s="46">
        <v>7363.714829346377</v>
      </c>
      <c r="CF195" s="46">
        <v>1.7240764171758496</v>
      </c>
      <c r="CG195" s="46">
        <v>52.734368015747428</v>
      </c>
      <c r="CH195" s="46">
        <v>116.33617677387053</v>
      </c>
      <c r="CI195" s="46">
        <v>165.52816238669075</v>
      </c>
      <c r="CJ195" s="46" t="s">
        <v>225</v>
      </c>
      <c r="CK195" s="46" t="s">
        <v>225</v>
      </c>
      <c r="CL195" s="46" t="s">
        <v>225</v>
      </c>
      <c r="CM195" s="46" t="s">
        <v>225</v>
      </c>
      <c r="CN195" s="46" t="s">
        <v>225</v>
      </c>
      <c r="CO195" s="46" t="s">
        <v>225</v>
      </c>
      <c r="CP195" s="46" t="s">
        <v>225</v>
      </c>
      <c r="CQ195" s="46" t="s">
        <v>225</v>
      </c>
      <c r="CR195" s="46" t="s">
        <v>225</v>
      </c>
      <c r="CS195" s="46" t="s">
        <v>225</v>
      </c>
      <c r="CT195" s="46" t="s">
        <v>225</v>
      </c>
      <c r="CU195" s="46" t="s">
        <v>225</v>
      </c>
      <c r="CV195" s="46" t="s">
        <v>225</v>
      </c>
      <c r="CW195" s="46" t="s">
        <v>225</v>
      </c>
      <c r="CX195" s="46" t="s">
        <v>225</v>
      </c>
      <c r="CY195" s="46">
        <v>13.395092494907715</v>
      </c>
      <c r="CZ195" s="46">
        <v>9.5002854084052366</v>
      </c>
      <c r="DA195" s="46">
        <v>814934480.52496433</v>
      </c>
      <c r="DB195" s="46" t="s">
        <v>225</v>
      </c>
      <c r="DC195" s="46">
        <v>21817165.78601997</v>
      </c>
      <c r="DD195" s="46" t="s">
        <v>225</v>
      </c>
      <c r="DE195" s="46">
        <v>947908806.66476464</v>
      </c>
      <c r="DF195" s="46">
        <v>81811529.038516402</v>
      </c>
      <c r="DG195" s="46" t="s">
        <v>225</v>
      </c>
      <c r="DH195" s="46">
        <v>1340475914.9557774</v>
      </c>
      <c r="DI195" s="46">
        <v>119444349.9914408</v>
      </c>
      <c r="DJ195" s="46">
        <v>77389000.125534952</v>
      </c>
      <c r="DK195" s="46">
        <v>260922346.08844507</v>
      </c>
      <c r="DL195" s="46">
        <v>375990263.23537803</v>
      </c>
      <c r="DM195" s="46">
        <v>46424560.661911555</v>
      </c>
      <c r="DN195" s="46">
        <v>308115932.21112698</v>
      </c>
      <c r="DO195" s="46">
        <v>96713536.639087021</v>
      </c>
      <c r="DP195" s="46">
        <v>93649272.878744647</v>
      </c>
      <c r="DQ195" s="46">
        <v>143575995.34379458</v>
      </c>
      <c r="DR195" s="46">
        <v>22050345.63195435</v>
      </c>
      <c r="DS195" s="46">
        <v>309387538.62482166</v>
      </c>
      <c r="DT195" s="46" t="s">
        <v>225</v>
      </c>
      <c r="DU195" s="46" t="s">
        <v>225</v>
      </c>
      <c r="DV195" s="46" t="s">
        <v>225</v>
      </c>
      <c r="DW195" s="46" t="s">
        <v>225</v>
      </c>
      <c r="DX195" s="46" t="s">
        <v>225</v>
      </c>
      <c r="DY195" s="46" t="s">
        <v>225</v>
      </c>
      <c r="DZ195" s="46" t="s">
        <v>225</v>
      </c>
      <c r="EA195" s="46" t="s">
        <v>225</v>
      </c>
      <c r="EB195" s="46" t="s">
        <v>225</v>
      </c>
      <c r="EC195" s="46" t="s">
        <v>225</v>
      </c>
      <c r="ED195" s="46" t="s">
        <v>225</v>
      </c>
      <c r="EE195" s="46" t="s">
        <v>225</v>
      </c>
      <c r="EF195" s="46" t="s">
        <v>225</v>
      </c>
      <c r="EG195" s="46"/>
      <c r="EH195" s="46"/>
      <c r="EI195" s="46"/>
      <c r="EJ195" s="46"/>
      <c r="EK195" s="46"/>
      <c r="EL195" s="46"/>
      <c r="EM195" s="46"/>
      <c r="EN195" s="46"/>
      <c r="EO195" s="46"/>
      <c r="EP195" s="46"/>
    </row>
    <row r="196" spans="1:146" x14ac:dyDescent="0.25">
      <c r="A196" s="42" t="s">
        <v>203</v>
      </c>
      <c r="B196" s="43" t="s">
        <v>204</v>
      </c>
      <c r="C196" s="56" t="s">
        <v>184</v>
      </c>
      <c r="D196" s="37" t="s">
        <v>205</v>
      </c>
      <c r="E196" s="37" t="s">
        <v>196</v>
      </c>
      <c r="F196" s="36"/>
      <c r="G196" s="36"/>
      <c r="H196" s="36"/>
      <c r="I196" s="37" t="s">
        <v>226</v>
      </c>
      <c r="J196" s="45"/>
      <c r="K196" s="45"/>
      <c r="L196" s="45"/>
      <c r="M196" s="45"/>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c r="BQ196" s="45"/>
      <c r="BR196" s="45"/>
      <c r="BS196" s="45"/>
      <c r="BT196" s="45"/>
      <c r="BU196" s="45"/>
      <c r="BV196" s="45"/>
      <c r="BW196" s="45"/>
      <c r="BX196" s="45"/>
      <c r="BY196" s="45"/>
      <c r="BZ196" s="45"/>
      <c r="CA196" s="45"/>
      <c r="CB196" s="45"/>
      <c r="CC196" s="45"/>
      <c r="CD196" s="45"/>
      <c r="CE196" s="45"/>
      <c r="CF196" s="45"/>
      <c r="CG196" s="45"/>
      <c r="CH196" s="45"/>
      <c r="CI196" s="45"/>
      <c r="CJ196" s="45"/>
      <c r="CK196" s="45"/>
      <c r="CL196" s="45"/>
      <c r="CM196" s="45"/>
      <c r="CN196" s="45"/>
      <c r="CO196" s="45"/>
      <c r="CP196" s="45"/>
      <c r="CQ196" s="45"/>
      <c r="CR196" s="45"/>
      <c r="CS196" s="45"/>
      <c r="CT196" s="45"/>
      <c r="CU196" s="45"/>
      <c r="CV196" s="45"/>
      <c r="CW196" s="45"/>
      <c r="CX196" s="45"/>
      <c r="CY196" s="45"/>
      <c r="CZ196" s="45"/>
      <c r="DA196" s="45"/>
      <c r="DB196" s="45"/>
      <c r="DC196" s="45"/>
      <c r="DD196" s="45"/>
      <c r="DE196" s="45"/>
      <c r="DF196" s="45"/>
      <c r="DG196" s="45"/>
      <c r="DH196" s="45"/>
      <c r="DI196" s="45"/>
      <c r="DJ196" s="45"/>
      <c r="DK196" s="45"/>
      <c r="DL196" s="45"/>
      <c r="DM196" s="45"/>
      <c r="DN196" s="45"/>
      <c r="DO196" s="45"/>
      <c r="DP196" s="45"/>
      <c r="DQ196" s="45"/>
      <c r="DR196" s="45"/>
      <c r="DS196" s="45"/>
      <c r="DT196" s="45"/>
      <c r="DU196" s="45"/>
      <c r="DV196" s="45"/>
      <c r="DW196" s="45"/>
      <c r="DX196" s="45"/>
      <c r="DY196" s="45"/>
      <c r="DZ196" s="45"/>
      <c r="EA196" s="45"/>
      <c r="EB196" s="45"/>
      <c r="EC196" s="45"/>
      <c r="ED196" s="45"/>
      <c r="EE196" s="45"/>
      <c r="EF196" s="45"/>
      <c r="EG196" s="45"/>
      <c r="EH196" s="45"/>
      <c r="EI196" s="45"/>
      <c r="EJ196" s="45"/>
      <c r="EK196" s="45"/>
      <c r="EL196" s="45"/>
      <c r="EM196" s="45"/>
      <c r="EN196" s="45"/>
      <c r="EO196" s="45"/>
      <c r="EP196" s="45"/>
    </row>
    <row r="197" spans="1:146" x14ac:dyDescent="0.25">
      <c r="A197" s="16" t="s">
        <v>206</v>
      </c>
      <c r="B197" s="25" t="s">
        <v>207</v>
      </c>
      <c r="C197" s="17" t="s">
        <v>208</v>
      </c>
      <c r="D197" s="17" t="s">
        <v>209</v>
      </c>
      <c r="E197" s="17" t="s">
        <v>196</v>
      </c>
      <c r="F197" s="16"/>
      <c r="G197" s="16"/>
      <c r="H197" s="33"/>
      <c r="I197" s="3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c r="BL197" s="12"/>
      <c r="BM197" s="12"/>
      <c r="BN197" s="12"/>
      <c r="BO197" s="12"/>
      <c r="BP197" s="12"/>
      <c r="BQ197" s="12"/>
      <c r="BR197" s="12"/>
      <c r="BS197" s="12"/>
      <c r="BT197" s="12"/>
      <c r="BU197" s="12"/>
      <c r="BV197" s="12"/>
      <c r="BW197" s="12"/>
      <c r="BX197" s="12"/>
      <c r="BY197" s="12"/>
      <c r="BZ197" s="12"/>
      <c r="CA197" s="12"/>
      <c r="CB197" s="12"/>
      <c r="CC197" s="12"/>
      <c r="CD197" s="12"/>
      <c r="CE197" s="12"/>
      <c r="CF197" s="12"/>
      <c r="CG197" s="12"/>
      <c r="CH197" s="12"/>
      <c r="CI197" s="12"/>
      <c r="CJ197" s="12"/>
      <c r="CK197" s="12"/>
      <c r="CL197" s="12"/>
      <c r="CM197" s="12"/>
      <c r="CN197" s="12"/>
      <c r="CO197" s="12"/>
      <c r="CP197" s="12"/>
      <c r="CQ197" s="12"/>
      <c r="CR197" s="12"/>
      <c r="CS197" s="12"/>
      <c r="CT197" s="12"/>
      <c r="CU197" s="12"/>
      <c r="CV197" s="12"/>
      <c r="CW197" s="12"/>
      <c r="CX197" s="12"/>
      <c r="CY197" s="12"/>
      <c r="CZ197" s="12"/>
      <c r="DA197" s="12"/>
      <c r="DB197" s="12"/>
      <c r="DC197" s="12"/>
      <c r="DD197" s="12"/>
      <c r="DE197" s="12"/>
      <c r="DF197" s="12"/>
      <c r="DG197" s="12"/>
      <c r="DH197" s="12"/>
      <c r="DI197" s="12"/>
      <c r="DJ197" s="12"/>
      <c r="DK197" s="12"/>
      <c r="DL197" s="12"/>
      <c r="DM197" s="12"/>
      <c r="DN197" s="12"/>
      <c r="DO197" s="12"/>
      <c r="DP197" s="12"/>
      <c r="DQ197" s="12"/>
      <c r="DR197" s="12"/>
      <c r="DS197" s="12"/>
      <c r="DT197" s="12"/>
      <c r="DU197" s="12"/>
      <c r="DV197" s="12"/>
      <c r="DW197" s="12"/>
      <c r="DX197" s="12"/>
      <c r="DY197" s="12"/>
      <c r="DZ197" s="12"/>
      <c r="EA197" s="12"/>
      <c r="EB197" s="12"/>
      <c r="EC197" s="12"/>
      <c r="ED197" s="12"/>
      <c r="EE197" s="12"/>
      <c r="EF197" s="12"/>
      <c r="EG197" s="12"/>
      <c r="EH197" s="12"/>
      <c r="EI197" s="12"/>
      <c r="EJ197" s="12"/>
      <c r="EK197" s="12"/>
      <c r="EL197" s="12"/>
      <c r="EM197" s="12"/>
      <c r="EN197" s="12"/>
      <c r="EO197" s="12"/>
      <c r="EP197" s="12"/>
    </row>
    <row r="198" spans="1:146" x14ac:dyDescent="0.25">
      <c r="A198" s="16" t="s">
        <v>210</v>
      </c>
      <c r="B198" s="25" t="s">
        <v>211</v>
      </c>
      <c r="C198" s="17" t="s">
        <v>212</v>
      </c>
      <c r="D198" s="17" t="s">
        <v>209</v>
      </c>
      <c r="E198" s="17" t="s">
        <v>196</v>
      </c>
      <c r="F198" s="16"/>
      <c r="G198" s="16"/>
      <c r="H198" s="33"/>
      <c r="I198" s="3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c r="BL198" s="12"/>
      <c r="BM198" s="12"/>
      <c r="BN198" s="12"/>
      <c r="BO198" s="12"/>
      <c r="BP198" s="12"/>
      <c r="BQ198" s="12"/>
      <c r="BR198" s="12"/>
      <c r="BS198" s="12"/>
      <c r="BT198" s="12"/>
      <c r="BU198" s="12"/>
      <c r="BV198" s="12"/>
      <c r="BW198" s="12"/>
      <c r="BX198" s="12"/>
      <c r="BY198" s="12"/>
      <c r="BZ198" s="12"/>
      <c r="CA198" s="12"/>
      <c r="CB198" s="12"/>
      <c r="CC198" s="12"/>
      <c r="CD198" s="12"/>
      <c r="CE198" s="12"/>
      <c r="CF198" s="12"/>
      <c r="CG198" s="12"/>
      <c r="CH198" s="12"/>
      <c r="CI198" s="12"/>
      <c r="CJ198" s="12"/>
      <c r="CK198" s="12"/>
      <c r="CL198" s="12"/>
      <c r="CM198" s="12"/>
      <c r="CN198" s="12"/>
      <c r="CO198" s="12"/>
      <c r="CP198" s="12"/>
      <c r="CQ198" s="12"/>
      <c r="CR198" s="12"/>
      <c r="CS198" s="12"/>
      <c r="CT198" s="12"/>
      <c r="CU198" s="12"/>
      <c r="CV198" s="12"/>
      <c r="CW198" s="12"/>
      <c r="CX198" s="12"/>
      <c r="CY198" s="12"/>
      <c r="CZ198" s="12"/>
      <c r="DA198" s="12"/>
      <c r="DB198" s="12"/>
      <c r="DC198" s="12"/>
      <c r="DD198" s="12"/>
      <c r="DE198" s="12"/>
      <c r="DF198" s="12"/>
      <c r="DG198" s="12"/>
      <c r="DH198" s="12"/>
      <c r="DI198" s="12"/>
      <c r="DJ198" s="12"/>
      <c r="DK198" s="12"/>
      <c r="DL198" s="12"/>
      <c r="DM198" s="12"/>
      <c r="DN198" s="12"/>
      <c r="DO198" s="12"/>
      <c r="DP198" s="12"/>
      <c r="DQ198" s="12"/>
      <c r="DR198" s="12"/>
      <c r="DS198" s="12"/>
      <c r="DT198" s="12"/>
      <c r="DU198" s="12"/>
      <c r="DV198" s="12"/>
      <c r="DW198" s="12"/>
      <c r="DX198" s="12"/>
      <c r="DY198" s="12"/>
      <c r="DZ198" s="12"/>
      <c r="EA198" s="12"/>
      <c r="EB198" s="12"/>
      <c r="EC198" s="12"/>
      <c r="ED198" s="12"/>
      <c r="EE198" s="12"/>
      <c r="EF198" s="12"/>
      <c r="EG198" s="12"/>
      <c r="EH198" s="12"/>
      <c r="EI198" s="12"/>
      <c r="EJ198" s="12"/>
      <c r="EK198" s="12"/>
      <c r="EL198" s="12"/>
      <c r="EM198" s="12"/>
      <c r="EN198" s="12"/>
      <c r="EO198" s="12"/>
      <c r="EP198" s="12"/>
    </row>
    <row r="199" spans="1:146" x14ac:dyDescent="0.25">
      <c r="A199" s="16" t="s">
        <v>213</v>
      </c>
      <c r="B199" s="25" t="s">
        <v>214</v>
      </c>
      <c r="C199" s="17" t="s">
        <v>184</v>
      </c>
      <c r="D199" s="17" t="s">
        <v>215</v>
      </c>
      <c r="E199" s="17" t="s">
        <v>48</v>
      </c>
      <c r="F199" s="16"/>
      <c r="G199" s="16"/>
      <c r="H199" s="33"/>
      <c r="I199" s="3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c r="BL199" s="12"/>
      <c r="BM199" s="12"/>
      <c r="BN199" s="12"/>
      <c r="BO199" s="12"/>
      <c r="BP199" s="12"/>
      <c r="BQ199" s="12"/>
      <c r="BR199" s="12"/>
      <c r="BS199" s="12"/>
      <c r="BT199" s="12"/>
      <c r="BU199" s="12"/>
      <c r="BV199" s="12"/>
      <c r="BW199" s="12"/>
      <c r="BX199" s="12"/>
      <c r="BY199" s="12"/>
      <c r="BZ199" s="12"/>
      <c r="CA199" s="12"/>
      <c r="CB199" s="12"/>
      <c r="CC199" s="12"/>
      <c r="CD199" s="12"/>
      <c r="CE199" s="12"/>
      <c r="CF199" s="12"/>
      <c r="CG199" s="12"/>
      <c r="CH199" s="12"/>
      <c r="CI199" s="12"/>
      <c r="CJ199" s="12"/>
      <c r="CK199" s="12"/>
      <c r="CL199" s="12"/>
      <c r="CM199" s="12"/>
      <c r="CN199" s="12"/>
      <c r="CO199" s="12"/>
      <c r="CP199" s="12"/>
      <c r="CQ199" s="12"/>
      <c r="CR199" s="12"/>
      <c r="CS199" s="12"/>
      <c r="CT199" s="12"/>
      <c r="CU199" s="12"/>
      <c r="CV199" s="12"/>
      <c r="CW199" s="12"/>
      <c r="CX199" s="12"/>
      <c r="CY199" s="12"/>
      <c r="CZ199" s="12"/>
      <c r="DA199" s="12"/>
      <c r="DB199" s="12"/>
      <c r="DC199" s="12"/>
      <c r="DD199" s="12"/>
      <c r="DE199" s="12"/>
      <c r="DF199" s="12"/>
      <c r="DG199" s="12"/>
      <c r="DH199" s="12"/>
      <c r="DI199" s="12"/>
      <c r="DJ199" s="12"/>
      <c r="DK199" s="12"/>
      <c r="DL199" s="12"/>
      <c r="DM199" s="12"/>
      <c r="DN199" s="12"/>
      <c r="DO199" s="12"/>
      <c r="DP199" s="12"/>
      <c r="DQ199" s="12"/>
      <c r="DR199" s="12"/>
      <c r="DS199" s="12"/>
      <c r="DT199" s="12"/>
      <c r="DU199" s="12"/>
      <c r="DV199" s="12"/>
      <c r="DW199" s="12"/>
      <c r="DX199" s="12"/>
      <c r="DY199" s="12"/>
      <c r="DZ199" s="12"/>
      <c r="EA199" s="12"/>
      <c r="EB199" s="12"/>
      <c r="EC199" s="12"/>
      <c r="ED199" s="12"/>
      <c r="EE199" s="12"/>
      <c r="EF199" s="12"/>
      <c r="EG199" s="12"/>
      <c r="EH199" s="12"/>
      <c r="EI199" s="12"/>
      <c r="EJ199" s="12"/>
      <c r="EK199" s="12"/>
      <c r="EL199" s="12"/>
      <c r="EM199" s="12"/>
      <c r="EN199" s="12"/>
      <c r="EO199" s="12"/>
      <c r="EP199" s="12"/>
    </row>
    <row r="200" spans="1:146" x14ac:dyDescent="0.25">
      <c r="A200" s="16" t="s">
        <v>216</v>
      </c>
      <c r="B200" s="25" t="s">
        <v>217</v>
      </c>
      <c r="C200" s="17" t="s">
        <v>218</v>
      </c>
      <c r="D200" s="17" t="s">
        <v>219</v>
      </c>
      <c r="E200" s="17" t="s">
        <v>48</v>
      </c>
      <c r="F200" s="16"/>
      <c r="G200" s="16"/>
      <c r="H200" s="33"/>
      <c r="I200" s="3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c r="BL200" s="12"/>
      <c r="BM200" s="12"/>
      <c r="BN200" s="12"/>
      <c r="BO200" s="12"/>
      <c r="BP200" s="12"/>
      <c r="BQ200" s="12"/>
      <c r="BR200" s="12"/>
      <c r="BS200" s="12"/>
      <c r="BT200" s="12"/>
      <c r="BU200" s="12"/>
      <c r="BV200" s="12"/>
      <c r="BW200" s="12"/>
      <c r="BX200" s="12"/>
      <c r="BY200" s="12"/>
      <c r="BZ200" s="12"/>
      <c r="CA200" s="12"/>
      <c r="CB200" s="12"/>
      <c r="CC200" s="12"/>
      <c r="CD200" s="12"/>
      <c r="CE200" s="12"/>
      <c r="CF200" s="12"/>
      <c r="CG200" s="12"/>
      <c r="CH200" s="12"/>
      <c r="CI200" s="12"/>
      <c r="CJ200" s="12"/>
      <c r="CK200" s="12"/>
      <c r="CL200" s="12"/>
      <c r="CM200" s="12"/>
      <c r="CN200" s="12"/>
      <c r="CO200" s="12"/>
      <c r="CP200" s="12"/>
      <c r="CQ200" s="12"/>
      <c r="CR200" s="12"/>
      <c r="CS200" s="12"/>
      <c r="CT200" s="12"/>
      <c r="CU200" s="12"/>
      <c r="CV200" s="12"/>
      <c r="CW200" s="12"/>
      <c r="CX200" s="12"/>
      <c r="CY200" s="12"/>
      <c r="CZ200" s="12"/>
      <c r="DA200" s="12"/>
      <c r="DB200" s="12"/>
      <c r="DC200" s="12"/>
      <c r="DD200" s="12"/>
      <c r="DE200" s="12"/>
      <c r="DF200" s="12"/>
      <c r="DG200" s="12"/>
      <c r="DH200" s="12"/>
      <c r="DI200" s="12"/>
      <c r="DJ200" s="12"/>
      <c r="DK200" s="12"/>
      <c r="DL200" s="12"/>
      <c r="DM200" s="12"/>
      <c r="DN200" s="12"/>
      <c r="DO200" s="12"/>
      <c r="DP200" s="12"/>
      <c r="DQ200" s="12"/>
      <c r="DR200" s="12"/>
      <c r="DS200" s="12"/>
      <c r="DT200" s="12"/>
      <c r="DU200" s="12"/>
      <c r="DV200" s="12"/>
      <c r="DW200" s="12"/>
      <c r="DX200" s="12"/>
      <c r="DY200" s="12"/>
      <c r="DZ200" s="12"/>
      <c r="EA200" s="12"/>
      <c r="EB200" s="12"/>
      <c r="EC200" s="12"/>
      <c r="ED200" s="12"/>
      <c r="EE200" s="12"/>
      <c r="EF200" s="12"/>
      <c r="EG200" s="12"/>
      <c r="EH200" s="12"/>
      <c r="EI200" s="12"/>
      <c r="EJ200" s="12"/>
      <c r="EK200" s="12"/>
      <c r="EL200" s="12"/>
      <c r="EM200" s="12"/>
      <c r="EN200" s="12"/>
      <c r="EO200" s="12"/>
      <c r="EP200" s="12"/>
    </row>
    <row r="201" spans="1:146" x14ac:dyDescent="0.25">
      <c r="A201" s="16" t="s">
        <v>220</v>
      </c>
      <c r="B201" s="25" t="s">
        <v>221</v>
      </c>
      <c r="C201" s="17" t="s">
        <v>212</v>
      </c>
      <c r="D201" s="17" t="s">
        <v>222</v>
      </c>
      <c r="E201" s="17" t="s">
        <v>48</v>
      </c>
      <c r="F201" s="16"/>
      <c r="G201" s="16"/>
      <c r="H201" s="33"/>
      <c r="I201" s="32"/>
    </row>
  </sheetData>
  <phoneticPr fontId="9"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6D69-9B86-4680-B8AD-88F38C33CC9A}">
  <dimension ref="A2:IB304"/>
  <sheetViews>
    <sheetView tabSelected="1" zoomScale="70" zoomScaleNormal="70" workbookViewId="0">
      <selection activeCell="A47" sqref="A47"/>
    </sheetView>
  </sheetViews>
  <sheetFormatPr defaultRowHeight="15" customHeight="1" x14ac:dyDescent="0.25"/>
  <cols>
    <col min="1" max="1" width="22.42578125" customWidth="1"/>
    <col min="2" max="2" width="28.140625" style="142" customWidth="1"/>
    <col min="3" max="3" width="27.5703125" customWidth="1"/>
    <col min="4" max="4" width="12.85546875" style="14" customWidth="1"/>
    <col min="5" max="5" width="9.140625" style="14"/>
    <col min="6" max="6" width="12.42578125" style="121" customWidth="1"/>
    <col min="7" max="8" width="9.140625" style="121"/>
    <col min="10" max="10" width="19" customWidth="1"/>
    <col min="11" max="11" width="13.7109375" customWidth="1"/>
    <col min="12" max="12" width="10.5703125" bestFit="1" customWidth="1"/>
    <col min="13" max="13" width="13.85546875" customWidth="1"/>
    <col min="14" max="14" width="20.42578125" customWidth="1"/>
    <col min="17" max="17" width="13.140625" customWidth="1"/>
    <col min="18" max="18" width="16.42578125" customWidth="1"/>
    <col min="19" max="19" width="12.42578125" customWidth="1"/>
    <col min="21" max="21" width="13.7109375" customWidth="1"/>
    <col min="27" max="27" width="24.85546875" customWidth="1"/>
    <col min="30" max="30" width="22.85546875" customWidth="1"/>
    <col min="31" max="31" width="13.85546875" customWidth="1"/>
    <col min="32" max="32" width="16.28515625" customWidth="1"/>
    <col min="33" max="33" width="15.140625" customWidth="1"/>
    <col min="35" max="35" width="12.85546875" bestFit="1" customWidth="1"/>
    <col min="69" max="69" width="22.5703125" bestFit="1" customWidth="1"/>
    <col min="70" max="70" width="28.28515625" bestFit="1" customWidth="1"/>
    <col min="74" max="74" width="16" bestFit="1" customWidth="1"/>
    <col min="75" max="75" width="13.28515625" customWidth="1"/>
    <col min="76" max="76" width="13.7109375" bestFit="1" customWidth="1"/>
    <col min="77" max="77" width="13.7109375" customWidth="1"/>
    <col min="78" max="78" width="15.42578125" bestFit="1" customWidth="1"/>
    <col min="80" max="80" width="13.7109375" bestFit="1" customWidth="1"/>
    <col min="81" max="81" width="18" bestFit="1" customWidth="1"/>
    <col min="82" max="83" width="16" bestFit="1" customWidth="1"/>
    <col min="84" max="84" width="13.7109375" bestFit="1" customWidth="1"/>
    <col min="85" max="85" width="12.5703125" bestFit="1" customWidth="1"/>
    <col min="88" max="88" width="15.42578125" bestFit="1" customWidth="1"/>
    <col min="94" max="94" width="17.5703125" customWidth="1"/>
    <col min="106" max="106" width="15.42578125" customWidth="1"/>
    <col min="108" max="108" width="11.85546875" customWidth="1"/>
    <col min="109" max="109" width="17.42578125" customWidth="1"/>
    <col min="110" max="110" width="17" customWidth="1"/>
    <col min="111" max="111" width="20.28515625" customWidth="1"/>
    <col min="112" max="112" width="23.28515625" bestFit="1" customWidth="1"/>
    <col min="113" max="113" width="24.5703125" bestFit="1" customWidth="1"/>
    <col min="114" max="114" width="22.42578125" bestFit="1" customWidth="1"/>
    <col min="115" max="115" width="21.140625" bestFit="1" customWidth="1"/>
    <col min="116" max="116" width="22.42578125" bestFit="1" customWidth="1"/>
    <col min="117" max="117" width="22" bestFit="1" customWidth="1"/>
    <col min="118" max="118" width="21.7109375" bestFit="1" customWidth="1"/>
    <col min="119" max="119" width="22.42578125" bestFit="1" customWidth="1"/>
    <col min="120" max="120" width="21.140625" bestFit="1" customWidth="1"/>
    <col min="121" max="121" width="22.42578125" bestFit="1" customWidth="1"/>
    <col min="122" max="122" width="22" bestFit="1" customWidth="1"/>
    <col min="123" max="123" width="21.5703125" bestFit="1" customWidth="1"/>
    <col min="124" max="124" width="23.28515625" bestFit="1" customWidth="1"/>
    <col min="130" max="130" width="18.5703125" customWidth="1"/>
    <col min="140" max="140" width="20.85546875" customWidth="1"/>
    <col min="141" max="141" width="18.42578125" customWidth="1"/>
  </cols>
  <sheetData>
    <row r="2" spans="1:147" ht="24.75" customHeight="1" x14ac:dyDescent="0.4">
      <c r="A2" s="80" t="s">
        <v>398</v>
      </c>
      <c r="B2" s="132">
        <v>46106</v>
      </c>
      <c r="C2" s="77"/>
      <c r="D2" s="78"/>
      <c r="E2" s="78"/>
      <c r="F2" s="115"/>
      <c r="G2" s="115"/>
      <c r="H2" s="115"/>
      <c r="I2" s="79"/>
      <c r="J2" s="79"/>
      <c r="K2" s="3" t="s">
        <v>52</v>
      </c>
      <c r="L2" s="3" t="s">
        <v>53</v>
      </c>
      <c r="M2" s="3" t="s">
        <v>54</v>
      </c>
      <c r="N2" s="6" t="s">
        <v>55</v>
      </c>
      <c r="O2" s="6" t="s">
        <v>56</v>
      </c>
      <c r="P2" s="6" t="s">
        <v>57</v>
      </c>
      <c r="Q2" s="41" t="s">
        <v>58</v>
      </c>
      <c r="R2" s="41" t="s">
        <v>59</v>
      </c>
      <c r="S2" s="41" t="s">
        <v>352</v>
      </c>
      <c r="T2" s="6" t="s">
        <v>60</v>
      </c>
      <c r="U2" s="41" t="s">
        <v>224</v>
      </c>
      <c r="V2" s="6" t="s">
        <v>61</v>
      </c>
      <c r="W2" s="6" t="s">
        <v>62</v>
      </c>
      <c r="X2" s="6" t="s">
        <v>63</v>
      </c>
      <c r="Y2" s="6" t="s">
        <v>64</v>
      </c>
      <c r="Z2" s="6" t="s">
        <v>65</v>
      </c>
      <c r="AA2" s="41" t="s">
        <v>66</v>
      </c>
      <c r="AB2" s="6" t="s">
        <v>67</v>
      </c>
      <c r="AC2" s="6" t="s">
        <v>68</v>
      </c>
      <c r="AD2" s="6" t="s">
        <v>228</v>
      </c>
      <c r="AE2" s="7" t="s">
        <v>74</v>
      </c>
      <c r="AF2" s="7" t="s">
        <v>72</v>
      </c>
      <c r="AG2" s="7" t="s">
        <v>73</v>
      </c>
      <c r="AH2" s="8" t="s">
        <v>227</v>
      </c>
      <c r="AI2" s="8" t="s">
        <v>181</v>
      </c>
      <c r="AJ2" s="8" t="s">
        <v>180</v>
      </c>
      <c r="AK2" s="8" t="s">
        <v>75</v>
      </c>
      <c r="AL2" s="8" t="s">
        <v>76</v>
      </c>
      <c r="AM2" s="8" t="s">
        <v>77</v>
      </c>
      <c r="AN2" s="8" t="s">
        <v>78</v>
      </c>
      <c r="AO2" s="8" t="s">
        <v>79</v>
      </c>
      <c r="AP2" s="8" t="s">
        <v>80</v>
      </c>
      <c r="AQ2" s="8" t="s">
        <v>81</v>
      </c>
      <c r="AR2" s="8" t="s">
        <v>82</v>
      </c>
      <c r="AS2" s="8" t="s">
        <v>83</v>
      </c>
      <c r="AT2" s="9" t="s">
        <v>84</v>
      </c>
      <c r="AU2" s="9" t="s">
        <v>85</v>
      </c>
      <c r="AV2" s="9" t="s">
        <v>86</v>
      </c>
      <c r="AW2" s="9" t="s">
        <v>87</v>
      </c>
      <c r="AX2" s="9" t="s">
        <v>88</v>
      </c>
      <c r="AY2" s="9" t="s">
        <v>89</v>
      </c>
      <c r="AZ2" s="9" t="s">
        <v>90</v>
      </c>
      <c r="BA2" s="9" t="s">
        <v>91</v>
      </c>
      <c r="BB2" s="9" t="s">
        <v>92</v>
      </c>
      <c r="BC2" s="9" t="s">
        <v>93</v>
      </c>
      <c r="BD2" s="9" t="s">
        <v>94</v>
      </c>
      <c r="BE2" s="9" t="s">
        <v>95</v>
      </c>
      <c r="BF2" s="9" t="s">
        <v>96</v>
      </c>
      <c r="BG2" s="9" t="s">
        <v>97</v>
      </c>
      <c r="BH2" s="9" t="s">
        <v>98</v>
      </c>
      <c r="BI2" s="9" t="s">
        <v>99</v>
      </c>
      <c r="BJ2" s="9" t="s">
        <v>100</v>
      </c>
      <c r="BK2" s="9" t="s">
        <v>101</v>
      </c>
      <c r="BL2" s="9" t="s">
        <v>102</v>
      </c>
      <c r="BM2" s="9" t="s">
        <v>103</v>
      </c>
      <c r="BN2" s="9" t="s">
        <v>104</v>
      </c>
      <c r="BO2" s="9" t="s">
        <v>105</v>
      </c>
      <c r="BP2" s="9" t="s">
        <v>106</v>
      </c>
      <c r="BQ2" s="9" t="s">
        <v>107</v>
      </c>
      <c r="BR2" s="26" t="s">
        <v>108</v>
      </c>
      <c r="BS2" s="26" t="s">
        <v>109</v>
      </c>
      <c r="BT2" s="26" t="s">
        <v>110</v>
      </c>
      <c r="BU2" s="26" t="s">
        <v>111</v>
      </c>
      <c r="BV2" s="26" t="s">
        <v>112</v>
      </c>
      <c r="BW2" s="26" t="s">
        <v>113</v>
      </c>
      <c r="BX2" s="26" t="s">
        <v>114</v>
      </c>
      <c r="BY2" s="26" t="s">
        <v>115</v>
      </c>
      <c r="BZ2" s="26" t="s">
        <v>116</v>
      </c>
      <c r="CA2" s="26" t="s">
        <v>117</v>
      </c>
      <c r="CB2" s="26" t="s">
        <v>118</v>
      </c>
      <c r="CC2" s="26" t="s">
        <v>119</v>
      </c>
      <c r="CD2" s="26" t="s">
        <v>120</v>
      </c>
      <c r="CE2" s="26" t="s">
        <v>121</v>
      </c>
      <c r="CF2" s="26" t="s">
        <v>122</v>
      </c>
      <c r="CG2" s="26" t="s">
        <v>123</v>
      </c>
      <c r="CH2" s="26" t="s">
        <v>124</v>
      </c>
      <c r="CI2" s="26" t="s">
        <v>125</v>
      </c>
      <c r="CJ2" s="26" t="s">
        <v>126</v>
      </c>
      <c r="CK2" s="26" t="s">
        <v>127</v>
      </c>
      <c r="CL2" s="26" t="s">
        <v>128</v>
      </c>
      <c r="CM2" s="26" t="s">
        <v>129</v>
      </c>
      <c r="CN2" s="26" t="s">
        <v>130</v>
      </c>
      <c r="CO2" s="26" t="s">
        <v>131</v>
      </c>
      <c r="CP2" s="26" t="s">
        <v>132</v>
      </c>
      <c r="CQ2" s="26" t="s">
        <v>133</v>
      </c>
      <c r="CR2" s="26" t="s">
        <v>134</v>
      </c>
      <c r="CS2" s="26" t="s">
        <v>135</v>
      </c>
      <c r="CT2" s="26" t="s">
        <v>136</v>
      </c>
      <c r="CU2" s="26" t="s">
        <v>137</v>
      </c>
      <c r="CV2" s="26" t="s">
        <v>138</v>
      </c>
      <c r="CW2" s="26" t="s">
        <v>139</v>
      </c>
      <c r="CX2" s="26" t="s">
        <v>140</v>
      </c>
      <c r="CY2" s="26" t="s">
        <v>141</v>
      </c>
      <c r="CZ2" s="26" t="s">
        <v>142</v>
      </c>
      <c r="DA2" s="26" t="s">
        <v>143</v>
      </c>
      <c r="DB2" s="28" t="s">
        <v>144</v>
      </c>
      <c r="DC2" s="28" t="s">
        <v>145</v>
      </c>
      <c r="DD2" s="28" t="s">
        <v>146</v>
      </c>
      <c r="DE2" s="28" t="s">
        <v>147</v>
      </c>
      <c r="DF2" s="28" t="s">
        <v>148</v>
      </c>
      <c r="DG2" s="28" t="s">
        <v>149</v>
      </c>
      <c r="DH2" s="28" t="s">
        <v>150</v>
      </c>
      <c r="DI2" s="28" t="s">
        <v>151</v>
      </c>
      <c r="DJ2" s="28" t="s">
        <v>152</v>
      </c>
      <c r="DK2" s="28" t="s">
        <v>153</v>
      </c>
      <c r="DL2" s="28" t="s">
        <v>154</v>
      </c>
      <c r="DM2" s="28" t="s">
        <v>155</v>
      </c>
      <c r="DN2" s="28" t="s">
        <v>156</v>
      </c>
      <c r="DO2" s="28" t="s">
        <v>157</v>
      </c>
      <c r="DP2" s="28" t="s">
        <v>158</v>
      </c>
      <c r="DQ2" s="28" t="s">
        <v>159</v>
      </c>
      <c r="DR2" s="28" t="s">
        <v>160</v>
      </c>
      <c r="DS2" s="28" t="s">
        <v>161</v>
      </c>
      <c r="DT2" s="28" t="s">
        <v>162</v>
      </c>
      <c r="DU2" s="29" t="s">
        <v>163</v>
      </c>
      <c r="DV2" s="29" t="s">
        <v>164</v>
      </c>
      <c r="DW2" s="29" t="s">
        <v>165</v>
      </c>
      <c r="DX2" s="29" t="s">
        <v>166</v>
      </c>
      <c r="DY2" s="29" t="s">
        <v>167</v>
      </c>
      <c r="DZ2" s="29" t="s">
        <v>168</v>
      </c>
      <c r="EA2" s="29" t="s">
        <v>169</v>
      </c>
      <c r="EB2" s="29" t="s">
        <v>170</v>
      </c>
      <c r="EC2" s="29" t="s">
        <v>171</v>
      </c>
      <c r="ED2" s="29" t="s">
        <v>172</v>
      </c>
      <c r="EE2" s="29" t="s">
        <v>173</v>
      </c>
      <c r="EF2" s="29" t="s">
        <v>174</v>
      </c>
      <c r="EG2" s="29" t="s">
        <v>175</v>
      </c>
      <c r="EH2" s="29" t="s">
        <v>176</v>
      </c>
      <c r="EI2" s="29" t="s">
        <v>177</v>
      </c>
      <c r="EJ2" s="29" t="s">
        <v>178</v>
      </c>
      <c r="EK2" s="29" t="s">
        <v>179</v>
      </c>
      <c r="EL2" s="31" t="s">
        <v>41</v>
      </c>
      <c r="EM2" s="31" t="s">
        <v>42</v>
      </c>
      <c r="EN2" s="31" t="s">
        <v>43</v>
      </c>
      <c r="EO2" s="11" t="s">
        <v>69</v>
      </c>
      <c r="EP2" s="11" t="s">
        <v>70</v>
      </c>
      <c r="EQ2" s="11"/>
    </row>
    <row r="3" spans="1:147" ht="15" customHeight="1" x14ac:dyDescent="0.25">
      <c r="A3" s="15" t="s">
        <v>544</v>
      </c>
      <c r="B3" s="98" t="s">
        <v>545</v>
      </c>
      <c r="C3" s="39" t="s">
        <v>49</v>
      </c>
      <c r="D3" s="24" t="s">
        <v>50</v>
      </c>
      <c r="E3" s="24" t="s">
        <v>29</v>
      </c>
      <c r="F3" s="116" t="s">
        <v>30</v>
      </c>
      <c r="G3" s="117" t="s">
        <v>32</v>
      </c>
      <c r="H3" s="117" t="s">
        <v>33</v>
      </c>
      <c r="I3" s="18" t="s">
        <v>34</v>
      </c>
      <c r="J3" s="5" t="s">
        <v>223</v>
      </c>
      <c r="K3" s="3"/>
      <c r="L3" s="65" t="s">
        <v>346</v>
      </c>
      <c r="M3" s="3"/>
      <c r="N3" s="6"/>
      <c r="O3" s="6"/>
      <c r="P3" s="6"/>
      <c r="Q3" s="6"/>
      <c r="R3" s="6"/>
      <c r="S3" s="6"/>
      <c r="T3" s="6"/>
      <c r="U3" s="66" t="s">
        <v>347</v>
      </c>
      <c r="V3" s="6"/>
      <c r="W3" s="6"/>
      <c r="X3" s="6"/>
      <c r="Y3" s="6"/>
      <c r="Z3" s="6"/>
      <c r="AA3" s="6"/>
      <c r="AB3" s="6"/>
      <c r="AC3" s="6"/>
      <c r="AD3" s="6"/>
      <c r="AE3" s="7"/>
      <c r="AF3" s="48" t="s">
        <v>71</v>
      </c>
      <c r="AG3" s="7"/>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27"/>
      <c r="BS3" s="27"/>
      <c r="BT3" s="27"/>
      <c r="BU3" s="27"/>
      <c r="BV3" s="27"/>
      <c r="BW3" s="27"/>
      <c r="BX3" s="27"/>
      <c r="BY3" s="27"/>
      <c r="BZ3" s="27"/>
      <c r="CA3" s="27"/>
      <c r="CB3" s="27"/>
      <c r="CC3" s="27"/>
      <c r="CD3" s="27"/>
      <c r="CE3" s="27"/>
      <c r="CF3" s="27"/>
      <c r="CG3" s="27"/>
      <c r="CH3" s="27"/>
      <c r="CI3" s="27"/>
      <c r="CJ3" s="27"/>
      <c r="CK3" s="27"/>
      <c r="CL3" s="27"/>
      <c r="CM3" s="27"/>
      <c r="CN3" s="27"/>
      <c r="CO3" s="27"/>
      <c r="CP3" s="27"/>
      <c r="CQ3" s="27"/>
      <c r="CR3" s="27"/>
      <c r="CS3" s="27"/>
      <c r="CT3" s="27"/>
      <c r="CU3" s="27"/>
      <c r="CV3" s="27"/>
      <c r="CW3" s="27"/>
      <c r="CX3" s="27"/>
      <c r="CY3" s="27"/>
      <c r="CZ3" s="27"/>
      <c r="DA3" s="27"/>
      <c r="DB3" s="30"/>
      <c r="DC3" s="30"/>
      <c r="DD3" s="30"/>
      <c r="DE3" s="30"/>
      <c r="DF3" s="30"/>
      <c r="DG3" s="30"/>
      <c r="DH3" s="30"/>
      <c r="DI3" s="30"/>
      <c r="DJ3" s="30"/>
      <c r="DK3" s="30"/>
      <c r="DL3" s="30"/>
      <c r="DM3" s="30"/>
      <c r="DN3" s="30"/>
      <c r="DO3" s="30"/>
      <c r="DP3" s="30"/>
      <c r="DQ3" s="30"/>
      <c r="DR3" s="29"/>
      <c r="DS3" s="29"/>
      <c r="DT3" s="29"/>
      <c r="DU3" s="29"/>
      <c r="DV3" s="29"/>
      <c r="DW3" s="29"/>
      <c r="DX3" s="29"/>
      <c r="DY3" s="29"/>
      <c r="DZ3" s="29"/>
      <c r="EA3" s="29"/>
      <c r="EB3" s="29"/>
      <c r="EC3" s="29"/>
      <c r="ED3" s="29"/>
      <c r="EE3" s="29"/>
      <c r="EF3" s="29"/>
      <c r="EG3" s="29"/>
      <c r="EH3" s="29"/>
      <c r="EI3" s="29"/>
      <c r="EJ3" s="29"/>
      <c r="EK3" s="29"/>
      <c r="EL3" s="31"/>
      <c r="EM3" s="31"/>
      <c r="EN3" s="31"/>
      <c r="EO3" s="11"/>
      <c r="EP3" s="11"/>
      <c r="EQ3" s="11"/>
    </row>
    <row r="4" spans="1:147" ht="15" customHeight="1" x14ac:dyDescent="0.25">
      <c r="A4" s="38" t="s">
        <v>437</v>
      </c>
      <c r="B4" s="99" t="s">
        <v>546</v>
      </c>
      <c r="C4" s="11" t="s">
        <v>438</v>
      </c>
      <c r="D4" s="13" t="s">
        <v>532</v>
      </c>
      <c r="E4" s="13" t="s">
        <v>222</v>
      </c>
      <c r="F4" s="118" t="s">
        <v>48</v>
      </c>
      <c r="G4" s="118"/>
      <c r="H4" s="118"/>
      <c r="I4" s="23"/>
      <c r="J4" s="53" t="s">
        <v>233</v>
      </c>
      <c r="K4" s="45">
        <v>3646.7843137254904</v>
      </c>
      <c r="L4" s="45">
        <v>8063.013873043551</v>
      </c>
      <c r="M4" s="45">
        <v>243.70604817086718</v>
      </c>
      <c r="N4" s="45"/>
      <c r="O4" s="45"/>
      <c r="P4" s="45"/>
      <c r="Q4" s="45">
        <v>1.8410845124997202</v>
      </c>
      <c r="R4" s="45"/>
      <c r="S4" s="45"/>
      <c r="T4" s="45"/>
      <c r="U4" s="45">
        <v>253876.81524834016</v>
      </c>
      <c r="V4" s="45"/>
      <c r="W4" s="45"/>
      <c r="X4" s="45"/>
      <c r="Y4" s="45"/>
      <c r="Z4" s="45"/>
      <c r="AA4" s="45"/>
      <c r="AB4" s="45"/>
      <c r="AC4" s="45"/>
      <c r="AD4" s="45"/>
      <c r="AE4" s="45">
        <v>98.784871132662886</v>
      </c>
      <c r="AF4" s="45">
        <v>45003.473464393741</v>
      </c>
      <c r="AG4" s="45">
        <v>23696.538216103323</v>
      </c>
      <c r="AH4" s="45">
        <v>2.2042765442686414</v>
      </c>
      <c r="AI4" s="45"/>
      <c r="AJ4" s="45">
        <v>0.14309976519879253</v>
      </c>
      <c r="AK4" s="45">
        <v>1.0262596125100027</v>
      </c>
      <c r="AL4" s="45">
        <v>2.5398935290687175</v>
      </c>
      <c r="AM4" s="45">
        <v>9.339611364518495E-2</v>
      </c>
      <c r="AN4" s="45"/>
      <c r="AO4" s="45">
        <v>23.003502326091144</v>
      </c>
      <c r="AP4" s="45">
        <v>1.5069692820019354</v>
      </c>
      <c r="AQ4" s="45">
        <v>0.23054878006181534</v>
      </c>
      <c r="AR4" s="45">
        <v>0.63148635635357386</v>
      </c>
      <c r="AS4" s="45">
        <v>11.178148392148396</v>
      </c>
      <c r="AT4" s="45">
        <v>4.1156962533330184E-2</v>
      </c>
      <c r="AU4" s="45">
        <v>1.6153894855835862</v>
      </c>
      <c r="AV4" s="45">
        <v>0.4128025698727244</v>
      </c>
      <c r="AW4" s="45"/>
      <c r="AX4" s="45">
        <v>0.67676691411146428</v>
      </c>
      <c r="AY4" s="45">
        <v>4.6297499835152932E-2</v>
      </c>
      <c r="AZ4" s="45"/>
      <c r="BA4" s="45"/>
      <c r="BB4" s="45"/>
      <c r="BC4" s="45"/>
      <c r="BD4" s="45"/>
      <c r="BE4" s="45"/>
      <c r="BF4" s="45"/>
      <c r="BG4" s="45"/>
      <c r="BH4" s="45"/>
      <c r="BI4" s="45"/>
      <c r="BJ4" s="45"/>
      <c r="BK4" s="45"/>
      <c r="BL4" s="45"/>
      <c r="BM4" s="45"/>
      <c r="BN4" s="45"/>
      <c r="BO4" s="45"/>
      <c r="BP4" s="45">
        <v>0.11253435472722267</v>
      </c>
      <c r="BQ4" s="45">
        <v>0.35141173697741196</v>
      </c>
      <c r="BR4" s="45">
        <v>37879.152090117474</v>
      </c>
      <c r="BS4" s="45"/>
      <c r="BT4" s="45">
        <v>96.632049409790667</v>
      </c>
      <c r="BU4" s="45">
        <v>32465.765963344616</v>
      </c>
      <c r="BV4" s="45">
        <v>748.54954677909166</v>
      </c>
      <c r="BW4" s="45">
        <v>20.76355697030241</v>
      </c>
      <c r="BX4" s="45"/>
      <c r="BY4" s="45">
        <v>237766.15824250007</v>
      </c>
      <c r="BZ4" s="45">
        <v>3662.7599132605524</v>
      </c>
      <c r="CA4" s="45">
        <v>10.816323939589278</v>
      </c>
      <c r="CB4" s="45">
        <v>45.089489127004001</v>
      </c>
      <c r="CC4" s="45">
        <v>161294.78952862401</v>
      </c>
      <c r="CD4" s="45">
        <v>154.2372004939154</v>
      </c>
      <c r="CE4" s="45">
        <v>130203.07033198666</v>
      </c>
      <c r="CF4" s="45">
        <v>11673.905536025146</v>
      </c>
      <c r="CG4" s="45"/>
      <c r="CH4" s="45">
        <v>19.311778920945066</v>
      </c>
      <c r="CI4" s="45">
        <v>132.67353772306677</v>
      </c>
      <c r="CJ4" s="45"/>
      <c r="CK4" s="45"/>
      <c r="CL4" s="45"/>
      <c r="CM4" s="45"/>
      <c r="CN4" s="45"/>
      <c r="CO4" s="45"/>
      <c r="CP4" s="45"/>
      <c r="CQ4" s="45"/>
      <c r="CR4" s="45"/>
      <c r="CS4" s="45"/>
      <c r="CT4" s="45"/>
      <c r="CU4" s="45"/>
      <c r="CV4" s="45"/>
      <c r="CW4" s="45"/>
      <c r="CX4" s="45"/>
      <c r="CY4" s="45"/>
      <c r="CZ4" s="45">
        <v>13.329574286282554</v>
      </c>
      <c r="DA4" s="45">
        <v>7.8818673350149009</v>
      </c>
      <c r="DB4" s="45">
        <v>874033866.10526311</v>
      </c>
      <c r="DC4" s="45"/>
      <c r="DD4" s="45">
        <v>23543446.588235293</v>
      </c>
      <c r="DE4" s="45">
        <v>554789447.89787233</v>
      </c>
      <c r="DF4" s="45">
        <v>211792770.24561402</v>
      </c>
      <c r="DG4" s="45">
        <v>29894334.74509804</v>
      </c>
      <c r="DH4" s="45"/>
      <c r="DI4" s="45">
        <v>1528125359.6862745</v>
      </c>
      <c r="DJ4" s="45">
        <v>145731182.43137255</v>
      </c>
      <c r="DK4" s="45">
        <v>70092358.274509802</v>
      </c>
      <c r="DL4" s="45">
        <v>227756620.96732026</v>
      </c>
      <c r="DM4" s="45">
        <v>382813766.27450979</v>
      </c>
      <c r="DN4" s="45">
        <v>44710249.411764704</v>
      </c>
      <c r="DO4" s="45">
        <v>175073962.66666666</v>
      </c>
      <c r="DP4" s="45">
        <v>93100768.209150329</v>
      </c>
      <c r="DQ4" s="45"/>
      <c r="DR4" s="45">
        <v>110046549.33333333</v>
      </c>
      <c r="DS4" s="45">
        <v>21910213.437908497</v>
      </c>
      <c r="DT4" s="45"/>
      <c r="DU4" s="45"/>
      <c r="DV4" s="45"/>
      <c r="DW4" s="45"/>
      <c r="DX4" s="45"/>
      <c r="DY4" s="45"/>
      <c r="DZ4" s="45"/>
      <c r="EA4" s="45"/>
      <c r="EB4" s="45"/>
      <c r="EC4" s="45"/>
      <c r="ED4" s="45"/>
      <c r="EE4" s="45"/>
      <c r="EF4" s="45"/>
      <c r="EG4" s="45"/>
      <c r="EH4" s="45"/>
      <c r="EI4" s="45"/>
      <c r="EJ4" s="45">
        <v>63400056.470588237</v>
      </c>
      <c r="EK4" s="45">
        <v>26491174.483660132</v>
      </c>
      <c r="EL4" s="45">
        <v>11.845744286829795</v>
      </c>
      <c r="EM4" s="45">
        <v>23.214638923958216</v>
      </c>
      <c r="EN4" s="45">
        <v>11.366213357232629</v>
      </c>
      <c r="EO4" s="45"/>
      <c r="EP4" s="45"/>
      <c r="EQ4" s="45"/>
    </row>
    <row r="5" spans="1:147" ht="15" customHeight="1" x14ac:dyDescent="0.25">
      <c r="A5" s="38" t="s">
        <v>439</v>
      </c>
      <c r="B5" s="99" t="s">
        <v>547</v>
      </c>
      <c r="C5" s="11" t="s">
        <v>440</v>
      </c>
      <c r="D5" s="13" t="s">
        <v>198</v>
      </c>
      <c r="E5" s="13" t="s">
        <v>222</v>
      </c>
      <c r="F5" s="118" t="s">
        <v>48</v>
      </c>
      <c r="G5" s="118"/>
      <c r="H5" s="118"/>
      <c r="I5" s="23"/>
      <c r="J5" s="53" t="s">
        <v>233</v>
      </c>
      <c r="K5" s="45">
        <v>4277.9334257975033</v>
      </c>
      <c r="L5" s="45">
        <v>6598.6016226228776</v>
      </c>
      <c r="M5" s="45">
        <v>187.18862694373161</v>
      </c>
      <c r="N5" s="45"/>
      <c r="O5" s="45"/>
      <c r="P5" s="45"/>
      <c r="Q5" s="45">
        <v>8.0620133554119358E-2</v>
      </c>
      <c r="R5" s="45">
        <v>9529.6796146870129</v>
      </c>
      <c r="S5" s="45"/>
      <c r="T5" s="45"/>
      <c r="U5" s="45"/>
      <c r="V5" s="45"/>
      <c r="W5" s="45"/>
      <c r="X5" s="45"/>
      <c r="Y5" s="45"/>
      <c r="Z5" s="45"/>
      <c r="AA5" s="45">
        <v>19988.059211748136</v>
      </c>
      <c r="AB5" s="45"/>
      <c r="AC5" s="45"/>
      <c r="AD5" s="45"/>
      <c r="AE5" s="45">
        <v>97.412976513205223</v>
      </c>
      <c r="AF5" s="45">
        <v>32542.355484114421</v>
      </c>
      <c r="AG5" s="45">
        <v>17731.509890110523</v>
      </c>
      <c r="AH5" s="45">
        <v>11.624676805769148</v>
      </c>
      <c r="AI5" s="45"/>
      <c r="AJ5" s="45">
        <v>0.14204211954631216</v>
      </c>
      <c r="AK5" s="45"/>
      <c r="AL5" s="45">
        <v>4.3351593447969563</v>
      </c>
      <c r="AM5" s="45">
        <v>1.0120869044306953</v>
      </c>
      <c r="AN5" s="45"/>
      <c r="AO5" s="45">
        <v>17.361559902325421</v>
      </c>
      <c r="AP5" s="45">
        <v>0.38025738595014302</v>
      </c>
      <c r="AQ5" s="45">
        <v>0.21675413436327584</v>
      </c>
      <c r="AR5" s="45">
        <v>0.92096356863152196</v>
      </c>
      <c r="AS5" s="45">
        <v>15.989355750563247</v>
      </c>
      <c r="AT5" s="45">
        <v>7.7534172742612026E-2</v>
      </c>
      <c r="AU5" s="45">
        <v>0.67073223460150277</v>
      </c>
      <c r="AV5" s="45">
        <v>0.34218007934700856</v>
      </c>
      <c r="AW5" s="45"/>
      <c r="AX5" s="45">
        <v>0.63810384508683404</v>
      </c>
      <c r="AY5" s="45">
        <v>6.1046728793412462E-2</v>
      </c>
      <c r="AZ5" s="45">
        <v>4.0617390602653103</v>
      </c>
      <c r="BA5" s="45"/>
      <c r="BB5" s="45"/>
      <c r="BC5" s="45"/>
      <c r="BD5" s="45"/>
      <c r="BE5" s="45"/>
      <c r="BF5" s="45">
        <v>0.54582032477506948</v>
      </c>
      <c r="BG5" s="45"/>
      <c r="BH5" s="45"/>
      <c r="BI5" s="45"/>
      <c r="BJ5" s="45"/>
      <c r="BK5" s="45"/>
      <c r="BL5" s="45"/>
      <c r="BM5" s="45"/>
      <c r="BN5" s="45"/>
      <c r="BO5" s="45"/>
      <c r="BP5" s="45">
        <v>9.5790822489971339E-2</v>
      </c>
      <c r="BQ5" s="45">
        <v>1.071726447988087</v>
      </c>
      <c r="BR5" s="45">
        <v>97832.198966468917</v>
      </c>
      <c r="BS5" s="45"/>
      <c r="BT5" s="45">
        <v>70.180146311919998</v>
      </c>
      <c r="BU5" s="45"/>
      <c r="BV5" s="45">
        <v>119298.90768664061</v>
      </c>
      <c r="BW5" s="45">
        <v>193.57677021806211</v>
      </c>
      <c r="BX5" s="45"/>
      <c r="BY5" s="45">
        <v>41314.284999042626</v>
      </c>
      <c r="BZ5" s="45">
        <v>3442.7594663399432</v>
      </c>
      <c r="CA5" s="45">
        <v>769.4725793332899</v>
      </c>
      <c r="CB5" s="45">
        <v>1434.0198662334299</v>
      </c>
      <c r="CC5" s="45">
        <v>368084.46802228235</v>
      </c>
      <c r="CD5" s="45">
        <v>126.74954490827393</v>
      </c>
      <c r="CE5" s="45">
        <v>23621.979973576639</v>
      </c>
      <c r="CF5" s="45">
        <v>4716.4245187686747</v>
      </c>
      <c r="CG5" s="45"/>
      <c r="CH5" s="45">
        <v>24.484174176442789</v>
      </c>
      <c r="CI5" s="45">
        <v>127.37180606934768</v>
      </c>
      <c r="CJ5" s="45">
        <v>22258.896165684699</v>
      </c>
      <c r="CK5" s="45"/>
      <c r="CL5" s="45"/>
      <c r="CM5" s="45"/>
      <c r="CN5" s="45"/>
      <c r="CO5" s="45"/>
      <c r="CP5" s="45">
        <v>18196.09077963611</v>
      </c>
      <c r="CQ5" s="45"/>
      <c r="CR5" s="45"/>
      <c r="CS5" s="45"/>
      <c r="CT5" s="45"/>
      <c r="CU5" s="45"/>
      <c r="CV5" s="45"/>
      <c r="CW5" s="45"/>
      <c r="CX5" s="45"/>
      <c r="CY5" s="45"/>
      <c r="CZ5" s="45">
        <v>13.232452980324735</v>
      </c>
      <c r="DA5" s="45">
        <v>14.263882344985065</v>
      </c>
      <c r="DB5" s="45">
        <v>476541592.21621621</v>
      </c>
      <c r="DC5" s="45"/>
      <c r="DD5" s="45">
        <v>22292573.736477114</v>
      </c>
      <c r="DE5" s="45"/>
      <c r="DF5" s="45">
        <v>507936275.24812031</v>
      </c>
      <c r="DG5" s="45">
        <v>60393344.177531205</v>
      </c>
      <c r="DH5" s="45"/>
      <c r="DI5" s="45">
        <v>1102370355.2</v>
      </c>
      <c r="DJ5" s="45">
        <v>135093999.31206658</v>
      </c>
      <c r="DK5" s="45">
        <v>70115390.490984738</v>
      </c>
      <c r="DL5" s="45">
        <v>222760664.58807212</v>
      </c>
      <c r="DM5" s="45">
        <v>388450380.69348127</v>
      </c>
      <c r="DN5" s="45">
        <v>42437309.603328712</v>
      </c>
      <c r="DO5" s="45">
        <v>80584940.863187581</v>
      </c>
      <c r="DP5" s="45">
        <v>90760610.973647714</v>
      </c>
      <c r="DQ5" s="45"/>
      <c r="DR5" s="45">
        <v>106672224.57697642</v>
      </c>
      <c r="DS5" s="45">
        <v>22104737.198335644</v>
      </c>
      <c r="DT5" s="45">
        <v>264116224</v>
      </c>
      <c r="DU5" s="45"/>
      <c r="DV5" s="45"/>
      <c r="DW5" s="45"/>
      <c r="DX5" s="45"/>
      <c r="DY5" s="45"/>
      <c r="DZ5" s="45">
        <v>87404544</v>
      </c>
      <c r="EA5" s="45"/>
      <c r="EB5" s="45"/>
      <c r="EC5" s="45"/>
      <c r="ED5" s="45"/>
      <c r="EE5" s="45"/>
      <c r="EF5" s="45"/>
      <c r="EG5" s="45"/>
      <c r="EH5" s="45"/>
      <c r="EI5" s="45"/>
      <c r="EJ5" s="45">
        <v>62812347.472954229</v>
      </c>
      <c r="EK5" s="45">
        <v>28059298.6185853</v>
      </c>
      <c r="EL5" s="45">
        <v>6.5661539079240629</v>
      </c>
      <c r="EM5" s="45">
        <v>12.173226458743418</v>
      </c>
      <c r="EN5" s="45">
        <v>5.6091133910596396</v>
      </c>
      <c r="EO5" s="45"/>
      <c r="EP5" s="45"/>
      <c r="EQ5" s="45"/>
    </row>
    <row r="6" spans="1:147" ht="15" customHeight="1" x14ac:dyDescent="0.25">
      <c r="A6" s="38" t="s">
        <v>441</v>
      </c>
      <c r="B6" s="99" t="s">
        <v>548</v>
      </c>
      <c r="C6" s="11" t="s">
        <v>442</v>
      </c>
      <c r="D6" s="13" t="s">
        <v>533</v>
      </c>
      <c r="E6" s="13" t="s">
        <v>222</v>
      </c>
      <c r="F6" s="118" t="s">
        <v>48</v>
      </c>
      <c r="G6" s="118"/>
      <c r="H6" s="118"/>
      <c r="I6" s="23"/>
      <c r="J6" s="53" t="s">
        <v>233</v>
      </c>
      <c r="K6" s="45">
        <v>3077.4590846047158</v>
      </c>
      <c r="L6" s="45">
        <v>6833.9769125477051</v>
      </c>
      <c r="M6" s="45">
        <v>170.71678243558799</v>
      </c>
      <c r="N6" s="45"/>
      <c r="O6" s="45"/>
      <c r="P6" s="45"/>
      <c r="Q6" s="45">
        <v>8.0634613455661003E-2</v>
      </c>
      <c r="R6" s="45">
        <v>14635.056930005716</v>
      </c>
      <c r="S6" s="45"/>
      <c r="T6" s="45"/>
      <c r="U6" s="45"/>
      <c r="V6" s="45"/>
      <c r="W6" s="45"/>
      <c r="X6" s="45"/>
      <c r="Y6" s="45"/>
      <c r="Z6" s="45"/>
      <c r="AA6" s="45">
        <v>22774.360842657752</v>
      </c>
      <c r="AB6" s="45"/>
      <c r="AC6" s="45"/>
      <c r="AD6" s="45"/>
      <c r="AE6" s="45">
        <v>98.116022194962795</v>
      </c>
      <c r="AF6" s="45">
        <v>42908.423672606172</v>
      </c>
      <c r="AG6" s="45">
        <v>18304.058856081163</v>
      </c>
      <c r="AH6" s="45">
        <v>11.217647265844153</v>
      </c>
      <c r="AI6" s="45"/>
      <c r="AJ6" s="45">
        <v>0.13426628550072744</v>
      </c>
      <c r="AK6" s="45"/>
      <c r="AL6" s="45">
        <v>2.2771406313468932</v>
      </c>
      <c r="AM6" s="45">
        <v>0.92262540761869904</v>
      </c>
      <c r="AN6" s="45"/>
      <c r="AO6" s="45">
        <v>7.1556383551278184</v>
      </c>
      <c r="AP6" s="45">
        <v>1.267672078528663</v>
      </c>
      <c r="AQ6" s="45">
        <v>0.20408313057496991</v>
      </c>
      <c r="AR6" s="45">
        <v>2.682706508624388</v>
      </c>
      <c r="AS6" s="45">
        <v>11.344454172088449</v>
      </c>
      <c r="AT6" s="45">
        <v>5.1767709459392533E-2</v>
      </c>
      <c r="AU6" s="45">
        <v>1.9847021699460274</v>
      </c>
      <c r="AV6" s="45">
        <v>0.14010368464259224</v>
      </c>
      <c r="AW6" s="45"/>
      <c r="AX6" s="45">
        <v>0.51673174888801332</v>
      </c>
      <c r="AY6" s="45">
        <v>4.1802888418540379E-2</v>
      </c>
      <c r="AZ6" s="45">
        <v>0.20798863292534903</v>
      </c>
      <c r="BA6" s="45"/>
      <c r="BB6" s="45"/>
      <c r="BC6" s="45"/>
      <c r="BD6" s="45"/>
      <c r="BE6" s="45"/>
      <c r="BF6" s="45"/>
      <c r="BG6" s="45"/>
      <c r="BH6" s="45"/>
      <c r="BI6" s="45"/>
      <c r="BJ6" s="45"/>
      <c r="BK6" s="45"/>
      <c r="BL6" s="45"/>
      <c r="BM6" s="45"/>
      <c r="BN6" s="45"/>
      <c r="BO6" s="45"/>
      <c r="BP6" s="45">
        <v>7.8922803671928235E-2</v>
      </c>
      <c r="BQ6" s="45">
        <v>1.1939092682422083</v>
      </c>
      <c r="BR6" s="45">
        <v>141884.0524041426</v>
      </c>
      <c r="BS6" s="45"/>
      <c r="BT6" s="45">
        <v>90.650784527809563</v>
      </c>
      <c r="BU6" s="45"/>
      <c r="BV6" s="45">
        <v>4870.1986698772425</v>
      </c>
      <c r="BW6" s="45">
        <v>134.53785007188179</v>
      </c>
      <c r="BX6" s="45"/>
      <c r="BY6" s="45">
        <v>12002.831788093275</v>
      </c>
      <c r="BZ6" s="45">
        <v>6329.3429480459408</v>
      </c>
      <c r="CA6" s="45">
        <v>53.519236428196521</v>
      </c>
      <c r="CB6" s="45">
        <v>3445.0000491471274</v>
      </c>
      <c r="CC6" s="45">
        <v>160781.69741079852</v>
      </c>
      <c r="CD6" s="45">
        <v>147.12485602845572</v>
      </c>
      <c r="CE6" s="45">
        <v>159646.75496960888</v>
      </c>
      <c r="CF6" s="45">
        <v>5887.0539860055887</v>
      </c>
      <c r="CG6" s="45"/>
      <c r="CH6" s="45">
        <v>26.851460874244928</v>
      </c>
      <c r="CI6" s="45">
        <v>124.819277928687</v>
      </c>
      <c r="CJ6" s="45">
        <v>1301.8784167097976</v>
      </c>
      <c r="CK6" s="45"/>
      <c r="CL6" s="45"/>
      <c r="CM6" s="45"/>
      <c r="CN6" s="45"/>
      <c r="CO6" s="45"/>
      <c r="CP6" s="45"/>
      <c r="CQ6" s="45"/>
      <c r="CR6" s="45"/>
      <c r="CS6" s="45"/>
      <c r="CT6" s="45"/>
      <c r="CU6" s="45"/>
      <c r="CV6" s="45"/>
      <c r="CW6" s="45"/>
      <c r="CX6" s="45"/>
      <c r="CY6" s="45"/>
      <c r="CZ6" s="45">
        <v>13.253326600448835</v>
      </c>
      <c r="DA6" s="45">
        <v>11.976504593249825</v>
      </c>
      <c r="DB6" s="45">
        <v>807588278.04444444</v>
      </c>
      <c r="DC6" s="45"/>
      <c r="DD6" s="45">
        <v>23868062.35783634</v>
      </c>
      <c r="DE6" s="45"/>
      <c r="DF6" s="45">
        <v>213240242.59639388</v>
      </c>
      <c r="DG6" s="45">
        <v>55431156.638002776</v>
      </c>
      <c r="DH6" s="45"/>
      <c r="DI6" s="45">
        <v>696139929.38696253</v>
      </c>
      <c r="DJ6" s="45">
        <v>136606445.89181691</v>
      </c>
      <c r="DK6" s="45">
        <v>98353731.461858526</v>
      </c>
      <c r="DL6" s="45">
        <v>239981975.6116505</v>
      </c>
      <c r="DM6" s="45">
        <v>407267120.64355063</v>
      </c>
      <c r="DN6" s="45">
        <v>44046077.514563106</v>
      </c>
      <c r="DO6" s="45">
        <v>189368947.75034675</v>
      </c>
      <c r="DP6" s="45">
        <v>90200867.861303747</v>
      </c>
      <c r="DQ6" s="45"/>
      <c r="DR6" s="45">
        <v>106977669.14840499</v>
      </c>
      <c r="DS6" s="45">
        <v>22464906.829403605</v>
      </c>
      <c r="DT6" s="45">
        <v>325158864.77148849</v>
      </c>
      <c r="DU6" s="45"/>
      <c r="DV6" s="45"/>
      <c r="DW6" s="45"/>
      <c r="DX6" s="45"/>
      <c r="DY6" s="45"/>
      <c r="DZ6" s="45"/>
      <c r="EA6" s="45"/>
      <c r="EB6" s="45"/>
      <c r="EC6" s="45"/>
      <c r="ED6" s="45"/>
      <c r="EE6" s="45"/>
      <c r="EF6" s="45"/>
      <c r="EG6" s="45"/>
      <c r="EH6" s="45"/>
      <c r="EI6" s="45"/>
      <c r="EJ6" s="45">
        <v>68811470.646324545</v>
      </c>
      <c r="EK6" s="45">
        <v>29430032.687933426</v>
      </c>
      <c r="EL6" s="45">
        <v>7.3079548241320662</v>
      </c>
      <c r="EM6" s="45">
        <v>13.115411866454146</v>
      </c>
      <c r="EN6" s="45">
        <v>5.8078951443263529</v>
      </c>
      <c r="EO6" s="45"/>
      <c r="EP6" s="45"/>
      <c r="EQ6" s="45"/>
    </row>
    <row r="7" spans="1:147" ht="15" customHeight="1" x14ac:dyDescent="0.25">
      <c r="A7" s="38" t="s">
        <v>443</v>
      </c>
      <c r="B7" s="99" t="s">
        <v>861</v>
      </c>
      <c r="C7" s="11" t="s">
        <v>444</v>
      </c>
      <c r="D7" s="13" t="s">
        <v>534</v>
      </c>
      <c r="E7" s="13" t="s">
        <v>222</v>
      </c>
      <c r="F7" s="118" t="s">
        <v>48</v>
      </c>
      <c r="G7" s="118"/>
      <c r="H7" s="118"/>
      <c r="I7" s="23"/>
      <c r="J7" s="53" t="s">
        <v>233</v>
      </c>
      <c r="K7" s="45">
        <v>4450.651872399445</v>
      </c>
      <c r="L7" s="45">
        <v>7416.1698389443027</v>
      </c>
      <c r="M7" s="45">
        <v>181.48076687725796</v>
      </c>
      <c r="N7" s="45"/>
      <c r="O7" s="45"/>
      <c r="P7" s="45"/>
      <c r="Q7" s="45"/>
      <c r="R7" s="45"/>
      <c r="S7" s="45"/>
      <c r="T7" s="45"/>
      <c r="U7" s="45">
        <v>53377.064768530814</v>
      </c>
      <c r="V7" s="45"/>
      <c r="W7" s="45"/>
      <c r="X7" s="45"/>
      <c r="Y7" s="45"/>
      <c r="Z7" s="45"/>
      <c r="AA7" s="45">
        <v>64948.722246690966</v>
      </c>
      <c r="AB7" s="45"/>
      <c r="AC7" s="45"/>
      <c r="AD7" s="45"/>
      <c r="AE7" s="45">
        <v>98.513731857488509</v>
      </c>
      <c r="AF7" s="45">
        <v>43228.353344116047</v>
      </c>
      <c r="AG7" s="45">
        <v>18876.340985937597</v>
      </c>
      <c r="AH7" s="45"/>
      <c r="AI7" s="45"/>
      <c r="AJ7" s="45">
        <v>0.18699965994325862</v>
      </c>
      <c r="AK7" s="45"/>
      <c r="AL7" s="45">
        <v>3.4893960320610433</v>
      </c>
      <c r="AM7" s="45">
        <v>1.1354708503025854</v>
      </c>
      <c r="AN7" s="45"/>
      <c r="AO7" s="45">
        <v>11.518025609263507</v>
      </c>
      <c r="AP7" s="45">
        <v>48.881041919881874</v>
      </c>
      <c r="AQ7" s="45">
        <v>0.26013798552243117</v>
      </c>
      <c r="AR7" s="45">
        <v>0.52866196411542576</v>
      </c>
      <c r="AS7" s="45">
        <v>15.956094783388709</v>
      </c>
      <c r="AT7" s="45">
        <v>4.28940119500337E-2</v>
      </c>
      <c r="AU7" s="45">
        <v>3.7854320946938653</v>
      </c>
      <c r="AV7" s="45">
        <v>0.18393675057424522</v>
      </c>
      <c r="AW7" s="45">
        <v>2.7054045841848114E-2</v>
      </c>
      <c r="AX7" s="45">
        <v>0.67961901724333096</v>
      </c>
      <c r="AY7" s="45">
        <v>4.5355438195001006E-2</v>
      </c>
      <c r="AZ7" s="45">
        <v>4.5290985860005692</v>
      </c>
      <c r="BA7" s="45"/>
      <c r="BB7" s="45"/>
      <c r="BC7" s="45"/>
      <c r="BD7" s="45"/>
      <c r="BE7" s="45"/>
      <c r="BF7" s="45"/>
      <c r="BG7" s="45"/>
      <c r="BH7" s="45"/>
      <c r="BI7" s="45"/>
      <c r="BJ7" s="45"/>
      <c r="BK7" s="45"/>
      <c r="BL7" s="45"/>
      <c r="BM7" s="45"/>
      <c r="BN7" s="45"/>
      <c r="BO7" s="45"/>
      <c r="BP7" s="45">
        <v>0.13289095802235837</v>
      </c>
      <c r="BQ7" s="45">
        <v>0.63232023390961467</v>
      </c>
      <c r="BR7" s="45"/>
      <c r="BS7" s="45"/>
      <c r="BT7" s="45">
        <v>81.879511576057453</v>
      </c>
      <c r="BU7" s="45"/>
      <c r="BV7" s="45">
        <v>12450.0844013892</v>
      </c>
      <c r="BW7" s="45">
        <v>186.10246425577481</v>
      </c>
      <c r="BX7" s="45"/>
      <c r="BY7" s="45">
        <v>44982.395076261273</v>
      </c>
      <c r="BZ7" s="45">
        <v>381333.0865978346</v>
      </c>
      <c r="CA7" s="45">
        <v>6.8912495498917776</v>
      </c>
      <c r="CB7" s="45">
        <v>34.940210158963481</v>
      </c>
      <c r="CC7" s="45">
        <v>161719.57016252924</v>
      </c>
      <c r="CD7" s="45">
        <v>98.668687541753002</v>
      </c>
      <c r="CE7" s="45">
        <v>372193.04512213799</v>
      </c>
      <c r="CF7" s="45">
        <v>5070.6891688171845</v>
      </c>
      <c r="CG7" s="45">
        <v>25.264374082504467</v>
      </c>
      <c r="CH7" s="45">
        <v>24.577816035189755</v>
      </c>
      <c r="CI7" s="45">
        <v>127.14464675182383</v>
      </c>
      <c r="CJ7" s="45">
        <v>34066.480130413009</v>
      </c>
      <c r="CK7" s="45"/>
      <c r="CL7" s="45"/>
      <c r="CM7" s="45"/>
      <c r="CN7" s="45"/>
      <c r="CO7" s="45"/>
      <c r="CP7" s="45"/>
      <c r="CQ7" s="45"/>
      <c r="CR7" s="45"/>
      <c r="CS7" s="45"/>
      <c r="CT7" s="45"/>
      <c r="CU7" s="45"/>
      <c r="CV7" s="45"/>
      <c r="CW7" s="45"/>
      <c r="CX7" s="45"/>
      <c r="CY7" s="45"/>
      <c r="CZ7" s="45">
        <v>13.262241936702342</v>
      </c>
      <c r="DA7" s="45">
        <v>11.976238374615575</v>
      </c>
      <c r="DB7" s="45"/>
      <c r="DC7" s="45"/>
      <c r="DD7" s="45">
        <v>23130890.296809986</v>
      </c>
      <c r="DE7" s="45"/>
      <c r="DF7" s="45">
        <v>113425749.33333333</v>
      </c>
      <c r="DG7" s="45">
        <v>38454083.106796116</v>
      </c>
      <c r="DH7" s="45"/>
      <c r="DI7" s="45">
        <v>760131299.95006931</v>
      </c>
      <c r="DJ7" s="45">
        <v>136664778.38557559</v>
      </c>
      <c r="DK7" s="45">
        <v>69156562.907073513</v>
      </c>
      <c r="DL7" s="45">
        <v>196753603.99445215</v>
      </c>
      <c r="DM7" s="45">
        <v>396769913.43134534</v>
      </c>
      <c r="DN7" s="45">
        <v>46037614.069348127</v>
      </c>
      <c r="DO7" s="45">
        <v>238921196.82662967</v>
      </c>
      <c r="DP7" s="45">
        <v>89391905.020804435</v>
      </c>
      <c r="DQ7" s="45">
        <v>89459457.775312066</v>
      </c>
      <c r="DR7" s="45">
        <v>108603633.44244106</v>
      </c>
      <c r="DS7" s="45">
        <v>21626550.502080444</v>
      </c>
      <c r="DT7" s="45">
        <v>379215045.91596639</v>
      </c>
      <c r="DU7" s="45"/>
      <c r="DV7" s="45"/>
      <c r="DW7" s="45"/>
      <c r="DX7" s="45"/>
      <c r="DY7" s="45"/>
      <c r="DZ7" s="45"/>
      <c r="EA7" s="45"/>
      <c r="EB7" s="45"/>
      <c r="EC7" s="45"/>
      <c r="ED7" s="45"/>
      <c r="EE7" s="45"/>
      <c r="EF7" s="45"/>
      <c r="EG7" s="45"/>
      <c r="EH7" s="45"/>
      <c r="EI7" s="45"/>
      <c r="EJ7" s="45">
        <v>63036059.517337032</v>
      </c>
      <c r="EK7" s="45">
        <v>27222277.325936198</v>
      </c>
      <c r="EL7" s="45">
        <v>10.135471223451521</v>
      </c>
      <c r="EM7" s="45">
        <v>17.759681469135568</v>
      </c>
      <c r="EN7" s="45">
        <v>7.6249962378348135</v>
      </c>
      <c r="EO7" s="45"/>
      <c r="EP7" s="45"/>
      <c r="EQ7" s="45"/>
    </row>
    <row r="8" spans="1:147" ht="15" customHeight="1" x14ac:dyDescent="0.25">
      <c r="A8" s="38" t="s">
        <v>445</v>
      </c>
      <c r="B8" s="99" t="s">
        <v>862</v>
      </c>
      <c r="C8" s="11" t="s">
        <v>446</v>
      </c>
      <c r="D8" s="13" t="s">
        <v>532</v>
      </c>
      <c r="E8" s="13" t="s">
        <v>222</v>
      </c>
      <c r="F8" s="118" t="s">
        <v>48</v>
      </c>
      <c r="G8" s="118"/>
      <c r="H8" s="118"/>
      <c r="I8" s="23"/>
      <c r="J8" s="53" t="s">
        <v>233</v>
      </c>
      <c r="K8" s="45">
        <v>2682.1955617198337</v>
      </c>
      <c r="L8" s="45">
        <v>13302.64333776571</v>
      </c>
      <c r="M8" s="45">
        <v>409.86715838645313</v>
      </c>
      <c r="N8" s="45"/>
      <c r="O8" s="45"/>
      <c r="P8" s="45"/>
      <c r="Q8" s="45">
        <v>1.9800883939542584</v>
      </c>
      <c r="R8" s="45">
        <v>6612.6951851392578</v>
      </c>
      <c r="S8" s="45"/>
      <c r="T8" s="45"/>
      <c r="U8" s="45"/>
      <c r="V8" s="45"/>
      <c r="W8" s="45"/>
      <c r="X8" s="45"/>
      <c r="Y8" s="45"/>
      <c r="Z8" s="45"/>
      <c r="AA8" s="45">
        <v>111694.82235117679</v>
      </c>
      <c r="AB8" s="45"/>
      <c r="AC8" s="45"/>
      <c r="AD8" s="45"/>
      <c r="AE8" s="45">
        <v>95.882508967187036</v>
      </c>
      <c r="AF8" s="45">
        <v>43099.842716724823</v>
      </c>
      <c r="AG8" s="45">
        <v>28818.97006013498</v>
      </c>
      <c r="AH8" s="45">
        <v>4.8715658700089843</v>
      </c>
      <c r="AI8" s="45"/>
      <c r="AJ8" s="45">
        <v>0.125224637907805</v>
      </c>
      <c r="AK8" s="45"/>
      <c r="AL8" s="45">
        <v>0.95649826371918301</v>
      </c>
      <c r="AM8" s="45">
        <v>0.42749488726810048</v>
      </c>
      <c r="AN8" s="45"/>
      <c r="AO8" s="45">
        <v>40.952542255042061</v>
      </c>
      <c r="AP8" s="45">
        <v>0.16076234380428717</v>
      </c>
      <c r="AQ8" s="45">
        <v>0.22582007347102381</v>
      </c>
      <c r="AR8" s="45">
        <v>1.3131395206666916</v>
      </c>
      <c r="AS8" s="45">
        <v>17.115483820110914</v>
      </c>
      <c r="AT8" s="45">
        <v>9.6282207770961845E-2</v>
      </c>
      <c r="AU8" s="45">
        <v>3.399824708818981</v>
      </c>
      <c r="AV8" s="45">
        <v>0.8178499608266746</v>
      </c>
      <c r="AW8" s="45"/>
      <c r="AX8" s="45">
        <v>1.0213608862293828</v>
      </c>
      <c r="AY8" s="45">
        <v>5.3816748089352426E-2</v>
      </c>
      <c r="AZ8" s="45">
        <v>0.44624931569269277</v>
      </c>
      <c r="BA8" s="45"/>
      <c r="BB8" s="45"/>
      <c r="BC8" s="45"/>
      <c r="BD8" s="45"/>
      <c r="BE8" s="45"/>
      <c r="BF8" s="45"/>
      <c r="BG8" s="45"/>
      <c r="BH8" s="45"/>
      <c r="BI8" s="45"/>
      <c r="BJ8" s="45"/>
      <c r="BK8" s="45"/>
      <c r="BL8" s="45"/>
      <c r="BM8" s="45"/>
      <c r="BN8" s="45"/>
      <c r="BO8" s="45"/>
      <c r="BP8" s="45"/>
      <c r="BQ8" s="45">
        <v>0.35225789766897891</v>
      </c>
      <c r="BR8" s="45">
        <v>7186.960884703828</v>
      </c>
      <c r="BS8" s="45"/>
      <c r="BT8" s="45">
        <v>84.801225024405269</v>
      </c>
      <c r="BU8" s="45"/>
      <c r="BV8" s="45">
        <v>5415.9363431055899</v>
      </c>
      <c r="BW8" s="45">
        <v>172.49068178633308</v>
      </c>
      <c r="BX8" s="45"/>
      <c r="BY8" s="45">
        <v>215249.86446454396</v>
      </c>
      <c r="BZ8" s="45">
        <v>1843.4669255247657</v>
      </c>
      <c r="CA8" s="45">
        <v>8082.1415187734929</v>
      </c>
      <c r="CB8" s="45">
        <v>5948.2416088053133</v>
      </c>
      <c r="CC8" s="45">
        <v>196537.41858147498</v>
      </c>
      <c r="CD8" s="45">
        <v>127.55578336957593</v>
      </c>
      <c r="CE8" s="45">
        <v>224890.30257565991</v>
      </c>
      <c r="CF8" s="45">
        <v>10665.432339526496</v>
      </c>
      <c r="CG8" s="45"/>
      <c r="CH8" s="45">
        <v>36.03333541972799</v>
      </c>
      <c r="CI8" s="45">
        <v>127.19553250862684</v>
      </c>
      <c r="CJ8" s="45">
        <v>725.51264504518497</v>
      </c>
      <c r="CK8" s="45"/>
      <c r="CL8" s="45"/>
      <c r="CM8" s="45"/>
      <c r="CN8" s="45"/>
      <c r="CO8" s="45"/>
      <c r="CP8" s="45"/>
      <c r="CQ8" s="45"/>
      <c r="CR8" s="45"/>
      <c r="CS8" s="45"/>
      <c r="CT8" s="45"/>
      <c r="CU8" s="45"/>
      <c r="CV8" s="45"/>
      <c r="CW8" s="45"/>
      <c r="CX8" s="45"/>
      <c r="CY8" s="45"/>
      <c r="CZ8" s="45"/>
      <c r="DA8" s="45">
        <v>19.956551247867029</v>
      </c>
      <c r="DB8" s="45">
        <v>546859451.54048967</v>
      </c>
      <c r="DC8" s="45"/>
      <c r="DD8" s="45">
        <v>22168909.758668516</v>
      </c>
      <c r="DE8" s="45"/>
      <c r="DF8" s="45">
        <v>229623844.24778762</v>
      </c>
      <c r="DG8" s="45">
        <v>40170318.46879334</v>
      </c>
      <c r="DH8" s="45"/>
      <c r="DI8" s="45">
        <v>1855397325.5811374</v>
      </c>
      <c r="DJ8" s="45">
        <v>128378763.53952843</v>
      </c>
      <c r="DK8" s="45">
        <v>109681637.01525658</v>
      </c>
      <c r="DL8" s="45">
        <v>255040229.37031901</v>
      </c>
      <c r="DM8" s="45">
        <v>410571893.88072121</v>
      </c>
      <c r="DN8" s="45">
        <v>46423990.14701803</v>
      </c>
      <c r="DO8" s="45">
        <v>213681184.66574204</v>
      </c>
      <c r="DP8" s="45">
        <v>93980788.46047157</v>
      </c>
      <c r="DQ8" s="45"/>
      <c r="DR8" s="45">
        <v>106240116.46047157</v>
      </c>
      <c r="DS8" s="45">
        <v>24161076.904299583</v>
      </c>
      <c r="DT8" s="45">
        <v>469182374.20084864</v>
      </c>
      <c r="DU8" s="45"/>
      <c r="DV8" s="45"/>
      <c r="DW8" s="45"/>
      <c r="DX8" s="45"/>
      <c r="DY8" s="45"/>
      <c r="DZ8" s="45"/>
      <c r="EA8" s="45"/>
      <c r="EB8" s="45"/>
      <c r="EC8" s="45"/>
      <c r="ED8" s="45"/>
      <c r="EE8" s="45"/>
      <c r="EF8" s="45"/>
      <c r="EG8" s="45"/>
      <c r="EH8" s="45"/>
      <c r="EI8" s="45"/>
      <c r="EJ8" s="45"/>
      <c r="EK8" s="45">
        <v>28022372.127600554</v>
      </c>
      <c r="EL8" s="45">
        <v>12.259855750674195</v>
      </c>
      <c r="EM8" s="45">
        <v>23.075514981141698</v>
      </c>
      <c r="EN8" s="45">
        <v>10.804626841166609</v>
      </c>
      <c r="EO8" s="45"/>
      <c r="EP8" s="45"/>
      <c r="EQ8" s="45"/>
    </row>
    <row r="9" spans="1:147" ht="15" customHeight="1" x14ac:dyDescent="0.25">
      <c r="A9" s="91" t="s">
        <v>447</v>
      </c>
      <c r="B9" s="130" t="s">
        <v>863</v>
      </c>
      <c r="C9" s="89" t="s">
        <v>448</v>
      </c>
      <c r="D9" s="90" t="s">
        <v>198</v>
      </c>
      <c r="E9" s="90" t="s">
        <v>222</v>
      </c>
      <c r="F9" s="119" t="s">
        <v>47</v>
      </c>
      <c r="G9" s="119"/>
      <c r="H9" s="119"/>
      <c r="I9" s="88"/>
      <c r="J9" s="93" t="s">
        <v>531</v>
      </c>
      <c r="K9" s="45"/>
      <c r="L9" s="45"/>
      <c r="M9" s="45"/>
      <c r="N9" s="45"/>
      <c r="O9" s="45"/>
      <c r="P9" s="45"/>
      <c r="Q9" s="45"/>
      <c r="R9" s="45"/>
      <c r="S9" s="45"/>
      <c r="T9" s="45"/>
      <c r="U9" s="45"/>
      <c r="V9" s="45"/>
      <c r="W9" s="45"/>
      <c r="X9" s="45"/>
      <c r="Y9" s="45"/>
      <c r="Z9" s="45"/>
      <c r="AA9" s="45"/>
      <c r="AB9" s="45"/>
      <c r="AC9" s="45"/>
      <c r="AD9" s="45"/>
      <c r="AE9" s="45"/>
      <c r="AF9" s="45"/>
      <c r="AG9" s="45"/>
      <c r="AH9" s="45"/>
      <c r="AI9" s="45"/>
      <c r="AJ9" s="45"/>
      <c r="AK9" s="45"/>
      <c r="AL9" s="45"/>
      <c r="AM9" s="45"/>
      <c r="AN9" s="45"/>
      <c r="AO9" s="45"/>
      <c r="AP9" s="45"/>
      <c r="AQ9" s="45"/>
      <c r="AR9" s="45"/>
      <c r="AS9" s="45"/>
      <c r="AT9" s="45"/>
      <c r="AU9" s="45"/>
      <c r="AV9" s="45"/>
      <c r="AW9" s="45"/>
      <c r="AX9" s="45"/>
      <c r="AY9" s="45"/>
      <c r="AZ9" s="45"/>
      <c r="BA9" s="45"/>
      <c r="BB9" s="45"/>
      <c r="BC9" s="45"/>
      <c r="BD9" s="45"/>
      <c r="BE9" s="45"/>
      <c r="BF9" s="45"/>
      <c r="BG9" s="45"/>
      <c r="BH9" s="45"/>
      <c r="BI9" s="45"/>
      <c r="BJ9" s="45"/>
      <c r="BK9" s="45"/>
      <c r="BL9" s="45"/>
      <c r="BM9" s="45"/>
      <c r="BN9" s="45"/>
      <c r="BO9" s="45"/>
      <c r="BP9" s="45"/>
      <c r="BQ9" s="45"/>
      <c r="BR9" s="45"/>
      <c r="BS9" s="45"/>
      <c r="BT9" s="45"/>
      <c r="BU9" s="45"/>
      <c r="BV9" s="45"/>
      <c r="BW9" s="45"/>
      <c r="BX9" s="45"/>
      <c r="BY9" s="45"/>
      <c r="BZ9" s="45"/>
      <c r="CA9" s="45"/>
      <c r="CB9" s="45"/>
      <c r="CC9" s="45"/>
      <c r="CD9" s="45"/>
      <c r="CE9" s="45"/>
      <c r="CF9" s="45"/>
      <c r="CG9" s="45"/>
      <c r="CH9" s="45"/>
      <c r="CI9" s="45"/>
      <c r="CJ9" s="45"/>
      <c r="CK9" s="45"/>
      <c r="CL9" s="45"/>
      <c r="CM9" s="45"/>
      <c r="CN9" s="45"/>
      <c r="CO9" s="45"/>
      <c r="CP9" s="45"/>
      <c r="CQ9" s="45"/>
      <c r="CR9" s="45"/>
      <c r="CS9" s="45"/>
      <c r="CT9" s="45"/>
      <c r="CU9" s="45"/>
      <c r="CV9" s="45"/>
      <c r="CW9" s="45"/>
      <c r="CX9" s="45"/>
      <c r="CY9" s="45"/>
      <c r="CZ9" s="45"/>
      <c r="DA9" s="45"/>
      <c r="DB9" s="45"/>
      <c r="DC9" s="45"/>
      <c r="DD9" s="45"/>
      <c r="DE9" s="45"/>
      <c r="DF9" s="45"/>
      <c r="DG9" s="45"/>
      <c r="DH9" s="45"/>
      <c r="DI9" s="45"/>
      <c r="DJ9" s="45"/>
      <c r="DK9" s="45"/>
      <c r="DL9" s="45"/>
      <c r="DM9" s="45"/>
      <c r="DN9" s="45"/>
      <c r="DO9" s="45"/>
      <c r="DP9" s="45"/>
      <c r="DQ9" s="45"/>
      <c r="DR9" s="45"/>
      <c r="DS9" s="45"/>
      <c r="DT9" s="45"/>
      <c r="DU9" s="45"/>
      <c r="DV9" s="45"/>
      <c r="DW9" s="45"/>
      <c r="DX9" s="45"/>
      <c r="DY9" s="45"/>
      <c r="DZ9" s="45"/>
      <c r="EA9" s="45"/>
      <c r="EB9" s="45"/>
      <c r="EC9" s="45"/>
      <c r="ED9" s="45"/>
      <c r="EE9" s="45"/>
      <c r="EF9" s="45"/>
      <c r="EG9" s="45"/>
      <c r="EH9" s="45"/>
      <c r="EI9" s="45"/>
      <c r="EJ9" s="45"/>
      <c r="EK9" s="45"/>
      <c r="EL9" s="45"/>
      <c r="EM9" s="45"/>
      <c r="EN9" s="45"/>
      <c r="EO9" s="45"/>
      <c r="EP9" s="45"/>
      <c r="EQ9" s="45"/>
    </row>
    <row r="10" spans="1:147" ht="15" customHeight="1" x14ac:dyDescent="0.25">
      <c r="A10" s="38" t="s">
        <v>449</v>
      </c>
      <c r="B10" s="99" t="s">
        <v>864</v>
      </c>
      <c r="C10" s="11" t="s">
        <v>450</v>
      </c>
      <c r="D10" s="13" t="s">
        <v>535</v>
      </c>
      <c r="E10" s="13" t="s">
        <v>222</v>
      </c>
      <c r="F10" s="118" t="s">
        <v>47</v>
      </c>
      <c r="G10" s="118"/>
      <c r="H10" s="118"/>
      <c r="I10" s="23"/>
      <c r="J10" s="53" t="s">
        <v>233</v>
      </c>
      <c r="K10" s="45">
        <v>3116.2968099861305</v>
      </c>
      <c r="L10" s="45">
        <v>9934.7284032656007</v>
      </c>
      <c r="M10" s="45">
        <v>268.60146825621445</v>
      </c>
      <c r="N10" s="45"/>
      <c r="O10" s="45"/>
      <c r="P10" s="45"/>
      <c r="Q10" s="45"/>
      <c r="R10" s="45"/>
      <c r="S10" s="45"/>
      <c r="T10" s="45"/>
      <c r="U10" s="45">
        <v>64299.501653865591</v>
      </c>
      <c r="V10" s="45"/>
      <c r="W10" s="45"/>
      <c r="X10" s="45"/>
      <c r="Y10" s="45"/>
      <c r="Z10" s="45"/>
      <c r="AA10" s="47"/>
      <c r="AB10" s="45"/>
      <c r="AC10" s="45"/>
      <c r="AD10" s="45"/>
      <c r="AE10" s="45">
        <v>96.781775449929242</v>
      </c>
      <c r="AF10" s="45">
        <v>40239.79116073357</v>
      </c>
      <c r="AG10" s="45">
        <v>21185.978385552986</v>
      </c>
      <c r="AH10" s="45">
        <v>0.36010000843063344</v>
      </c>
      <c r="AI10" s="45"/>
      <c r="AJ10" s="45">
        <v>0.20810078730049139</v>
      </c>
      <c r="AK10" s="45"/>
      <c r="AL10" s="45">
        <v>3.0665432836448248</v>
      </c>
      <c r="AM10" s="45">
        <v>8.9986822061825275E-2</v>
      </c>
      <c r="AN10" s="45"/>
      <c r="AO10" s="45">
        <v>12.39796104513966</v>
      </c>
      <c r="AP10" s="45">
        <v>0.25245641944031777</v>
      </c>
      <c r="AQ10" s="45">
        <v>0.274082960161249</v>
      </c>
      <c r="AR10" s="45">
        <v>0.66289441022538764</v>
      </c>
      <c r="AS10" s="45">
        <v>7.5925103055392835</v>
      </c>
      <c r="AT10" s="45">
        <v>3.5083727544097006E-2</v>
      </c>
      <c r="AU10" s="45">
        <v>2.0955823326716958</v>
      </c>
      <c r="AV10" s="45">
        <v>0.21926109480385975</v>
      </c>
      <c r="AW10" s="45">
        <v>0.22629891437835919</v>
      </c>
      <c r="AX10" s="45">
        <v>0.4129001832671963</v>
      </c>
      <c r="AY10" s="45">
        <v>3.5949477961981072E-2</v>
      </c>
      <c r="AZ10" s="45"/>
      <c r="BA10" s="45"/>
      <c r="BB10" s="45"/>
      <c r="BC10" s="45"/>
      <c r="BD10" s="45"/>
      <c r="BE10" s="45"/>
      <c r="BF10" s="45"/>
      <c r="BG10" s="45"/>
      <c r="BH10" s="45"/>
      <c r="BI10" s="45"/>
      <c r="BJ10" s="45"/>
      <c r="BK10" s="45"/>
      <c r="BL10" s="45"/>
      <c r="BM10" s="45"/>
      <c r="BN10" s="45"/>
      <c r="BO10" s="45"/>
      <c r="BP10" s="45">
        <v>6.0836021589515364E-2</v>
      </c>
      <c r="BQ10" s="45">
        <v>0.60249758841773493</v>
      </c>
      <c r="BR10" s="45">
        <v>7126.8301309489634</v>
      </c>
      <c r="BS10" s="45"/>
      <c r="BT10" s="45">
        <v>105.26662694754516</v>
      </c>
      <c r="BU10" s="45"/>
      <c r="BV10" s="45">
        <v>39895.401168427255</v>
      </c>
      <c r="BW10" s="45">
        <v>24.893868432616863</v>
      </c>
      <c r="BX10" s="45"/>
      <c r="BY10" s="45">
        <v>76424.716851702062</v>
      </c>
      <c r="BZ10" s="45">
        <v>9846.8160816783911</v>
      </c>
      <c r="CA10" s="45">
        <v>6.8911270608875004</v>
      </c>
      <c r="CB10" s="45">
        <v>1423.1181644347589</v>
      </c>
      <c r="CC10" s="45">
        <v>382151.22386684403</v>
      </c>
      <c r="CD10" s="45">
        <v>134.78346245080272</v>
      </c>
      <c r="CE10" s="45">
        <v>258038.67959082418</v>
      </c>
      <c r="CF10" s="45">
        <v>7689.8471630688455</v>
      </c>
      <c r="CG10" s="45">
        <v>22234.665786507419</v>
      </c>
      <c r="CH10" s="45">
        <v>55.970584742287741</v>
      </c>
      <c r="CI10" s="45">
        <v>117.17590372516558</v>
      </c>
      <c r="CJ10" s="45"/>
      <c r="CK10" s="45"/>
      <c r="CL10" s="45"/>
      <c r="CM10" s="45"/>
      <c r="CN10" s="45"/>
      <c r="CO10" s="45"/>
      <c r="CP10" s="45"/>
      <c r="CQ10" s="45"/>
      <c r="CR10" s="45"/>
      <c r="CS10" s="45"/>
      <c r="CT10" s="45"/>
      <c r="CU10" s="45"/>
      <c r="CV10" s="45"/>
      <c r="CW10" s="45"/>
      <c r="CX10" s="45"/>
      <c r="CY10" s="45"/>
      <c r="CZ10" s="45">
        <v>13.286356111449054</v>
      </c>
      <c r="DA10" s="45">
        <v>1.1605182996389263</v>
      </c>
      <c r="DB10" s="45">
        <v>391866916.85145479</v>
      </c>
      <c r="DC10" s="45"/>
      <c r="DD10" s="45">
        <v>27132330.074895978</v>
      </c>
      <c r="DE10" s="45"/>
      <c r="DF10" s="45">
        <v>109139409.45454545</v>
      </c>
      <c r="DG10" s="45">
        <v>18779836.183079056</v>
      </c>
      <c r="DH10" s="45"/>
      <c r="DI10" s="45">
        <v>1214005361.6199722</v>
      </c>
      <c r="DJ10" s="45">
        <v>125249305.91955617</v>
      </c>
      <c r="DK10" s="45">
        <v>88610245.059639394</v>
      </c>
      <c r="DL10" s="45">
        <v>252632906.20804438</v>
      </c>
      <c r="DM10" s="45">
        <v>395161156.88210821</v>
      </c>
      <c r="DN10" s="45">
        <v>45107214.202496536</v>
      </c>
      <c r="DO10" s="45">
        <v>135384963.01803052</v>
      </c>
      <c r="DP10" s="45">
        <v>91976077.669902906</v>
      </c>
      <c r="DQ10" s="45">
        <v>95610759.529411763</v>
      </c>
      <c r="DR10" s="45">
        <v>106692767.06796117</v>
      </c>
      <c r="DS10" s="45">
        <v>22185452.82662968</v>
      </c>
      <c r="DT10" s="45"/>
      <c r="DU10" s="45"/>
      <c r="DV10" s="45"/>
      <c r="DW10" s="45"/>
      <c r="DX10" s="45"/>
      <c r="DY10" s="45"/>
      <c r="DZ10" s="45"/>
      <c r="EA10" s="45"/>
      <c r="EB10" s="45"/>
      <c r="EC10" s="45"/>
      <c r="ED10" s="45"/>
      <c r="EE10" s="45"/>
      <c r="EF10" s="45"/>
      <c r="EG10" s="45"/>
      <c r="EH10" s="45"/>
      <c r="EI10" s="45"/>
      <c r="EJ10" s="45">
        <v>66196950.102635227</v>
      </c>
      <c r="EK10" s="45">
        <v>25343980.116504855</v>
      </c>
      <c r="EL10" s="45">
        <v>2.1508017568219424</v>
      </c>
      <c r="EM10" s="45">
        <v>4.1807934965128339</v>
      </c>
      <c r="EN10" s="45">
        <v>2.0285607423258725</v>
      </c>
      <c r="EO10" s="45"/>
      <c r="EP10" s="45"/>
      <c r="EQ10" s="45"/>
    </row>
    <row r="11" spans="1:147" ht="15" customHeight="1" x14ac:dyDescent="0.25">
      <c r="A11" s="38" t="s">
        <v>451</v>
      </c>
      <c r="B11" s="99" t="s">
        <v>865</v>
      </c>
      <c r="C11" s="11" t="s">
        <v>452</v>
      </c>
      <c r="D11" s="13" t="s">
        <v>532</v>
      </c>
      <c r="E11" s="13" t="s">
        <v>222</v>
      </c>
      <c r="F11" s="118" t="s">
        <v>196</v>
      </c>
      <c r="G11" s="118"/>
      <c r="H11" s="118"/>
      <c r="I11" s="23"/>
      <c r="J11" s="53" t="s">
        <v>233</v>
      </c>
      <c r="K11" s="45">
        <v>11697.284122562674</v>
      </c>
      <c r="L11" s="45">
        <v>7359.4036560791737</v>
      </c>
      <c r="M11" s="45">
        <v>152.13448121077363</v>
      </c>
      <c r="N11" s="45"/>
      <c r="O11" s="45"/>
      <c r="P11" s="45"/>
      <c r="Q11" s="45"/>
      <c r="R11" s="45">
        <v>17316.811559411824</v>
      </c>
      <c r="S11" s="45"/>
      <c r="T11" s="45"/>
      <c r="U11" s="45"/>
      <c r="V11" s="45"/>
      <c r="W11" s="45"/>
      <c r="X11" s="45"/>
      <c r="Y11" s="45"/>
      <c r="Z11" s="45"/>
      <c r="AA11" s="45"/>
      <c r="AB11" s="45"/>
      <c r="AC11" s="45"/>
      <c r="AD11" s="45">
        <v>90765.492862091065</v>
      </c>
      <c r="AE11" s="45">
        <v>99.090547723682505</v>
      </c>
      <c r="AF11" s="45">
        <v>32603.32118503789</v>
      </c>
      <c r="AG11" s="45">
        <v>16901.005438417465</v>
      </c>
      <c r="AH11" s="45">
        <v>1.4910808109164084</v>
      </c>
      <c r="AI11" s="45"/>
      <c r="AJ11" s="45">
        <v>4.0360668782252536E-2</v>
      </c>
      <c r="AK11" s="45"/>
      <c r="AL11" s="45">
        <v>0.99703532225730085</v>
      </c>
      <c r="AM11" s="45">
        <v>0.68583196301897076</v>
      </c>
      <c r="AN11" s="45"/>
      <c r="AO11" s="45">
        <v>14.328754579379886</v>
      </c>
      <c r="AP11" s="45">
        <v>1.3856294775537554</v>
      </c>
      <c r="AQ11" s="45">
        <v>0.11873718387793726</v>
      </c>
      <c r="AR11" s="45">
        <v>0.91460201301936628</v>
      </c>
      <c r="AS11" s="45">
        <v>6.7191987422272543</v>
      </c>
      <c r="AT11" s="45">
        <v>0.23865641687069974</v>
      </c>
      <c r="AU11" s="45"/>
      <c r="AV11" s="45">
        <v>0.10039784713275768</v>
      </c>
      <c r="AW11" s="45">
        <v>6.8610267462195108E-3</v>
      </c>
      <c r="AX11" s="45">
        <v>0.53173000391076741</v>
      </c>
      <c r="AY11" s="45">
        <v>1.2774779435123734E-2</v>
      </c>
      <c r="AZ11" s="45"/>
      <c r="BA11" s="45"/>
      <c r="BB11" s="45"/>
      <c r="BC11" s="45"/>
      <c r="BD11" s="45"/>
      <c r="BE11" s="45"/>
      <c r="BF11" s="45">
        <v>1.4279893727168909</v>
      </c>
      <c r="BG11" s="45"/>
      <c r="BH11" s="45"/>
      <c r="BI11" s="45"/>
      <c r="BJ11" s="45"/>
      <c r="BK11" s="45"/>
      <c r="BL11" s="45"/>
      <c r="BM11" s="45"/>
      <c r="BN11" s="45"/>
      <c r="BO11" s="45"/>
      <c r="BP11" s="45">
        <v>5.5233182444021159E-2</v>
      </c>
      <c r="BQ11" s="45">
        <v>0.49928151313841945</v>
      </c>
      <c r="BR11" s="45">
        <v>19261.532248032167</v>
      </c>
      <c r="BS11" s="45"/>
      <c r="BT11" s="45">
        <v>103.49250407888948</v>
      </c>
      <c r="BU11" s="45"/>
      <c r="BV11" s="45">
        <v>2833.5856988179285</v>
      </c>
      <c r="BW11" s="45">
        <v>207.49527750747521</v>
      </c>
      <c r="BX11" s="45"/>
      <c r="BY11" s="45">
        <v>59280.977251247677</v>
      </c>
      <c r="BZ11" s="45">
        <v>10197.701692666116</v>
      </c>
      <c r="CA11" s="45">
        <v>1805.7114200274739</v>
      </c>
      <c r="CB11" s="45">
        <v>3446.1614660926502</v>
      </c>
      <c r="CC11" s="45">
        <v>390768.97004651168</v>
      </c>
      <c r="CD11" s="45">
        <v>39739.625929532151</v>
      </c>
      <c r="CE11" s="45"/>
      <c r="CF11" s="45">
        <v>4661.7753585042547</v>
      </c>
      <c r="CG11" s="45">
        <v>154.97192161627092</v>
      </c>
      <c r="CH11" s="45">
        <v>28.871306661709294</v>
      </c>
      <c r="CI11" s="45">
        <v>113.2232771819087</v>
      </c>
      <c r="CJ11" s="45"/>
      <c r="CK11" s="45"/>
      <c r="CL11" s="45"/>
      <c r="CM11" s="45"/>
      <c r="CN11" s="45"/>
      <c r="CO11" s="45"/>
      <c r="CP11" s="45">
        <v>124266.76841656498</v>
      </c>
      <c r="CQ11" s="45"/>
      <c r="CR11" s="45"/>
      <c r="CS11" s="45"/>
      <c r="CT11" s="45"/>
      <c r="CU11" s="45"/>
      <c r="CV11" s="45"/>
      <c r="CW11" s="45"/>
      <c r="CX11" s="45"/>
      <c r="CY11" s="45"/>
      <c r="CZ11" s="45">
        <v>13.265417994984237</v>
      </c>
      <c r="DA11" s="45">
        <v>19.644982010978524</v>
      </c>
      <c r="DB11" s="45">
        <v>704709742.27692306</v>
      </c>
      <c r="DC11" s="45"/>
      <c r="DD11" s="45">
        <v>22752970.218487393</v>
      </c>
      <c r="DE11" s="45"/>
      <c r="DF11" s="45">
        <v>103751472.60759494</v>
      </c>
      <c r="DG11" s="45">
        <v>33025836.924791086</v>
      </c>
      <c r="DH11" s="45"/>
      <c r="DI11" s="45">
        <v>1835283583.4629371</v>
      </c>
      <c r="DJ11" s="45">
        <v>134108363.07172996</v>
      </c>
      <c r="DK11" s="45">
        <v>109668366.32167833</v>
      </c>
      <c r="DL11" s="45">
        <v>299648098.81958044</v>
      </c>
      <c r="DM11" s="45">
        <v>367050888.91364902</v>
      </c>
      <c r="DN11" s="45">
        <v>66075438.058577403</v>
      </c>
      <c r="DO11" s="45"/>
      <c r="DP11" s="45">
        <v>95168027.927272722</v>
      </c>
      <c r="DQ11" s="45">
        <v>90321765.806949809</v>
      </c>
      <c r="DR11" s="45">
        <v>115587302.14509246</v>
      </c>
      <c r="DS11" s="45">
        <v>21159667.877437327</v>
      </c>
      <c r="DT11" s="45"/>
      <c r="DU11" s="45"/>
      <c r="DV11" s="45"/>
      <c r="DW11" s="45"/>
      <c r="DX11" s="45"/>
      <c r="DY11" s="45"/>
      <c r="DZ11" s="45"/>
      <c r="EA11" s="45"/>
      <c r="EB11" s="45"/>
      <c r="EC11" s="45"/>
      <c r="ED11" s="45"/>
      <c r="EE11" s="45"/>
      <c r="EF11" s="45"/>
      <c r="EG11" s="45"/>
      <c r="EH11" s="45"/>
      <c r="EI11" s="45"/>
      <c r="EJ11" s="45">
        <v>61433747.30726257</v>
      </c>
      <c r="EK11" s="45">
        <v>26579657.091922004</v>
      </c>
      <c r="EL11" s="45">
        <v>6.4776339547624326</v>
      </c>
      <c r="EM11" s="45">
        <v>13.233875933103798</v>
      </c>
      <c r="EN11" s="45">
        <v>6.6346879366339113</v>
      </c>
      <c r="EO11" s="45"/>
      <c r="EP11" s="45"/>
      <c r="EQ11" s="45"/>
    </row>
    <row r="12" spans="1:147" ht="15" customHeight="1" x14ac:dyDescent="0.25">
      <c r="A12" s="38" t="s">
        <v>453</v>
      </c>
      <c r="B12" s="99" t="s">
        <v>866</v>
      </c>
      <c r="C12" s="11" t="s">
        <v>454</v>
      </c>
      <c r="D12" s="13" t="s">
        <v>536</v>
      </c>
      <c r="E12" s="13" t="s">
        <v>222</v>
      </c>
      <c r="F12" s="118" t="s">
        <v>196</v>
      </c>
      <c r="G12" s="118"/>
      <c r="H12" s="118"/>
      <c r="I12" s="23"/>
      <c r="J12" s="53" t="s">
        <v>233</v>
      </c>
      <c r="K12" s="45">
        <v>14569.808599167822</v>
      </c>
      <c r="L12" s="45">
        <v>13015.468710471496</v>
      </c>
      <c r="M12" s="45">
        <v>77.621621668471462</v>
      </c>
      <c r="N12" s="45"/>
      <c r="O12" s="45"/>
      <c r="P12" s="45"/>
      <c r="Q12" s="45"/>
      <c r="R12" s="45"/>
      <c r="S12" s="45"/>
      <c r="T12" s="45"/>
      <c r="U12" s="45">
        <v>74007.835627455526</v>
      </c>
      <c r="V12" s="45"/>
      <c r="W12" s="45"/>
      <c r="X12" s="45"/>
      <c r="Y12" s="45"/>
      <c r="Z12" s="45"/>
      <c r="AA12" s="45"/>
      <c r="AB12" s="45"/>
      <c r="AC12" s="45"/>
      <c r="AD12" s="45"/>
      <c r="AE12" s="45">
        <v>99.3396715530817</v>
      </c>
      <c r="AF12" s="45">
        <v>50371.588585247635</v>
      </c>
      <c r="AG12" s="45">
        <v>15030.936765544086</v>
      </c>
      <c r="AH12" s="45"/>
      <c r="AI12" s="45"/>
      <c r="AJ12" s="45">
        <v>3.9006564814158491E-2</v>
      </c>
      <c r="AK12" s="45"/>
      <c r="AL12" s="45">
        <v>4.5284292366907408</v>
      </c>
      <c r="AM12" s="45">
        <v>6.4091581103211726E-2</v>
      </c>
      <c r="AN12" s="45"/>
      <c r="AO12" s="45">
        <v>15.661351116948405</v>
      </c>
      <c r="AP12" s="45">
        <v>0.95892791456067894</v>
      </c>
      <c r="AQ12" s="45">
        <v>7.7178661592669007E-2</v>
      </c>
      <c r="AR12" s="45">
        <v>0.44256429863175312</v>
      </c>
      <c r="AS12" s="45">
        <v>6.5665056799768182</v>
      </c>
      <c r="AT12" s="45">
        <v>2.0195966798136431E-2</v>
      </c>
      <c r="AU12" s="45">
        <v>1.276114294898099</v>
      </c>
      <c r="AV12" s="45">
        <v>0.19560737286765295</v>
      </c>
      <c r="AW12" s="45">
        <v>1.9391876970313787E-2</v>
      </c>
      <c r="AX12" s="45">
        <v>0.48253876106830512</v>
      </c>
      <c r="AY12" s="45">
        <v>2.6906984957448095E-2</v>
      </c>
      <c r="AZ12" s="45">
        <v>0.19141191681116565</v>
      </c>
      <c r="BA12" s="45"/>
      <c r="BB12" s="45"/>
      <c r="BC12" s="45"/>
      <c r="BD12" s="45"/>
      <c r="BE12" s="45"/>
      <c r="BF12" s="45">
        <v>1.529914186735942</v>
      </c>
      <c r="BG12" s="45"/>
      <c r="BH12" s="45"/>
      <c r="BI12" s="45"/>
      <c r="BJ12" s="45"/>
      <c r="BK12" s="45"/>
      <c r="BL12" s="45"/>
      <c r="BM12" s="45"/>
      <c r="BN12" s="45"/>
      <c r="BO12" s="45"/>
      <c r="BP12" s="45">
        <v>4.607211396795393E-2</v>
      </c>
      <c r="BQ12" s="45">
        <v>0.34288162713954889</v>
      </c>
      <c r="BR12" s="45"/>
      <c r="BS12" s="45"/>
      <c r="BT12" s="45">
        <v>105.30745551774227</v>
      </c>
      <c r="BU12" s="45"/>
      <c r="BV12" s="45">
        <v>32019.096173701942</v>
      </c>
      <c r="BW12" s="45">
        <v>21.239411429438242</v>
      </c>
      <c r="BX12" s="45"/>
      <c r="BY12" s="45">
        <v>63916.690155583732</v>
      </c>
      <c r="BZ12" s="45">
        <v>3180.2765197285016</v>
      </c>
      <c r="CA12" s="45">
        <v>6.8912842095017055</v>
      </c>
      <c r="CB12" s="45">
        <v>113.27250699791934</v>
      </c>
      <c r="CC12" s="45">
        <v>228243.82450472348</v>
      </c>
      <c r="CD12" s="45">
        <v>83.073131650550877</v>
      </c>
      <c r="CE12" s="45">
        <v>110807.25659371968</v>
      </c>
      <c r="CF12" s="45">
        <v>5799.344238595645</v>
      </c>
      <c r="CG12" s="45">
        <v>1616.2957433126346</v>
      </c>
      <c r="CH12" s="45">
        <v>162.24407568331776</v>
      </c>
      <c r="CI12" s="45">
        <v>127.14173316142123</v>
      </c>
      <c r="CJ12" s="45">
        <v>23599.233372544302</v>
      </c>
      <c r="CK12" s="45"/>
      <c r="CL12" s="45"/>
      <c r="CM12" s="45"/>
      <c r="CN12" s="45"/>
      <c r="CO12" s="45"/>
      <c r="CP12" s="45">
        <v>328519.42543606652</v>
      </c>
      <c r="CQ12" s="45"/>
      <c r="CR12" s="45"/>
      <c r="CS12" s="45"/>
      <c r="CT12" s="45"/>
      <c r="CU12" s="45"/>
      <c r="CV12" s="45"/>
      <c r="CW12" s="45"/>
      <c r="CX12" s="45"/>
      <c r="CY12" s="45"/>
      <c r="CZ12" s="45">
        <v>13.312806951312878</v>
      </c>
      <c r="DA12" s="45">
        <v>1.1538945764808961</v>
      </c>
      <c r="DB12" s="45"/>
      <c r="DC12" s="45"/>
      <c r="DD12" s="45">
        <v>23787159.256588072</v>
      </c>
      <c r="DE12" s="45"/>
      <c r="DF12" s="45">
        <v>110567424</v>
      </c>
      <c r="DG12" s="45">
        <v>16798542.468793344</v>
      </c>
      <c r="DH12" s="45"/>
      <c r="DI12" s="45">
        <v>1458702185.4535367</v>
      </c>
      <c r="DJ12" s="45">
        <v>118653950.57975034</v>
      </c>
      <c r="DK12" s="45">
        <v>72273357.581137314</v>
      </c>
      <c r="DL12" s="45">
        <v>231921280.53259361</v>
      </c>
      <c r="DM12" s="45">
        <v>466628937.49791956</v>
      </c>
      <c r="DN12" s="45">
        <v>47369961.631067961</v>
      </c>
      <c r="DO12" s="45">
        <v>168134352.06657422</v>
      </c>
      <c r="DP12" s="45">
        <v>99399796.46047157</v>
      </c>
      <c r="DQ12" s="45">
        <v>93460908.91539529</v>
      </c>
      <c r="DR12" s="45">
        <v>109235991.07905686</v>
      </c>
      <c r="DS12" s="45">
        <v>20488027.25104022</v>
      </c>
      <c r="DT12" s="45">
        <v>309431344.76190478</v>
      </c>
      <c r="DU12" s="45"/>
      <c r="DV12" s="45"/>
      <c r="DW12" s="45"/>
      <c r="DX12" s="45"/>
      <c r="DY12" s="45"/>
      <c r="DZ12" s="45">
        <v>155927891.43966714</v>
      </c>
      <c r="EA12" s="45"/>
      <c r="EB12" s="45"/>
      <c r="EC12" s="45"/>
      <c r="ED12" s="45"/>
      <c r="EE12" s="45"/>
      <c r="EF12" s="45"/>
      <c r="EG12" s="45"/>
      <c r="EH12" s="45"/>
      <c r="EI12" s="45"/>
      <c r="EJ12" s="45">
        <v>63546661.991678223</v>
      </c>
      <c r="EK12" s="45">
        <v>23681151.822468795</v>
      </c>
      <c r="EL12" s="45">
        <v>6.5140940000673107</v>
      </c>
      <c r="EM12" s="45">
        <v>17.381150285053366</v>
      </c>
      <c r="EN12" s="45">
        <v>10.866956118709256</v>
      </c>
      <c r="EO12" s="45"/>
      <c r="EP12" s="45"/>
      <c r="EQ12" s="45"/>
    </row>
    <row r="13" spans="1:147" ht="15" customHeight="1" x14ac:dyDescent="0.25">
      <c r="A13" s="38" t="s">
        <v>234</v>
      </c>
      <c r="B13" s="99" t="s">
        <v>858</v>
      </c>
      <c r="C13" s="11" t="s">
        <v>455</v>
      </c>
      <c r="D13" s="13" t="s">
        <v>51</v>
      </c>
      <c r="E13" s="13" t="s">
        <v>222</v>
      </c>
      <c r="F13" s="118" t="s">
        <v>196</v>
      </c>
      <c r="G13" s="118"/>
      <c r="H13" s="118"/>
      <c r="I13" s="23"/>
      <c r="J13" s="53" t="s">
        <v>233</v>
      </c>
      <c r="K13" s="45"/>
      <c r="L13" s="45"/>
      <c r="M13" s="45"/>
      <c r="N13" s="45"/>
      <c r="O13" s="45"/>
      <c r="P13" s="45"/>
      <c r="Q13" s="45"/>
      <c r="R13" s="45"/>
      <c r="S13" s="45"/>
      <c r="T13" s="45"/>
      <c r="U13" s="45"/>
      <c r="V13" s="45"/>
      <c r="W13" s="45"/>
      <c r="X13" s="45"/>
      <c r="Y13" s="45"/>
      <c r="Z13" s="45"/>
      <c r="AA13" s="45"/>
      <c r="AB13" s="45"/>
      <c r="AC13" s="45"/>
      <c r="AD13" s="45"/>
      <c r="AE13" s="45"/>
      <c r="AF13" s="45"/>
      <c r="AG13" s="45"/>
      <c r="AH13" s="45"/>
      <c r="AI13" s="45"/>
      <c r="AJ13" s="45"/>
      <c r="AK13" s="45"/>
      <c r="AL13" s="45"/>
      <c r="AM13" s="45"/>
      <c r="AN13" s="45"/>
      <c r="AO13" s="45"/>
      <c r="AP13" s="45"/>
      <c r="AQ13" s="45"/>
      <c r="AR13" s="45"/>
      <c r="AS13" s="45"/>
      <c r="AT13" s="45"/>
      <c r="AU13" s="45"/>
      <c r="AV13" s="45"/>
      <c r="AW13" s="45"/>
      <c r="AX13" s="45"/>
      <c r="AY13" s="45"/>
      <c r="AZ13" s="45"/>
      <c r="BA13" s="45"/>
      <c r="BB13" s="45"/>
      <c r="BC13" s="45"/>
      <c r="BD13" s="45"/>
      <c r="BE13" s="45"/>
      <c r="BF13" s="45"/>
      <c r="BG13" s="45"/>
      <c r="BH13" s="45"/>
      <c r="BI13" s="45"/>
      <c r="BJ13" s="45"/>
      <c r="BK13" s="45"/>
      <c r="BL13" s="45"/>
      <c r="BM13" s="45"/>
      <c r="BN13" s="45"/>
      <c r="BO13" s="45"/>
      <c r="BP13" s="45"/>
      <c r="BQ13" s="45"/>
      <c r="BR13" s="45"/>
      <c r="BS13" s="45"/>
      <c r="BT13" s="45"/>
      <c r="BU13" s="45"/>
      <c r="BV13" s="45"/>
      <c r="BW13" s="45"/>
      <c r="BX13" s="45"/>
      <c r="BY13" s="45"/>
      <c r="BZ13" s="45"/>
      <c r="CA13" s="45"/>
      <c r="CB13" s="45"/>
      <c r="CC13" s="45"/>
      <c r="CD13" s="45"/>
      <c r="CE13" s="45"/>
      <c r="CF13" s="45"/>
      <c r="CG13" s="45"/>
      <c r="CH13" s="45"/>
      <c r="CI13" s="45"/>
      <c r="CJ13" s="45"/>
      <c r="CK13" s="45"/>
      <c r="CL13" s="45"/>
      <c r="CM13" s="45"/>
      <c r="CN13" s="45"/>
      <c r="CO13" s="45"/>
      <c r="CP13" s="45"/>
      <c r="CQ13" s="45"/>
      <c r="CR13" s="45"/>
      <c r="CS13" s="45"/>
      <c r="CT13" s="45"/>
      <c r="CU13" s="45"/>
      <c r="CV13" s="45"/>
      <c r="CW13" s="45"/>
      <c r="CX13" s="45"/>
      <c r="CY13" s="45"/>
      <c r="CZ13" s="45"/>
      <c r="DA13" s="45"/>
      <c r="DB13" s="45"/>
      <c r="DC13" s="45"/>
      <c r="DD13" s="45"/>
      <c r="DE13" s="45"/>
      <c r="DF13" s="45"/>
      <c r="DG13" s="45"/>
      <c r="DH13" s="45"/>
      <c r="DI13" s="45"/>
      <c r="DJ13" s="45"/>
      <c r="DK13" s="45"/>
      <c r="DL13" s="45"/>
      <c r="DM13" s="45"/>
      <c r="DN13" s="45"/>
      <c r="DO13" s="45"/>
      <c r="DP13" s="45"/>
      <c r="DQ13" s="45"/>
      <c r="DR13" s="45"/>
      <c r="DS13" s="45"/>
      <c r="DT13" s="45"/>
      <c r="DU13" s="45"/>
      <c r="DV13" s="45"/>
      <c r="DW13" s="45"/>
      <c r="DX13" s="45"/>
      <c r="DY13" s="45"/>
      <c r="DZ13" s="45"/>
      <c r="EA13" s="45"/>
      <c r="EB13" s="45"/>
      <c r="EC13" s="45"/>
      <c r="ED13" s="45"/>
      <c r="EE13" s="45"/>
      <c r="EF13" s="45"/>
      <c r="EG13" s="45"/>
      <c r="EH13" s="45"/>
      <c r="EI13" s="45"/>
      <c r="EJ13" s="45"/>
      <c r="EK13" s="45"/>
      <c r="EL13" s="45"/>
      <c r="EM13" s="45"/>
      <c r="EN13" s="45"/>
      <c r="EO13" s="45"/>
      <c r="EP13" s="45"/>
      <c r="EQ13" s="45"/>
    </row>
    <row r="14" spans="1:147" ht="15" customHeight="1" x14ac:dyDescent="0.25">
      <c r="A14" s="38" t="s">
        <v>456</v>
      </c>
      <c r="B14" s="99" t="s">
        <v>867</v>
      </c>
      <c r="C14" s="11" t="s">
        <v>457</v>
      </c>
      <c r="D14" s="13" t="s">
        <v>533</v>
      </c>
      <c r="E14" s="13" t="s">
        <v>222</v>
      </c>
      <c r="F14" s="118" t="s">
        <v>48</v>
      </c>
      <c r="G14" s="118"/>
      <c r="H14" s="118"/>
      <c r="I14" s="23"/>
      <c r="J14" s="53" t="s">
        <v>233</v>
      </c>
      <c r="K14" s="45">
        <v>3183.3377926421404</v>
      </c>
      <c r="L14" s="45">
        <v>7614.7271418055298</v>
      </c>
      <c r="M14" s="45">
        <v>329.00632652256303</v>
      </c>
      <c r="N14" s="45"/>
      <c r="O14" s="45"/>
      <c r="P14" s="45"/>
      <c r="Q14" s="45">
        <v>5.4232898367056759</v>
      </c>
      <c r="R14" s="45">
        <v>551.64073059553209</v>
      </c>
      <c r="S14" s="45"/>
      <c r="T14" s="45"/>
      <c r="U14" s="45">
        <v>107853.70928037846</v>
      </c>
      <c r="V14" s="45"/>
      <c r="W14" s="45"/>
      <c r="X14" s="45"/>
      <c r="Y14" s="45"/>
      <c r="Z14" s="45"/>
      <c r="AA14" s="45">
        <v>22978.389095135917</v>
      </c>
      <c r="AB14" s="45"/>
      <c r="AC14" s="45"/>
      <c r="AD14" s="45"/>
      <c r="AE14" s="45">
        <v>98.275193399226112</v>
      </c>
      <c r="AF14" s="45">
        <v>46578.931409756551</v>
      </c>
      <c r="AG14" s="45">
        <v>20350.044406085239</v>
      </c>
      <c r="AH14" s="45">
        <v>2.5191709544446863</v>
      </c>
      <c r="AI14" s="45"/>
      <c r="AJ14" s="45">
        <v>0.15415758854286496</v>
      </c>
      <c r="AK14" s="45"/>
      <c r="AL14" s="45">
        <v>3.7405853418266557</v>
      </c>
      <c r="AM14" s="45">
        <v>0.174858431399743</v>
      </c>
      <c r="AN14" s="45"/>
      <c r="AO14" s="45">
        <v>13.106323098722157</v>
      </c>
      <c r="AP14" s="45">
        <v>3.8963081051573796</v>
      </c>
      <c r="AQ14" s="45">
        <v>0.23659945811950328</v>
      </c>
      <c r="AR14" s="45">
        <v>0.89719263778965919</v>
      </c>
      <c r="AS14" s="45">
        <v>15.288636006498548</v>
      </c>
      <c r="AT14" s="45">
        <v>0.24358050805839465</v>
      </c>
      <c r="AU14" s="45">
        <v>1.8421298597642062</v>
      </c>
      <c r="AV14" s="45">
        <v>0.2601502202326913</v>
      </c>
      <c r="AW14" s="45">
        <v>5.6544085458997686E-3</v>
      </c>
      <c r="AX14" s="45">
        <v>1.1201017708009311</v>
      </c>
      <c r="AY14" s="45">
        <v>4.6158064657300144E-2</v>
      </c>
      <c r="AZ14" s="45"/>
      <c r="BA14" s="45"/>
      <c r="BB14" s="45"/>
      <c r="BC14" s="45"/>
      <c r="BD14" s="45"/>
      <c r="BE14" s="45"/>
      <c r="BF14" s="45"/>
      <c r="BG14" s="45"/>
      <c r="BH14" s="45"/>
      <c r="BI14" s="45"/>
      <c r="BJ14" s="45"/>
      <c r="BK14" s="45"/>
      <c r="BL14" s="45"/>
      <c r="BM14" s="45"/>
      <c r="BN14" s="45"/>
      <c r="BO14" s="45"/>
      <c r="BP14" s="45">
        <v>0.12065893469424685</v>
      </c>
      <c r="BQ14" s="45">
        <v>0.99894139795272563</v>
      </c>
      <c r="BR14" s="45">
        <v>47066.091146817926</v>
      </c>
      <c r="BS14" s="45"/>
      <c r="BT14" s="45">
        <v>102.52467257235114</v>
      </c>
      <c r="BU14" s="45"/>
      <c r="BV14" s="45">
        <v>27912.23549685008</v>
      </c>
      <c r="BW14" s="45">
        <v>163.6809780669164</v>
      </c>
      <c r="BX14" s="45"/>
      <c r="BY14" s="45">
        <v>32895.18879155966</v>
      </c>
      <c r="BZ14" s="45">
        <v>79274.438865675751</v>
      </c>
      <c r="CA14" s="45">
        <v>7.2406042122057217</v>
      </c>
      <c r="CB14" s="45">
        <v>9680.3738570880068</v>
      </c>
      <c r="CC14" s="45">
        <v>296037.43382847309</v>
      </c>
      <c r="CD14" s="45">
        <v>21597.613829014059</v>
      </c>
      <c r="CE14" s="45">
        <v>130307.36757571583</v>
      </c>
      <c r="CF14" s="45">
        <v>7559.5117177120565</v>
      </c>
      <c r="CG14" s="45">
        <v>0.16841988652051712</v>
      </c>
      <c r="CH14" s="45">
        <v>2848.6079586000096</v>
      </c>
      <c r="CI14" s="45">
        <v>142.73917978111868</v>
      </c>
      <c r="CJ14" s="45"/>
      <c r="CK14" s="45"/>
      <c r="CL14" s="45"/>
      <c r="CM14" s="45"/>
      <c r="CN14" s="45"/>
      <c r="CO14" s="45"/>
      <c r="CP14" s="45"/>
      <c r="CQ14" s="45"/>
      <c r="CR14" s="45"/>
      <c r="CS14" s="45"/>
      <c r="CT14" s="45"/>
      <c r="CU14" s="45"/>
      <c r="CV14" s="45"/>
      <c r="CW14" s="45"/>
      <c r="CX14" s="45"/>
      <c r="CY14" s="45"/>
      <c r="CZ14" s="45">
        <v>13.347223871693833</v>
      </c>
      <c r="DA14" s="45">
        <v>15.008430686684481</v>
      </c>
      <c r="DB14" s="45">
        <v>638540067.48983359</v>
      </c>
      <c r="DC14" s="45"/>
      <c r="DD14" s="45">
        <v>22928740.71403813</v>
      </c>
      <c r="DE14" s="45"/>
      <c r="DF14" s="45">
        <v>176759861.89473686</v>
      </c>
      <c r="DG14" s="45">
        <v>28195350.260869566</v>
      </c>
      <c r="DH14" s="45"/>
      <c r="DI14" s="45">
        <v>1424912025.9580419</v>
      </c>
      <c r="DJ14" s="45">
        <v>164139728.72473869</v>
      </c>
      <c r="DK14" s="45">
        <v>70706555.52447553</v>
      </c>
      <c r="DL14" s="45">
        <v>268490286.54545456</v>
      </c>
      <c r="DM14" s="45">
        <v>396161736.34782606</v>
      </c>
      <c r="DN14" s="45">
        <v>81414662.168674693</v>
      </c>
      <c r="DO14" s="45">
        <v>191783913.0877797</v>
      </c>
      <c r="DP14" s="45">
        <v>92188378.405594409</v>
      </c>
      <c r="DQ14" s="45">
        <v>87858211.804195806</v>
      </c>
      <c r="DR14" s="45">
        <v>121413510.478185</v>
      </c>
      <c r="DS14" s="45">
        <v>22602138.969899666</v>
      </c>
      <c r="DT14" s="45"/>
      <c r="DU14" s="45"/>
      <c r="DV14" s="45"/>
      <c r="DW14" s="45"/>
      <c r="DX14" s="45"/>
      <c r="DY14" s="45"/>
      <c r="DZ14" s="45"/>
      <c r="EA14" s="45"/>
      <c r="EB14" s="45"/>
      <c r="EC14" s="45"/>
      <c r="ED14" s="45"/>
      <c r="EE14" s="45"/>
      <c r="EF14" s="45"/>
      <c r="EG14" s="45"/>
      <c r="EH14" s="45"/>
      <c r="EI14" s="45"/>
      <c r="EJ14" s="45">
        <v>64126622.896551721</v>
      </c>
      <c r="EK14" s="45">
        <v>26857437.752508361</v>
      </c>
      <c r="EL14" s="45">
        <v>10.415490758396423</v>
      </c>
      <c r="EM14" s="45">
        <v>20.107941296066979</v>
      </c>
      <c r="EN14" s="45">
        <v>9.3578246877475504</v>
      </c>
      <c r="EO14" s="45"/>
      <c r="EP14" s="45"/>
      <c r="EQ14" s="45"/>
    </row>
    <row r="15" spans="1:147" ht="15" customHeight="1" x14ac:dyDescent="0.25">
      <c r="A15" s="38" t="s">
        <v>238</v>
      </c>
      <c r="B15" s="99" t="s">
        <v>868</v>
      </c>
      <c r="C15" s="11" t="s">
        <v>458</v>
      </c>
      <c r="D15" s="13" t="s">
        <v>51</v>
      </c>
      <c r="E15" s="13" t="s">
        <v>222</v>
      </c>
      <c r="F15" s="118" t="s">
        <v>47</v>
      </c>
      <c r="G15" s="118"/>
      <c r="H15" s="118"/>
      <c r="I15" s="23"/>
      <c r="J15" s="53" t="s">
        <v>233</v>
      </c>
      <c r="K15" s="45">
        <v>3716.6754507628293</v>
      </c>
      <c r="L15" s="45">
        <v>3349.4065793624218</v>
      </c>
      <c r="M15" s="45">
        <v>76.848427384575487</v>
      </c>
      <c r="N15" s="45"/>
      <c r="O15" s="45"/>
      <c r="P15" s="45"/>
      <c r="Q15" s="45"/>
      <c r="R15" s="45">
        <v>3879.0911340541616</v>
      </c>
      <c r="S15" s="45"/>
      <c r="T15" s="45"/>
      <c r="U15" s="45">
        <v>7320.074622320014</v>
      </c>
      <c r="V15" s="45"/>
      <c r="W15" s="45"/>
      <c r="X15" s="45"/>
      <c r="Y15" s="45"/>
      <c r="Z15" s="45"/>
      <c r="AA15" s="45"/>
      <c r="AB15" s="45"/>
      <c r="AC15" s="45"/>
      <c r="AD15" s="45"/>
      <c r="AE15" s="45">
        <v>97.957166252833687</v>
      </c>
      <c r="AF15" s="45">
        <v>16292.616831792242</v>
      </c>
      <c r="AG15" s="45">
        <v>15640.368627644048</v>
      </c>
      <c r="AH15" s="45"/>
      <c r="AI15" s="45"/>
      <c r="AJ15" s="45">
        <v>0.22547296749887494</v>
      </c>
      <c r="AK15" s="45"/>
      <c r="AL15" s="45"/>
      <c r="AM15" s="45">
        <v>0.71614968454148031</v>
      </c>
      <c r="AN15" s="45"/>
      <c r="AO15" s="45">
        <v>0.84266516617717346</v>
      </c>
      <c r="AP15" s="45">
        <v>2.488289554077831E-2</v>
      </c>
      <c r="AQ15" s="45"/>
      <c r="AR15" s="45"/>
      <c r="AS15" s="45">
        <v>4.2980336570603352</v>
      </c>
      <c r="AT15" s="45">
        <v>2.445010681690615E-2</v>
      </c>
      <c r="AU15" s="45">
        <v>0.16275221657708785</v>
      </c>
      <c r="AV15" s="45">
        <v>7.3640125306724036E-2</v>
      </c>
      <c r="AW15" s="45">
        <v>4.2681483858719085E-3</v>
      </c>
      <c r="AX15" s="45">
        <v>0.26960525288074288</v>
      </c>
      <c r="AY15" s="45">
        <v>3.5733474719789972E-2</v>
      </c>
      <c r="AZ15" s="45"/>
      <c r="BA15" s="45"/>
      <c r="BB15" s="45"/>
      <c r="BC15" s="45"/>
      <c r="BD15" s="45"/>
      <c r="BE15" s="45"/>
      <c r="BF15" s="45"/>
      <c r="BG15" s="45"/>
      <c r="BH15" s="45"/>
      <c r="BI15" s="45"/>
      <c r="BJ15" s="45"/>
      <c r="BK15" s="45"/>
      <c r="BL15" s="45"/>
      <c r="BM15" s="45"/>
      <c r="BN15" s="45"/>
      <c r="BO15" s="45"/>
      <c r="BP15" s="45"/>
      <c r="BQ15" s="45">
        <v>0.43048263126131159</v>
      </c>
      <c r="BR15" s="45"/>
      <c r="BS15" s="45"/>
      <c r="BT15" s="45">
        <v>105.26679107535762</v>
      </c>
      <c r="BU15" s="45"/>
      <c r="BV15" s="45"/>
      <c r="BW15" s="45">
        <v>53.67244255554462</v>
      </c>
      <c r="BX15" s="45"/>
      <c r="BY15" s="45">
        <v>5610.6253061871985</v>
      </c>
      <c r="BZ15" s="45">
        <v>427.19354974366638</v>
      </c>
      <c r="CA15" s="45"/>
      <c r="CB15" s="45"/>
      <c r="CC15" s="45">
        <v>117676.43228964298</v>
      </c>
      <c r="CD15" s="45">
        <v>92.429201249319888</v>
      </c>
      <c r="CE15" s="45">
        <v>6218.2925094916964</v>
      </c>
      <c r="CF15" s="45">
        <v>5077.6434234976914</v>
      </c>
      <c r="CG15" s="45">
        <v>6.2211579976221724E-2</v>
      </c>
      <c r="CH15" s="45">
        <v>187.29675162497543</v>
      </c>
      <c r="CI15" s="45">
        <v>133.57271045232406</v>
      </c>
      <c r="CJ15" s="45"/>
      <c r="CK15" s="45"/>
      <c r="CL15" s="45"/>
      <c r="CM15" s="45"/>
      <c r="CN15" s="45"/>
      <c r="CO15" s="45"/>
      <c r="CP15" s="45"/>
      <c r="CQ15" s="45"/>
      <c r="CR15" s="45"/>
      <c r="CS15" s="45"/>
      <c r="CT15" s="45"/>
      <c r="CU15" s="45"/>
      <c r="CV15" s="45"/>
      <c r="CW15" s="45"/>
      <c r="CX15" s="45"/>
      <c r="CY15" s="45"/>
      <c r="CZ15" s="45"/>
      <c r="DA15" s="45">
        <v>13.450185259406853</v>
      </c>
      <c r="DB15" s="45"/>
      <c r="DC15" s="45"/>
      <c r="DD15" s="45">
        <v>28209623.522884883</v>
      </c>
      <c r="DE15" s="45"/>
      <c r="DF15" s="45"/>
      <c r="DG15" s="45">
        <v>64598356.859916784</v>
      </c>
      <c r="DH15" s="45"/>
      <c r="DI15" s="45">
        <v>980256645.85852981</v>
      </c>
      <c r="DJ15" s="45">
        <v>125365374.40221915</v>
      </c>
      <c r="DK15" s="45"/>
      <c r="DL15" s="45"/>
      <c r="DM15" s="45">
        <v>380163428.48266298</v>
      </c>
      <c r="DN15" s="45">
        <v>45725607.944521494</v>
      </c>
      <c r="DO15" s="45">
        <v>114288120.1886269</v>
      </c>
      <c r="DP15" s="45">
        <v>100862062.77947295</v>
      </c>
      <c r="DQ15" s="45">
        <v>97469478.346740633</v>
      </c>
      <c r="DR15" s="45">
        <v>109372795.20665742</v>
      </c>
      <c r="DS15" s="45">
        <v>24484160.976421636</v>
      </c>
      <c r="DT15" s="45"/>
      <c r="DU15" s="45"/>
      <c r="DV15" s="45"/>
      <c r="DW15" s="45"/>
      <c r="DX15" s="45"/>
      <c r="DY15" s="45"/>
      <c r="DZ15" s="45"/>
      <c r="EA15" s="45"/>
      <c r="EB15" s="45"/>
      <c r="EC15" s="45"/>
      <c r="ED15" s="45"/>
      <c r="EE15" s="45"/>
      <c r="EF15" s="45"/>
      <c r="EG15" s="45"/>
      <c r="EH15" s="45"/>
      <c r="EI15" s="45"/>
      <c r="EJ15" s="45"/>
      <c r="EK15" s="45">
        <v>29530126.202496532</v>
      </c>
      <c r="EL15" s="45">
        <v>1.1551265063419938</v>
      </c>
      <c r="EM15" s="45">
        <v>1.9545284928218081</v>
      </c>
      <c r="EN15" s="45">
        <v>0.79135791787253185</v>
      </c>
      <c r="EO15" s="45"/>
      <c r="EP15" s="45"/>
      <c r="EQ15" s="45"/>
    </row>
    <row r="16" spans="1:147" ht="15" customHeight="1" x14ac:dyDescent="0.25">
      <c r="A16" s="131" t="s">
        <v>459</v>
      </c>
      <c r="B16" s="130" t="s">
        <v>869</v>
      </c>
      <c r="C16" s="89" t="s">
        <v>460</v>
      </c>
      <c r="D16" s="90" t="s">
        <v>538</v>
      </c>
      <c r="E16" s="90" t="s">
        <v>222</v>
      </c>
      <c r="F16" s="119" t="s">
        <v>31</v>
      </c>
      <c r="G16" s="119"/>
      <c r="H16" s="119"/>
      <c r="I16" s="88"/>
      <c r="J16" s="93" t="s">
        <v>531</v>
      </c>
      <c r="K16" s="45"/>
      <c r="L16" s="45"/>
      <c r="M16" s="45"/>
      <c r="N16" s="45"/>
      <c r="O16" s="45"/>
      <c r="P16" s="45"/>
      <c r="Q16" s="45"/>
      <c r="R16" s="45"/>
      <c r="S16" s="45"/>
      <c r="T16" s="45"/>
      <c r="U16" s="45"/>
      <c r="V16" s="45"/>
      <c r="W16" s="45"/>
      <c r="X16" s="45"/>
      <c r="Y16" s="45"/>
      <c r="Z16" s="45"/>
      <c r="AA16" s="45"/>
      <c r="AB16" s="45"/>
      <c r="AC16" s="45"/>
      <c r="AD16" s="45"/>
      <c r="AE16" s="45"/>
      <c r="AF16" s="45"/>
      <c r="AG16" s="45"/>
      <c r="AH16" s="45"/>
      <c r="AI16" s="45"/>
      <c r="AJ16" s="45"/>
      <c r="AK16" s="45"/>
      <c r="AL16" s="45"/>
      <c r="AM16" s="45"/>
      <c r="AN16" s="45"/>
      <c r="AO16" s="45"/>
      <c r="AP16" s="45"/>
      <c r="AQ16" s="45"/>
      <c r="AR16" s="45"/>
      <c r="AS16" s="45"/>
      <c r="AT16" s="45"/>
      <c r="AU16" s="45"/>
      <c r="AV16" s="45"/>
      <c r="AW16" s="45"/>
      <c r="AX16" s="45"/>
      <c r="AY16" s="45"/>
      <c r="AZ16" s="45"/>
      <c r="BA16" s="45"/>
      <c r="BB16" s="45"/>
      <c r="BC16" s="45"/>
      <c r="BD16" s="45"/>
      <c r="BE16" s="45"/>
      <c r="BF16" s="45"/>
      <c r="BG16" s="45"/>
      <c r="BH16" s="45"/>
      <c r="BI16" s="45"/>
      <c r="BJ16" s="45"/>
      <c r="BK16" s="45"/>
      <c r="BL16" s="45"/>
      <c r="BM16" s="45"/>
      <c r="BN16" s="45"/>
      <c r="BO16" s="45"/>
      <c r="BP16" s="45"/>
      <c r="BQ16" s="45"/>
      <c r="BR16" s="45"/>
      <c r="BS16" s="45"/>
      <c r="BT16" s="45"/>
      <c r="BU16" s="45"/>
      <c r="BV16" s="45"/>
      <c r="BW16" s="45"/>
      <c r="BX16" s="45"/>
      <c r="BY16" s="45"/>
      <c r="BZ16" s="45"/>
      <c r="CA16" s="45"/>
      <c r="CB16" s="45"/>
      <c r="CC16" s="45"/>
      <c r="CD16" s="45"/>
      <c r="CE16" s="45"/>
      <c r="CF16" s="45"/>
      <c r="CG16" s="45"/>
      <c r="CH16" s="45"/>
      <c r="CI16" s="45"/>
      <c r="CJ16" s="45"/>
      <c r="CK16" s="45"/>
      <c r="CL16" s="45"/>
      <c r="CM16" s="45"/>
      <c r="CN16" s="45"/>
      <c r="CO16" s="45"/>
      <c r="CP16" s="45"/>
      <c r="CQ16" s="45"/>
      <c r="CR16" s="45"/>
      <c r="CS16" s="45"/>
      <c r="CT16" s="45"/>
      <c r="CU16" s="45"/>
      <c r="CV16" s="45"/>
      <c r="CW16" s="45"/>
      <c r="CX16" s="45"/>
      <c r="CY16" s="45"/>
      <c r="CZ16" s="45"/>
      <c r="DA16" s="45"/>
      <c r="DB16" s="45"/>
      <c r="DC16" s="45"/>
      <c r="DD16" s="45"/>
      <c r="DE16" s="45"/>
      <c r="DF16" s="45"/>
      <c r="DG16" s="45"/>
      <c r="DH16" s="45"/>
      <c r="DI16" s="45"/>
      <c r="DJ16" s="45"/>
      <c r="DK16" s="45"/>
      <c r="DL16" s="45"/>
      <c r="DM16" s="45"/>
      <c r="DN16" s="45"/>
      <c r="DO16" s="45"/>
      <c r="DP16" s="45"/>
      <c r="DQ16" s="45"/>
      <c r="DR16" s="45"/>
      <c r="DS16" s="45"/>
      <c r="DT16" s="45"/>
      <c r="DU16" s="45"/>
      <c r="DV16" s="45"/>
      <c r="DW16" s="45"/>
      <c r="DX16" s="45"/>
      <c r="DY16" s="45"/>
      <c r="DZ16" s="45"/>
      <c r="EA16" s="45"/>
      <c r="EB16" s="45"/>
      <c r="EC16" s="45"/>
      <c r="ED16" s="45"/>
      <c r="EE16" s="45"/>
      <c r="EF16" s="45"/>
      <c r="EG16" s="45"/>
      <c r="EH16" s="45"/>
      <c r="EI16" s="45"/>
      <c r="EJ16" s="45"/>
      <c r="EK16" s="45"/>
      <c r="EL16" s="45"/>
      <c r="EM16" s="45"/>
      <c r="EN16" s="45"/>
      <c r="EO16" s="45"/>
      <c r="EP16" s="45"/>
      <c r="EQ16" s="45"/>
    </row>
    <row r="17" spans="1:147" ht="15" customHeight="1" x14ac:dyDescent="0.25">
      <c r="A17" s="38" t="s">
        <v>461</v>
      </c>
      <c r="B17" s="99" t="s">
        <v>870</v>
      </c>
      <c r="C17" s="11" t="s">
        <v>462</v>
      </c>
      <c r="D17" s="13" t="s">
        <v>537</v>
      </c>
      <c r="E17" s="13" t="s">
        <v>222</v>
      </c>
      <c r="F17" s="118" t="s">
        <v>48</v>
      </c>
      <c r="G17" s="118"/>
      <c r="H17" s="118"/>
      <c r="I17" s="23"/>
      <c r="J17" s="53" t="s">
        <v>233</v>
      </c>
      <c r="K17" s="45">
        <v>4353.9264909847434</v>
      </c>
      <c r="L17" s="45">
        <v>10926.256984865213</v>
      </c>
      <c r="M17" s="45">
        <v>223.98455193472037</v>
      </c>
      <c r="N17" s="45"/>
      <c r="O17" s="45"/>
      <c r="P17" s="45"/>
      <c r="Q17" s="45">
        <v>5.7730288778202361</v>
      </c>
      <c r="R17" s="45"/>
      <c r="S17" s="45"/>
      <c r="T17" s="45"/>
      <c r="U17" s="45">
        <v>51501.463781537859</v>
      </c>
      <c r="V17" s="45"/>
      <c r="W17" s="45"/>
      <c r="X17" s="45"/>
      <c r="Y17" s="45"/>
      <c r="Z17" s="45"/>
      <c r="AA17" s="45"/>
      <c r="AB17" s="45"/>
      <c r="AC17" s="45"/>
      <c r="AD17" s="45"/>
      <c r="AE17" s="45">
        <v>98.490265628341959</v>
      </c>
      <c r="AF17" s="45">
        <v>34179.379835929911</v>
      </c>
      <c r="AG17" s="45">
        <v>20519.690579515467</v>
      </c>
      <c r="AH17" s="45">
        <v>15.628418350229948</v>
      </c>
      <c r="AI17" s="45"/>
      <c r="AJ17" s="45">
        <v>0.15660528247279362</v>
      </c>
      <c r="AK17" s="45"/>
      <c r="AL17" s="45">
        <v>3.5826509962176916</v>
      </c>
      <c r="AM17" s="45">
        <v>0.11402162587810453</v>
      </c>
      <c r="AN17" s="45"/>
      <c r="AO17" s="45">
        <v>17.003424829359695</v>
      </c>
      <c r="AP17" s="45">
        <v>0.48836462598688429</v>
      </c>
      <c r="AQ17" s="45">
        <v>0.2413998467179925</v>
      </c>
      <c r="AR17" s="45">
        <v>0.86569836179706239</v>
      </c>
      <c r="AS17" s="45">
        <v>14.746358073367016</v>
      </c>
      <c r="AT17" s="45">
        <v>5.6574264910229516E-2</v>
      </c>
      <c r="AU17" s="45">
        <v>2.1337998091980261</v>
      </c>
      <c r="AV17" s="45">
        <v>0.27075217073643237</v>
      </c>
      <c r="AW17" s="45"/>
      <c r="AX17" s="45">
        <v>0.90522228567132756</v>
      </c>
      <c r="AY17" s="45">
        <v>4.2681077716224564E-2</v>
      </c>
      <c r="AZ17" s="45"/>
      <c r="BA17" s="45"/>
      <c r="BB17" s="45"/>
      <c r="BC17" s="45"/>
      <c r="BD17" s="45"/>
      <c r="BE17" s="45"/>
      <c r="BF17" s="45"/>
      <c r="BG17" s="45"/>
      <c r="BH17" s="45"/>
      <c r="BI17" s="45"/>
      <c r="BJ17" s="45"/>
      <c r="BK17" s="45"/>
      <c r="BL17" s="45"/>
      <c r="BM17" s="45"/>
      <c r="BN17" s="45"/>
      <c r="BO17" s="45"/>
      <c r="BP17" s="45">
        <v>0.11458811195099955</v>
      </c>
      <c r="BQ17" s="45">
        <v>0.33738562777967518</v>
      </c>
      <c r="BR17" s="45">
        <v>519435.32680795819</v>
      </c>
      <c r="BS17" s="45"/>
      <c r="BT17" s="45">
        <v>81.887130774103142</v>
      </c>
      <c r="BU17" s="45"/>
      <c r="BV17" s="45">
        <v>14678.250685197261</v>
      </c>
      <c r="BW17" s="45">
        <v>22.934674306425809</v>
      </c>
      <c r="BX17" s="45"/>
      <c r="BY17" s="45">
        <v>86648.346958002308</v>
      </c>
      <c r="BZ17" s="45">
        <v>27543.815338266828</v>
      </c>
      <c r="CA17" s="45">
        <v>6.8890697117780064</v>
      </c>
      <c r="CB17" s="45">
        <v>5937.0844173015157</v>
      </c>
      <c r="CC17" s="45">
        <v>461201.93232031533</v>
      </c>
      <c r="CD17" s="45">
        <v>220.10736658608002</v>
      </c>
      <c r="CE17" s="45">
        <v>131159.14900751095</v>
      </c>
      <c r="CF17" s="45">
        <v>5638.6074275197425</v>
      </c>
      <c r="CG17" s="45"/>
      <c r="CH17" s="45">
        <v>45.315783116936288</v>
      </c>
      <c r="CI17" s="45">
        <v>127.20567336590321</v>
      </c>
      <c r="CJ17" s="45"/>
      <c r="CK17" s="45"/>
      <c r="CL17" s="45"/>
      <c r="CM17" s="45"/>
      <c r="CN17" s="45"/>
      <c r="CO17" s="45"/>
      <c r="CP17" s="45"/>
      <c r="CQ17" s="45"/>
      <c r="CR17" s="45"/>
      <c r="CS17" s="45"/>
      <c r="CT17" s="45"/>
      <c r="CU17" s="45"/>
      <c r="CV17" s="45"/>
      <c r="CW17" s="45"/>
      <c r="CX17" s="45"/>
      <c r="CY17" s="45"/>
      <c r="CZ17" s="45">
        <v>13.305730470131181</v>
      </c>
      <c r="DA17" s="45">
        <v>1.1409287165669817</v>
      </c>
      <c r="DB17" s="45">
        <v>364278390.15384614</v>
      </c>
      <c r="DC17" s="45"/>
      <c r="DD17" s="45">
        <v>22351053.936199721</v>
      </c>
      <c r="DE17" s="45">
        <v>484442112</v>
      </c>
      <c r="DF17" s="45">
        <v>96735384.835820898</v>
      </c>
      <c r="DG17" s="45">
        <v>19657584.554785021</v>
      </c>
      <c r="DH17" s="45"/>
      <c r="DI17" s="45">
        <v>1430718313.4535367</v>
      </c>
      <c r="DJ17" s="45">
        <v>174023814.92371705</v>
      </c>
      <c r="DK17" s="45">
        <v>69867426.263522878</v>
      </c>
      <c r="DL17" s="45">
        <v>222497526.41331485</v>
      </c>
      <c r="DM17" s="45">
        <v>391155848.34396672</v>
      </c>
      <c r="DN17" s="45">
        <v>49954077.470180303</v>
      </c>
      <c r="DO17" s="45">
        <v>142499016.2552011</v>
      </c>
      <c r="DP17" s="45">
        <v>90046515.128987521</v>
      </c>
      <c r="DQ17" s="45"/>
      <c r="DR17" s="45">
        <v>111735090.77392511</v>
      </c>
      <c r="DS17" s="45">
        <v>21991861.436893202</v>
      </c>
      <c r="DT17" s="45"/>
      <c r="DU17" s="45"/>
      <c r="DV17" s="45"/>
      <c r="DW17" s="45"/>
      <c r="DX17" s="45"/>
      <c r="DY17" s="45"/>
      <c r="DZ17" s="45"/>
      <c r="EA17" s="45"/>
      <c r="EB17" s="45"/>
      <c r="EC17" s="45"/>
      <c r="ED17" s="45"/>
      <c r="EE17" s="45"/>
      <c r="EF17" s="45"/>
      <c r="EG17" s="45"/>
      <c r="EH17" s="45"/>
      <c r="EI17" s="45"/>
      <c r="EJ17" s="45">
        <v>62343653.725381412</v>
      </c>
      <c r="EK17" s="45">
        <v>24571602.907073509</v>
      </c>
      <c r="EL17" s="45">
        <v>7.610376128817534</v>
      </c>
      <c r="EM17" s="45">
        <v>13.43444314374274</v>
      </c>
      <c r="EN17" s="45">
        <v>5.8222056201036381</v>
      </c>
      <c r="EO17" s="45"/>
      <c r="EP17" s="45"/>
      <c r="EQ17" s="45"/>
    </row>
    <row r="18" spans="1:147" ht="15" customHeight="1" x14ac:dyDescent="0.25">
      <c r="A18" s="38" t="s">
        <v>463</v>
      </c>
      <c r="B18" s="99" t="s">
        <v>550</v>
      </c>
      <c r="C18" s="11" t="s">
        <v>464</v>
      </c>
      <c r="D18" s="13" t="s">
        <v>537</v>
      </c>
      <c r="E18" s="13" t="s">
        <v>222</v>
      </c>
      <c r="F18" s="118" t="s">
        <v>48</v>
      </c>
      <c r="G18" s="118"/>
      <c r="H18" s="118"/>
      <c r="I18" s="23"/>
      <c r="J18" s="53" t="s">
        <v>233</v>
      </c>
      <c r="K18" s="45">
        <v>2728.4993065187241</v>
      </c>
      <c r="L18" s="45">
        <v>5933.6105237809552</v>
      </c>
      <c r="M18" s="45">
        <v>166.06342406007397</v>
      </c>
      <c r="N18" s="45"/>
      <c r="O18" s="45"/>
      <c r="P18" s="45"/>
      <c r="Q18" s="45">
        <v>4.0063124118017109E-2</v>
      </c>
      <c r="R18" s="47">
        <v>7086.9781044701931</v>
      </c>
      <c r="S18" s="45"/>
      <c r="T18" s="45"/>
      <c r="U18" s="45"/>
      <c r="V18" s="45"/>
      <c r="W18" s="45"/>
      <c r="X18" s="45"/>
      <c r="Y18" s="45"/>
      <c r="Z18" s="45"/>
      <c r="AA18" s="45">
        <v>14046.105104131237</v>
      </c>
      <c r="AB18" s="45"/>
      <c r="AC18" s="45"/>
      <c r="AD18" s="45"/>
      <c r="AE18" s="45">
        <v>98.894133221190472</v>
      </c>
      <c r="AF18" s="45">
        <v>48097.153880900711</v>
      </c>
      <c r="AG18" s="45">
        <v>16577.076075814213</v>
      </c>
      <c r="AH18" s="45">
        <v>0.51659037536500929</v>
      </c>
      <c r="AI18" s="45"/>
      <c r="AJ18" s="45">
        <v>0.13389735081372722</v>
      </c>
      <c r="AK18" s="45"/>
      <c r="AL18" s="45">
        <v>1.0358063232084918</v>
      </c>
      <c r="AM18" s="45">
        <v>0.67882723695933533</v>
      </c>
      <c r="AN18" s="45"/>
      <c r="AO18" s="45">
        <v>21.514893630240326</v>
      </c>
      <c r="AP18" s="45">
        <v>0.30388611403456006</v>
      </c>
      <c r="AQ18" s="45">
        <v>0.14923507329151597</v>
      </c>
      <c r="AR18" s="45">
        <v>0.66841691560308392</v>
      </c>
      <c r="AS18" s="45">
        <v>8.1929311986349269</v>
      </c>
      <c r="AT18" s="45">
        <v>7.8353850488335375E-2</v>
      </c>
      <c r="AU18" s="45">
        <v>0.7845199598313829</v>
      </c>
      <c r="AV18" s="45">
        <v>0.53561647955485869</v>
      </c>
      <c r="AW18" s="45">
        <v>1.98948901690604E-2</v>
      </c>
      <c r="AX18" s="45">
        <v>0.46651865643897716</v>
      </c>
      <c r="AY18" s="45">
        <v>2.7778453223488823E-2</v>
      </c>
      <c r="AZ18" s="45"/>
      <c r="BA18" s="45"/>
      <c r="BB18" s="45"/>
      <c r="BC18" s="45"/>
      <c r="BD18" s="45"/>
      <c r="BE18" s="45"/>
      <c r="BF18" s="45"/>
      <c r="BG18" s="45"/>
      <c r="BH18" s="45"/>
      <c r="BI18" s="45"/>
      <c r="BJ18" s="45"/>
      <c r="BK18" s="45"/>
      <c r="BL18" s="45"/>
      <c r="BM18" s="45"/>
      <c r="BN18" s="45"/>
      <c r="BO18" s="45"/>
      <c r="BP18" s="45">
        <v>9.426063256738608E-2</v>
      </c>
      <c r="BQ18" s="45">
        <v>1.0386478660683811</v>
      </c>
      <c r="BR18" s="45">
        <v>4218.7452699242849</v>
      </c>
      <c r="BS18" s="45"/>
      <c r="BT18" s="45">
        <v>73.103215532656378</v>
      </c>
      <c r="BU18" s="45"/>
      <c r="BV18" s="45">
        <v>0</v>
      </c>
      <c r="BW18" s="45">
        <v>129.31970658789137</v>
      </c>
      <c r="BX18" s="45"/>
      <c r="BY18" s="45">
        <v>37056.697370929709</v>
      </c>
      <c r="BZ18" s="45">
        <v>20500.565761697715</v>
      </c>
      <c r="CA18" s="45">
        <v>1235.4339840785976</v>
      </c>
      <c r="CB18" s="45">
        <v>1654.2471381533421</v>
      </c>
      <c r="CC18" s="45">
        <v>121929.26476407364</v>
      </c>
      <c r="CD18" s="45">
        <v>11478.302723799387</v>
      </c>
      <c r="CE18" s="45">
        <v>36751.76940999728</v>
      </c>
      <c r="CF18" s="45">
        <v>3891.9735426394659</v>
      </c>
      <c r="CG18" s="45">
        <v>22.342201197520541</v>
      </c>
      <c r="CH18" s="45">
        <v>23.49868850489964</v>
      </c>
      <c r="CI18" s="45">
        <v>120.54115342064766</v>
      </c>
      <c r="CJ18" s="45"/>
      <c r="CK18" s="45"/>
      <c r="CL18" s="45"/>
      <c r="CM18" s="45"/>
      <c r="CN18" s="45"/>
      <c r="CO18" s="45"/>
      <c r="CP18" s="45"/>
      <c r="CQ18" s="45"/>
      <c r="CR18" s="45"/>
      <c r="CS18" s="45"/>
      <c r="CT18" s="45"/>
      <c r="CU18" s="45"/>
      <c r="CV18" s="45"/>
      <c r="CW18" s="45"/>
      <c r="CX18" s="45"/>
      <c r="CY18" s="45"/>
      <c r="CZ18" s="45">
        <v>13.248217573539419</v>
      </c>
      <c r="DA18" s="45">
        <v>14.204594435393526</v>
      </c>
      <c r="DB18" s="45">
        <v>1430424321.7753122</v>
      </c>
      <c r="DC18" s="45"/>
      <c r="DD18" s="45">
        <v>26111403.49514563</v>
      </c>
      <c r="DE18" s="45"/>
      <c r="DF18" s="45">
        <v>148787609.03190014</v>
      </c>
      <c r="DG18" s="45">
        <v>79390467.195561722</v>
      </c>
      <c r="DH18" s="45"/>
      <c r="DI18" s="45">
        <v>2834679441.5755897</v>
      </c>
      <c r="DJ18" s="45">
        <v>252690130.9070735</v>
      </c>
      <c r="DK18" s="45">
        <v>114277360.37725382</v>
      </c>
      <c r="DL18" s="45">
        <v>308632145.66435504</v>
      </c>
      <c r="DM18" s="45">
        <v>377946793.71983355</v>
      </c>
      <c r="DN18" s="45">
        <v>69079062.723994449</v>
      </c>
      <c r="DO18" s="45">
        <v>194199773.55894589</v>
      </c>
      <c r="DP18" s="45">
        <v>97761135.134535372</v>
      </c>
      <c r="DQ18" s="45">
        <v>95711021.803051323</v>
      </c>
      <c r="DR18" s="45">
        <v>112087579.69486824</v>
      </c>
      <c r="DS18" s="45">
        <v>22406318.690707352</v>
      </c>
      <c r="DT18" s="45"/>
      <c r="DU18" s="45"/>
      <c r="DV18" s="45"/>
      <c r="DW18" s="45"/>
      <c r="DX18" s="45"/>
      <c r="DY18" s="45"/>
      <c r="DZ18" s="45"/>
      <c r="EA18" s="45"/>
      <c r="EB18" s="45"/>
      <c r="EC18" s="45"/>
      <c r="ED18" s="45"/>
      <c r="EE18" s="45"/>
      <c r="EF18" s="45"/>
      <c r="EG18" s="45"/>
      <c r="EH18" s="45"/>
      <c r="EI18" s="45"/>
      <c r="EJ18" s="45">
        <v>62696063.112343967</v>
      </c>
      <c r="EK18" s="45">
        <v>28498934.058252428</v>
      </c>
      <c r="EL18" s="45">
        <v>7.3391514373313598</v>
      </c>
      <c r="EM18" s="45">
        <v>11.845392868193269</v>
      </c>
      <c r="EN18" s="45">
        <v>4.5077779979664472</v>
      </c>
      <c r="EO18" s="45"/>
      <c r="EP18" s="45"/>
      <c r="EQ18" s="45"/>
    </row>
    <row r="19" spans="1:147" ht="15" customHeight="1" x14ac:dyDescent="0.25">
      <c r="A19" s="38" t="s">
        <v>220</v>
      </c>
      <c r="B19" s="99" t="s">
        <v>871</v>
      </c>
      <c r="C19" s="11" t="s">
        <v>465</v>
      </c>
      <c r="D19" s="13" t="s">
        <v>532</v>
      </c>
      <c r="E19" s="13" t="s">
        <v>222</v>
      </c>
      <c r="F19" s="118" t="s">
        <v>48</v>
      </c>
      <c r="G19" s="118"/>
      <c r="H19" s="118"/>
      <c r="I19" s="23"/>
      <c r="J19" s="53" t="s">
        <v>233</v>
      </c>
      <c r="K19" s="45">
        <v>5322.9514563106795</v>
      </c>
      <c r="L19" s="45">
        <v>3564.7189546516374</v>
      </c>
      <c r="M19" s="45">
        <v>63.42379878960714</v>
      </c>
      <c r="N19" s="45"/>
      <c r="O19" s="45"/>
      <c r="P19" s="45"/>
      <c r="Q19" s="45">
        <v>2.384464557827819</v>
      </c>
      <c r="R19" s="45"/>
      <c r="S19" s="45"/>
      <c r="T19" s="45"/>
      <c r="U19" s="45">
        <v>6445.9009433110332</v>
      </c>
      <c r="V19" s="45"/>
      <c r="W19" s="45"/>
      <c r="X19" s="45"/>
      <c r="Y19" s="45"/>
      <c r="Z19" s="45"/>
      <c r="AA19" s="45"/>
      <c r="AB19" s="45"/>
      <c r="AC19" s="45"/>
      <c r="AD19" s="45"/>
      <c r="AE19" s="45">
        <v>99.385679849916741</v>
      </c>
      <c r="AF19" s="45">
        <v>32315.533027806148</v>
      </c>
      <c r="AG19" s="45">
        <v>12898.456093524661</v>
      </c>
      <c r="AH19" s="45">
        <v>1.0447142724185008</v>
      </c>
      <c r="AI19" s="45"/>
      <c r="AJ19" s="45">
        <v>0.11465501220898558</v>
      </c>
      <c r="AK19" s="45">
        <v>0.41159531820405215</v>
      </c>
      <c r="AL19" s="45">
        <v>4.9209846731470543</v>
      </c>
      <c r="AM19" s="45">
        <v>8.738309986286337E-2</v>
      </c>
      <c r="AN19" s="45"/>
      <c r="AO19" s="45">
        <v>9.525930834131108</v>
      </c>
      <c r="AP19" s="45">
        <v>2.538757166202836E-2</v>
      </c>
      <c r="AQ19" s="45">
        <v>0.19220024832647098</v>
      </c>
      <c r="AR19" s="45">
        <v>0.7709807927497595</v>
      </c>
      <c r="AS19" s="45">
        <v>4.2004771390960025</v>
      </c>
      <c r="AT19" s="45">
        <v>4.4779943834325951E-2</v>
      </c>
      <c r="AU19" s="45">
        <v>0.14070194979501838</v>
      </c>
      <c r="AV19" s="45">
        <v>0.10257489549665179</v>
      </c>
      <c r="AW19" s="45"/>
      <c r="AX19" s="45">
        <v>0.27055917036940813</v>
      </c>
      <c r="AY19" s="45">
        <v>3.8123876463068314E-2</v>
      </c>
      <c r="AZ19" s="45"/>
      <c r="BA19" s="45"/>
      <c r="BB19" s="45"/>
      <c r="BC19" s="45"/>
      <c r="BD19" s="45"/>
      <c r="BE19" s="45"/>
      <c r="BF19" s="45"/>
      <c r="BG19" s="45"/>
      <c r="BH19" s="45"/>
      <c r="BI19" s="45"/>
      <c r="BJ19" s="45"/>
      <c r="BK19" s="45"/>
      <c r="BL19" s="45"/>
      <c r="BM19" s="45"/>
      <c r="BN19" s="45"/>
      <c r="BO19" s="45"/>
      <c r="BP19" s="45">
        <v>8.8904143719719997E-2</v>
      </c>
      <c r="BQ19" s="45">
        <v>0.26917658854433796</v>
      </c>
      <c r="BR19" s="45">
        <v>1060.9216431208949</v>
      </c>
      <c r="BS19" s="45"/>
      <c r="BT19" s="45">
        <v>93.557836317187508</v>
      </c>
      <c r="BU19" s="45">
        <v>31.426101499028007</v>
      </c>
      <c r="BV19" s="45">
        <v>0</v>
      </c>
      <c r="BW19" s="45">
        <v>18.547507022409501</v>
      </c>
      <c r="BX19" s="45"/>
      <c r="BY19" s="45">
        <v>11076.684827230018</v>
      </c>
      <c r="BZ19" s="45">
        <v>327.45068850186749</v>
      </c>
      <c r="CA19" s="45">
        <v>6.8909211979471161</v>
      </c>
      <c r="CB19" s="45">
        <v>12.653350416803061</v>
      </c>
      <c r="CC19" s="45">
        <v>168658.38525497325</v>
      </c>
      <c r="CD19" s="45">
        <v>121.09582671430279</v>
      </c>
      <c r="CE19" s="45">
        <v>5597.6142993432395</v>
      </c>
      <c r="CF19" s="45">
        <v>2378.3550031005866</v>
      </c>
      <c r="CG19" s="45"/>
      <c r="CH19" s="45">
        <v>26.766481018073829</v>
      </c>
      <c r="CI19" s="45">
        <v>127.19647070959492</v>
      </c>
      <c r="CJ19" s="45"/>
      <c r="CK19" s="45"/>
      <c r="CL19" s="45"/>
      <c r="CM19" s="45"/>
      <c r="CN19" s="45"/>
      <c r="CO19" s="45"/>
      <c r="CP19" s="45"/>
      <c r="CQ19" s="45"/>
      <c r="CR19" s="45"/>
      <c r="CS19" s="45"/>
      <c r="CT19" s="45"/>
      <c r="CU19" s="45"/>
      <c r="CV19" s="45"/>
      <c r="CW19" s="45"/>
      <c r="CX19" s="45"/>
      <c r="CY19" s="45"/>
      <c r="CZ19" s="45">
        <v>13.298350336202217</v>
      </c>
      <c r="DA19" s="45">
        <v>1.1410036040857827</v>
      </c>
      <c r="DB19" s="45">
        <v>690090932.72676837</v>
      </c>
      <c r="DC19" s="45"/>
      <c r="DD19" s="45">
        <v>25434023.944521498</v>
      </c>
      <c r="DE19" s="45">
        <v>402030200.0110957</v>
      </c>
      <c r="DF19" s="45">
        <v>822185359.09015262</v>
      </c>
      <c r="DG19" s="45">
        <v>24915127.212205272</v>
      </c>
      <c r="DH19" s="45"/>
      <c r="DI19" s="45">
        <v>1041167659.6726768</v>
      </c>
      <c r="DJ19" s="45">
        <v>179449384.47711512</v>
      </c>
      <c r="DK19" s="45">
        <v>76948762.629680991</v>
      </c>
      <c r="DL19" s="45">
        <v>206287166.13592234</v>
      </c>
      <c r="DM19" s="45">
        <v>382271556.17198336</v>
      </c>
      <c r="DN19" s="45">
        <v>44581125.325936198</v>
      </c>
      <c r="DO19" s="45">
        <v>107148053.65880722</v>
      </c>
      <c r="DP19" s="45">
        <v>101771431.58945909</v>
      </c>
      <c r="DQ19" s="45"/>
      <c r="DR19" s="45">
        <v>114133523.17337032</v>
      </c>
      <c r="DS19" s="45">
        <v>23173117.159500692</v>
      </c>
      <c r="DT19" s="45"/>
      <c r="DU19" s="45"/>
      <c r="DV19" s="45"/>
      <c r="DW19" s="45"/>
      <c r="DX19" s="45"/>
      <c r="DY19" s="45"/>
      <c r="DZ19" s="45"/>
      <c r="EA19" s="45"/>
      <c r="EB19" s="45"/>
      <c r="EC19" s="45"/>
      <c r="ED19" s="45"/>
      <c r="EE19" s="45"/>
      <c r="EF19" s="45"/>
      <c r="EG19" s="45"/>
      <c r="EH19" s="45"/>
      <c r="EI19" s="45"/>
      <c r="EJ19" s="45">
        <v>64120488.299583912</v>
      </c>
      <c r="EK19" s="45">
        <v>25653753.60887656</v>
      </c>
      <c r="EL19" s="45">
        <v>3.5406786200327045</v>
      </c>
      <c r="EM19" s="45">
        <v>5.971545515865964</v>
      </c>
      <c r="EN19" s="45">
        <v>2.4314204214913131</v>
      </c>
      <c r="EO19" s="45"/>
      <c r="EP19" s="45"/>
      <c r="EQ19" s="45"/>
    </row>
    <row r="20" spans="1:147" ht="15" customHeight="1" x14ac:dyDescent="0.25">
      <c r="A20" s="38" t="s">
        <v>466</v>
      </c>
      <c r="B20" s="99" t="s">
        <v>872</v>
      </c>
      <c r="C20" s="11" t="s">
        <v>467</v>
      </c>
      <c r="D20" s="13" t="s">
        <v>539</v>
      </c>
      <c r="E20" s="13" t="s">
        <v>222</v>
      </c>
      <c r="F20" s="118" t="s">
        <v>48</v>
      </c>
      <c r="G20" s="118"/>
      <c r="H20" s="118"/>
      <c r="I20" s="23"/>
      <c r="J20" s="53" t="s">
        <v>233</v>
      </c>
      <c r="K20" s="45">
        <v>4692.9542302357841</v>
      </c>
      <c r="L20" s="45">
        <v>3158.3448898846036</v>
      </c>
      <c r="M20" s="45">
        <v>101.14933134578128</v>
      </c>
      <c r="N20" s="45"/>
      <c r="O20" s="45"/>
      <c r="P20" s="45"/>
      <c r="Q20" s="45">
        <v>8.0593196921216706E-2</v>
      </c>
      <c r="R20" s="45">
        <v>5235.8519735694827</v>
      </c>
      <c r="S20" s="45"/>
      <c r="T20" s="45"/>
      <c r="U20" s="45">
        <v>6944.1675707969953</v>
      </c>
      <c r="V20" s="45"/>
      <c r="W20" s="45"/>
      <c r="X20" s="45"/>
      <c r="Y20" s="45"/>
      <c r="Z20" s="45"/>
      <c r="AA20" s="45"/>
      <c r="AB20" s="45"/>
      <c r="AC20" s="45"/>
      <c r="AD20" s="45"/>
      <c r="AE20" s="45">
        <v>99.184815921705962</v>
      </c>
      <c r="AF20" s="45">
        <v>34343.53553139577</v>
      </c>
      <c r="AG20" s="45">
        <v>15037.822020854086</v>
      </c>
      <c r="AH20" s="45">
        <v>0.76396747832735201</v>
      </c>
      <c r="AI20" s="45"/>
      <c r="AJ20" s="45">
        <v>0.1536478825628021</v>
      </c>
      <c r="AK20" s="45"/>
      <c r="AL20" s="45">
        <v>2.1259557266341389</v>
      </c>
      <c r="AM20" s="45">
        <v>0.87284713238919742</v>
      </c>
      <c r="AN20" s="45"/>
      <c r="AO20" s="45"/>
      <c r="AP20" s="45">
        <v>4.2031293493928507E-2</v>
      </c>
      <c r="AQ20" s="45">
        <v>0.25558569971119649</v>
      </c>
      <c r="AR20" s="45">
        <v>1.0036387460038869</v>
      </c>
      <c r="AS20" s="45">
        <v>10.323607832465351</v>
      </c>
      <c r="AT20" s="45">
        <v>2.7200140649731201E-2</v>
      </c>
      <c r="AU20" s="45">
        <v>0.10329547872046067</v>
      </c>
      <c r="AV20" s="45">
        <v>2.6186416775175827E-2</v>
      </c>
      <c r="AW20" s="45">
        <v>9.2599421876898413E-3</v>
      </c>
      <c r="AX20" s="45">
        <v>0.35214292448483753</v>
      </c>
      <c r="AY20" s="45">
        <v>3.6603328933030019E-2</v>
      </c>
      <c r="AZ20" s="45"/>
      <c r="BA20" s="45"/>
      <c r="BB20" s="45"/>
      <c r="BC20" s="45"/>
      <c r="BD20" s="45"/>
      <c r="BE20" s="45"/>
      <c r="BF20" s="45">
        <v>0.27409616753839239</v>
      </c>
      <c r="BG20" s="45"/>
      <c r="BH20" s="45"/>
      <c r="BI20" s="45"/>
      <c r="BJ20" s="45"/>
      <c r="BK20" s="45"/>
      <c r="BL20" s="45"/>
      <c r="BM20" s="45"/>
      <c r="BN20" s="45"/>
      <c r="BO20" s="45"/>
      <c r="BP20" s="45">
        <v>0.10047595670651212</v>
      </c>
      <c r="BQ20" s="45">
        <v>0.69917374608388805</v>
      </c>
      <c r="BR20" s="45">
        <v>1774.6736144555616</v>
      </c>
      <c r="BS20" s="45"/>
      <c r="BT20" s="45">
        <v>102.34722737716194</v>
      </c>
      <c r="BU20" s="45"/>
      <c r="BV20" s="45">
        <v>20.110146698989531</v>
      </c>
      <c r="BW20" s="45">
        <v>159.86694007276463</v>
      </c>
      <c r="BX20" s="45"/>
      <c r="BY20" s="45"/>
      <c r="BZ20" s="45">
        <v>315.37112558623033</v>
      </c>
      <c r="CA20" s="45">
        <v>6.8807357417075767</v>
      </c>
      <c r="CB20" s="45">
        <v>12.572725583429463</v>
      </c>
      <c r="CC20" s="45">
        <v>254975.06426559255</v>
      </c>
      <c r="CD20" s="45">
        <v>112.338977229739</v>
      </c>
      <c r="CE20" s="45">
        <v>1694.1549731914429</v>
      </c>
      <c r="CF20" s="45">
        <v>173.99821401004388</v>
      </c>
      <c r="CG20" s="45">
        <v>2.7028277535016119</v>
      </c>
      <c r="CH20" s="45">
        <v>26.872944379959215</v>
      </c>
      <c r="CI20" s="45">
        <v>127.33261107489064</v>
      </c>
      <c r="CJ20" s="45"/>
      <c r="CK20" s="45"/>
      <c r="CL20" s="45"/>
      <c r="CM20" s="45"/>
      <c r="CN20" s="45"/>
      <c r="CO20" s="45"/>
      <c r="CP20" s="45">
        <v>12245.45965215787</v>
      </c>
      <c r="CQ20" s="45"/>
      <c r="CR20" s="45"/>
      <c r="CS20" s="45"/>
      <c r="CT20" s="45"/>
      <c r="CU20" s="45"/>
      <c r="CV20" s="45"/>
      <c r="CW20" s="45"/>
      <c r="CX20" s="45"/>
      <c r="CY20" s="45"/>
      <c r="CZ20" s="45">
        <v>13.233266053816992</v>
      </c>
      <c r="DA20" s="45">
        <v>11.974533821632626</v>
      </c>
      <c r="DB20" s="45">
        <v>1096242668.8266296</v>
      </c>
      <c r="DC20" s="45"/>
      <c r="DD20" s="45">
        <v>23504398.91262136</v>
      </c>
      <c r="DE20" s="45"/>
      <c r="DF20" s="45">
        <v>205596669.15950069</v>
      </c>
      <c r="DG20" s="45">
        <v>89679170.396671295</v>
      </c>
      <c r="DH20" s="45"/>
      <c r="DI20" s="45"/>
      <c r="DJ20" s="45">
        <v>864148532.54923713</v>
      </c>
      <c r="DK20" s="45">
        <v>106855823.09015256</v>
      </c>
      <c r="DL20" s="45">
        <v>300531189.3481276</v>
      </c>
      <c r="DM20" s="45">
        <v>368928208.42163664</v>
      </c>
      <c r="DN20" s="45">
        <v>47155009.68654646</v>
      </c>
      <c r="DO20" s="45">
        <v>85790839.300970867</v>
      </c>
      <c r="DP20" s="45">
        <v>97119523.151178911</v>
      </c>
      <c r="DQ20" s="45">
        <v>93257006.513176143</v>
      </c>
      <c r="DR20" s="45">
        <v>117925862.43550624</v>
      </c>
      <c r="DS20" s="45">
        <v>22671638.368932039</v>
      </c>
      <c r="DT20" s="45"/>
      <c r="DU20" s="45"/>
      <c r="DV20" s="45"/>
      <c r="DW20" s="45"/>
      <c r="DX20" s="45"/>
      <c r="DY20" s="45"/>
      <c r="DZ20" s="45">
        <v>190650177.68654647</v>
      </c>
      <c r="EA20" s="45"/>
      <c r="EB20" s="45"/>
      <c r="EC20" s="45"/>
      <c r="ED20" s="45"/>
      <c r="EE20" s="45"/>
      <c r="EF20" s="45"/>
      <c r="EG20" s="45"/>
      <c r="EH20" s="45"/>
      <c r="EI20" s="45"/>
      <c r="EJ20" s="45">
        <v>63607482.762829401</v>
      </c>
      <c r="EK20" s="45">
        <v>27817725.514563106</v>
      </c>
      <c r="EL20" s="45">
        <v>4.0510336138981584</v>
      </c>
      <c r="EM20" s="45">
        <v>6.5574902220781279</v>
      </c>
      <c r="EN20" s="45">
        <v>2.5066828311368412</v>
      </c>
      <c r="EO20" s="45"/>
      <c r="EP20" s="45"/>
      <c r="EQ20" s="45"/>
    </row>
    <row r="21" spans="1:147" ht="15" customHeight="1" x14ac:dyDescent="0.25">
      <c r="A21" s="38" t="s">
        <v>468</v>
      </c>
      <c r="B21" s="99" t="s">
        <v>873</v>
      </c>
      <c r="C21" s="11" t="s">
        <v>469</v>
      </c>
      <c r="D21" s="13" t="s">
        <v>540</v>
      </c>
      <c r="E21" s="13" t="s">
        <v>222</v>
      </c>
      <c r="F21" s="118" t="s">
        <v>196</v>
      </c>
      <c r="G21" s="118"/>
      <c r="H21" s="118"/>
      <c r="I21" s="23"/>
      <c r="J21" s="53" t="s">
        <v>233</v>
      </c>
      <c r="K21" s="45">
        <v>15435.639389736478</v>
      </c>
      <c r="L21" s="45">
        <v>11246.096969764672</v>
      </c>
      <c r="M21" s="45">
        <v>752.4195186455737</v>
      </c>
      <c r="N21" s="45"/>
      <c r="O21" s="45"/>
      <c r="P21" s="45"/>
      <c r="Q21" s="45">
        <v>4.0238837081411544E-2</v>
      </c>
      <c r="R21" s="45">
        <v>10325.778013203353</v>
      </c>
      <c r="S21" s="45"/>
      <c r="T21" s="45"/>
      <c r="U21" s="45"/>
      <c r="V21" s="45">
        <v>18.442275439845719</v>
      </c>
      <c r="W21" s="45"/>
      <c r="X21" s="45"/>
      <c r="Y21" s="45"/>
      <c r="Z21" s="45"/>
      <c r="AA21" s="45">
        <v>21304.465244108189</v>
      </c>
      <c r="AB21" s="45"/>
      <c r="AC21" s="45"/>
      <c r="AD21" s="45"/>
      <c r="AE21" s="45">
        <v>98.274221769016293</v>
      </c>
      <c r="AF21" s="45">
        <v>17092.676577499813</v>
      </c>
      <c r="AG21" s="45">
        <v>18244.007358149389</v>
      </c>
      <c r="AH21" s="45"/>
      <c r="AI21" s="45"/>
      <c r="AJ21" s="45">
        <v>7.0962986093986422E-2</v>
      </c>
      <c r="AK21" s="45"/>
      <c r="AL21" s="45"/>
      <c r="AM21" s="45">
        <v>1.0042620899739398</v>
      </c>
      <c r="AN21" s="45"/>
      <c r="AO21" s="45"/>
      <c r="AP21" s="45">
        <v>6.3148627246126424E-2</v>
      </c>
      <c r="AQ21" s="45">
        <v>9.5558387597841923E-2</v>
      </c>
      <c r="AR21" s="45">
        <v>0.3365141287041199</v>
      </c>
      <c r="AS21" s="45">
        <v>11.217115512543518</v>
      </c>
      <c r="AT21" s="45">
        <v>9.5049439097268498E-2</v>
      </c>
      <c r="AU21" s="45">
        <v>0.54088227538399514</v>
      </c>
      <c r="AV21" s="45">
        <v>0.1830149392040174</v>
      </c>
      <c r="AW21" s="45"/>
      <c r="AX21" s="45">
        <v>0.24522477196187031</v>
      </c>
      <c r="AY21" s="45">
        <v>4.5570160881692259E-2</v>
      </c>
      <c r="AZ21" s="45"/>
      <c r="BA21" s="45"/>
      <c r="BB21" s="45"/>
      <c r="BC21" s="45"/>
      <c r="BD21" s="45"/>
      <c r="BE21" s="45"/>
      <c r="BF21" s="45"/>
      <c r="BG21" s="45"/>
      <c r="BH21" s="45"/>
      <c r="BI21" s="45"/>
      <c r="BJ21" s="45"/>
      <c r="BK21" s="45"/>
      <c r="BL21" s="45"/>
      <c r="BM21" s="45"/>
      <c r="BN21" s="45"/>
      <c r="BO21" s="45"/>
      <c r="BP21" s="45">
        <v>7.0674317166900272E-2</v>
      </c>
      <c r="BQ21" s="45">
        <v>0.42477050284888612</v>
      </c>
      <c r="BR21" s="45"/>
      <c r="BS21" s="45"/>
      <c r="BT21" s="45">
        <v>105.26679585053002</v>
      </c>
      <c r="BU21" s="45"/>
      <c r="BV21" s="45"/>
      <c r="BW21" s="45">
        <v>203.21401515896881</v>
      </c>
      <c r="BX21" s="45"/>
      <c r="BY21" s="45"/>
      <c r="BZ21" s="45">
        <v>3009.6835902596185</v>
      </c>
      <c r="CA21" s="45">
        <v>0</v>
      </c>
      <c r="CB21" s="45">
        <v>9.5386587076495402E-2</v>
      </c>
      <c r="CC21" s="45">
        <v>178558.3353913936</v>
      </c>
      <c r="CD21" s="45">
        <v>6204.4949741865175</v>
      </c>
      <c r="CE21" s="45">
        <v>9264.1167214108154</v>
      </c>
      <c r="CF21" s="45">
        <v>6576.2767068545654</v>
      </c>
      <c r="CG21" s="45"/>
      <c r="CH21" s="45">
        <v>25.787506982134605</v>
      </c>
      <c r="CI21" s="45">
        <v>120.60764470893751</v>
      </c>
      <c r="CJ21" s="45"/>
      <c r="CK21" s="45"/>
      <c r="CL21" s="45"/>
      <c r="CM21" s="45"/>
      <c r="CN21" s="45"/>
      <c r="CO21" s="45"/>
      <c r="CP21" s="45"/>
      <c r="CQ21" s="45"/>
      <c r="CR21" s="45"/>
      <c r="CS21" s="45"/>
      <c r="CT21" s="45"/>
      <c r="CU21" s="45"/>
      <c r="CV21" s="45"/>
      <c r="CW21" s="45"/>
      <c r="CX21" s="45"/>
      <c r="CY21" s="45"/>
      <c r="CZ21" s="45">
        <v>13.257148185475515</v>
      </c>
      <c r="DA21" s="45">
        <v>24.004812932179235</v>
      </c>
      <c r="DB21" s="45"/>
      <c r="DC21" s="45"/>
      <c r="DD21" s="45">
        <v>24211899.117891818</v>
      </c>
      <c r="DE21" s="45"/>
      <c r="DF21" s="45"/>
      <c r="DG21" s="45">
        <v>34428896.754507631</v>
      </c>
      <c r="DH21" s="45"/>
      <c r="DI21" s="45"/>
      <c r="DJ21" s="45">
        <v>594114699.184466</v>
      </c>
      <c r="DK21" s="45">
        <v>56150104.055478506</v>
      </c>
      <c r="DL21" s="45">
        <v>125762061.49237171</v>
      </c>
      <c r="DM21" s="45">
        <v>377979976.43273234</v>
      </c>
      <c r="DN21" s="45">
        <v>47920052.726768374</v>
      </c>
      <c r="DO21" s="45">
        <v>151444617.76421636</v>
      </c>
      <c r="DP21" s="45">
        <v>89920107.228848815</v>
      </c>
      <c r="DQ21" s="45"/>
      <c r="DR21" s="45">
        <v>105664943.75589459</v>
      </c>
      <c r="DS21" s="45">
        <v>21872071.900138695</v>
      </c>
      <c r="DT21" s="45"/>
      <c r="DU21" s="45"/>
      <c r="DV21" s="45"/>
      <c r="DW21" s="45"/>
      <c r="DX21" s="45"/>
      <c r="DY21" s="45"/>
      <c r="DZ21" s="45"/>
      <c r="EA21" s="45"/>
      <c r="EB21" s="45"/>
      <c r="EC21" s="45"/>
      <c r="ED21" s="45"/>
      <c r="EE21" s="45"/>
      <c r="EF21" s="45"/>
      <c r="EG21" s="45"/>
      <c r="EH21" s="45"/>
      <c r="EI21" s="45"/>
      <c r="EJ21" s="45">
        <v>64073353.054091543</v>
      </c>
      <c r="EK21" s="45">
        <v>27934401.864077669</v>
      </c>
      <c r="EL21" s="45">
        <v>9.9040967116385765</v>
      </c>
      <c r="EM21" s="45">
        <v>20.908862054721116</v>
      </c>
      <c r="EN21" s="45">
        <v>11.004496757241197</v>
      </c>
      <c r="EO21" s="45"/>
      <c r="EP21" s="45"/>
      <c r="EQ21" s="45"/>
    </row>
    <row r="22" spans="1:147" ht="15" customHeight="1" x14ac:dyDescent="0.25">
      <c r="A22" s="91" t="s">
        <v>470</v>
      </c>
      <c r="B22" s="130" t="s">
        <v>856</v>
      </c>
      <c r="C22" s="89" t="s">
        <v>469</v>
      </c>
      <c r="D22" s="90" t="s">
        <v>540</v>
      </c>
      <c r="E22" s="90" t="s">
        <v>222</v>
      </c>
      <c r="F22" s="119" t="s">
        <v>31</v>
      </c>
      <c r="G22" s="119"/>
      <c r="H22" s="119"/>
      <c r="I22" s="88"/>
      <c r="J22" s="93" t="s">
        <v>531</v>
      </c>
      <c r="K22" s="45"/>
      <c r="L22" s="45"/>
      <c r="M22" s="45"/>
      <c r="N22" s="45"/>
      <c r="O22" s="45"/>
      <c r="P22" s="45"/>
      <c r="Q22" s="45"/>
      <c r="R22" s="45"/>
      <c r="S22" s="45"/>
      <c r="T22" s="45"/>
      <c r="U22" s="45"/>
      <c r="V22" s="45"/>
      <c r="W22" s="45"/>
      <c r="X22" s="45"/>
      <c r="Y22" s="45"/>
      <c r="Z22" s="45"/>
      <c r="AA22" s="45"/>
      <c r="AB22" s="45"/>
      <c r="AC22" s="45"/>
      <c r="AD22" s="45"/>
      <c r="AE22" s="45"/>
      <c r="AF22" s="45"/>
      <c r="AG22" s="45"/>
      <c r="AH22" s="45"/>
      <c r="AI22" s="45"/>
      <c r="AJ22" s="45"/>
      <c r="AK22" s="45"/>
      <c r="AL22" s="45"/>
      <c r="AM22" s="45"/>
      <c r="AN22" s="45"/>
      <c r="AO22" s="45"/>
      <c r="AP22" s="45"/>
      <c r="AQ22" s="45"/>
      <c r="AR22" s="45"/>
      <c r="AS22" s="45"/>
      <c r="AT22" s="45"/>
      <c r="AU22" s="45"/>
      <c r="AV22" s="45"/>
      <c r="AW22" s="45"/>
      <c r="AX22" s="45"/>
      <c r="AY22" s="45"/>
      <c r="AZ22" s="45"/>
      <c r="BA22" s="45"/>
      <c r="BB22" s="45"/>
      <c r="BC22" s="45"/>
      <c r="BD22" s="45"/>
      <c r="BE22" s="45"/>
      <c r="BF22" s="45"/>
      <c r="BG22" s="45"/>
      <c r="BH22" s="45"/>
      <c r="BI22" s="45"/>
      <c r="BJ22" s="45"/>
      <c r="BK22" s="45"/>
      <c r="BL22" s="45"/>
      <c r="BM22" s="45"/>
      <c r="BN22" s="45"/>
      <c r="BO22" s="45"/>
      <c r="BP22" s="45"/>
      <c r="BQ22" s="45"/>
      <c r="BR22" s="45"/>
      <c r="BS22" s="45"/>
      <c r="BT22" s="45"/>
      <c r="BU22" s="45"/>
      <c r="BV22" s="45"/>
      <c r="BW22" s="45"/>
      <c r="BX22" s="45"/>
      <c r="BY22" s="45"/>
      <c r="BZ22" s="45"/>
      <c r="CA22" s="45"/>
      <c r="CB22" s="45"/>
      <c r="CC22" s="45"/>
      <c r="CD22" s="45"/>
      <c r="CE22" s="45"/>
      <c r="CF22" s="45"/>
      <c r="CG22" s="45"/>
      <c r="CH22" s="45"/>
      <c r="CI22" s="45"/>
      <c r="CJ22" s="45"/>
      <c r="CK22" s="45"/>
      <c r="CL22" s="45"/>
      <c r="CM22" s="45"/>
      <c r="CN22" s="45"/>
      <c r="CO22" s="45"/>
      <c r="CP22" s="45"/>
      <c r="CQ22" s="45"/>
      <c r="CR22" s="45"/>
      <c r="CS22" s="45"/>
      <c r="CT22" s="45"/>
      <c r="CU22" s="45"/>
      <c r="CV22" s="45"/>
      <c r="CW22" s="45"/>
      <c r="CX22" s="45"/>
      <c r="CY22" s="45"/>
      <c r="CZ22" s="45"/>
      <c r="DA22" s="45"/>
      <c r="DB22" s="45"/>
      <c r="DC22" s="45"/>
      <c r="DD22" s="45"/>
      <c r="DE22" s="45"/>
      <c r="DF22" s="45"/>
      <c r="DG22" s="45"/>
      <c r="DH22" s="45"/>
      <c r="DI22" s="45"/>
      <c r="DJ22" s="45"/>
      <c r="DK22" s="45"/>
      <c r="DL22" s="45"/>
      <c r="DM22" s="45"/>
      <c r="DN22" s="45"/>
      <c r="DO22" s="45"/>
      <c r="DP22" s="45"/>
      <c r="DQ22" s="45"/>
      <c r="DR22" s="45"/>
      <c r="DS22" s="45"/>
      <c r="DT22" s="45"/>
      <c r="DU22" s="45"/>
      <c r="DV22" s="45"/>
      <c r="DW22" s="45"/>
      <c r="DX22" s="45"/>
      <c r="DY22" s="45"/>
      <c r="DZ22" s="45"/>
      <c r="EA22" s="45"/>
      <c r="EB22" s="45"/>
      <c r="EC22" s="45"/>
      <c r="ED22" s="45"/>
      <c r="EE22" s="45"/>
      <c r="EF22" s="45"/>
      <c r="EG22" s="45"/>
      <c r="EH22" s="45"/>
      <c r="EI22" s="45"/>
      <c r="EJ22" s="45"/>
      <c r="EK22" s="45"/>
      <c r="EL22" s="45"/>
      <c r="EM22" s="45"/>
      <c r="EN22" s="45"/>
      <c r="EO22" s="45"/>
      <c r="EP22" s="45"/>
      <c r="EQ22" s="45"/>
    </row>
    <row r="23" spans="1:147" ht="15" customHeight="1" x14ac:dyDescent="0.25">
      <c r="A23" s="38" t="s">
        <v>471</v>
      </c>
      <c r="B23" s="99" t="s">
        <v>874</v>
      </c>
      <c r="C23" s="11" t="s">
        <v>472</v>
      </c>
      <c r="D23" s="13" t="s">
        <v>541</v>
      </c>
      <c r="E23" s="13" t="s">
        <v>222</v>
      </c>
      <c r="F23" s="118" t="s">
        <v>48</v>
      </c>
      <c r="G23" s="118"/>
      <c r="H23" s="118"/>
      <c r="I23" s="23"/>
      <c r="J23" s="53" t="s">
        <v>233</v>
      </c>
      <c r="K23" s="45">
        <v>3045.5263157894738</v>
      </c>
      <c r="L23" s="45">
        <v>12645.222369308587</v>
      </c>
      <c r="M23" s="45">
        <v>561.98942613178599</v>
      </c>
      <c r="N23" s="45"/>
      <c r="O23" s="45"/>
      <c r="P23" s="45"/>
      <c r="Q23" s="45">
        <v>1.7019357828770705</v>
      </c>
      <c r="R23" s="45">
        <v>64117.794070260818</v>
      </c>
      <c r="S23" s="45"/>
      <c r="T23" s="45"/>
      <c r="U23" s="45"/>
      <c r="V23" s="45"/>
      <c r="W23" s="45"/>
      <c r="X23" s="45"/>
      <c r="Y23" s="45"/>
      <c r="Z23" s="45"/>
      <c r="AA23" s="45">
        <v>76731.399877187185</v>
      </c>
      <c r="AB23" s="45"/>
      <c r="AC23" s="45"/>
      <c r="AD23" s="45"/>
      <c r="AE23" s="45">
        <v>98.088178370639554</v>
      </c>
      <c r="AF23" s="45">
        <v>55328.279583635696</v>
      </c>
      <c r="AG23" s="45">
        <v>26966.411031013085</v>
      </c>
      <c r="AH23" s="45">
        <v>8.9487160497338749</v>
      </c>
      <c r="AI23" s="45"/>
      <c r="AJ23" s="45">
        <v>3.6765788130952423E-2</v>
      </c>
      <c r="AK23" s="45"/>
      <c r="AL23" s="45"/>
      <c r="AM23" s="45">
        <v>2.8213358238952084</v>
      </c>
      <c r="AN23" s="45"/>
      <c r="AO23" s="45">
        <v>22.215455687932288</v>
      </c>
      <c r="AP23" s="45">
        <v>1.961963792839901</v>
      </c>
      <c r="AQ23" s="45">
        <v>1.5319198917117178E-2</v>
      </c>
      <c r="AR23" s="45">
        <v>0.97724021509490533</v>
      </c>
      <c r="AS23" s="45">
        <v>40.256940166990084</v>
      </c>
      <c r="AT23" s="45">
        <v>4.6291948773606567E-2</v>
      </c>
      <c r="AU23" s="45">
        <v>7.7485546484023491</v>
      </c>
      <c r="AV23" s="45">
        <v>0.12564632321998723</v>
      </c>
      <c r="AW23" s="45"/>
      <c r="AX23" s="45">
        <v>1.5453052494506756</v>
      </c>
      <c r="AY23" s="45">
        <v>3.1839491253089727E-2</v>
      </c>
      <c r="AZ23" s="45">
        <v>4.557306280675137</v>
      </c>
      <c r="BA23" s="45"/>
      <c r="BB23" s="45"/>
      <c r="BC23" s="45"/>
      <c r="BD23" s="45"/>
      <c r="BE23" s="45"/>
      <c r="BF23" s="45">
        <v>1.3348309228761983</v>
      </c>
      <c r="BG23" s="45"/>
      <c r="BH23" s="45"/>
      <c r="BI23" s="45"/>
      <c r="BJ23" s="45"/>
      <c r="BK23" s="45"/>
      <c r="BL23" s="45"/>
      <c r="BM23" s="45"/>
      <c r="BN23" s="45"/>
      <c r="BO23" s="45"/>
      <c r="BP23" s="45">
        <v>0.1164312004972349</v>
      </c>
      <c r="BQ23" s="45">
        <v>0.68580410632616984</v>
      </c>
      <c r="BR23" s="45">
        <v>4122.0515105770846</v>
      </c>
      <c r="BS23" s="45"/>
      <c r="BT23" s="45">
        <v>0</v>
      </c>
      <c r="BU23" s="45"/>
      <c r="BV23" s="45"/>
      <c r="BW23" s="45">
        <v>372.86492892511592</v>
      </c>
      <c r="BX23" s="45"/>
      <c r="BY23" s="45">
        <v>34725.463157381149</v>
      </c>
      <c r="BZ23" s="45">
        <v>15232.100001181534</v>
      </c>
      <c r="CA23" s="45">
        <v>92.803256640266596</v>
      </c>
      <c r="CB23" s="45">
        <v>9919.1611479162384</v>
      </c>
      <c r="CC23" s="45">
        <v>2452245.7783083338</v>
      </c>
      <c r="CD23" s="45">
        <v>93.192005007749003</v>
      </c>
      <c r="CE23" s="45">
        <v>436995.6202722796</v>
      </c>
      <c r="CF23" s="45">
        <v>3546.5366287626612</v>
      </c>
      <c r="CG23" s="45"/>
      <c r="CH23" s="45">
        <v>15.634961938994666</v>
      </c>
      <c r="CI23" s="45">
        <v>12.184862581213805</v>
      </c>
      <c r="CJ23" s="45">
        <v>18708.905774084156</v>
      </c>
      <c r="CK23" s="45"/>
      <c r="CL23" s="45"/>
      <c r="CM23" s="45"/>
      <c r="CN23" s="45"/>
      <c r="CO23" s="45"/>
      <c r="CP23" s="45">
        <v>44210.204623842437</v>
      </c>
      <c r="CQ23" s="45"/>
      <c r="CR23" s="45"/>
      <c r="CS23" s="45"/>
      <c r="CT23" s="45"/>
      <c r="CU23" s="45"/>
      <c r="CV23" s="45"/>
      <c r="CW23" s="45"/>
      <c r="CX23" s="45"/>
      <c r="CY23" s="45"/>
      <c r="CZ23" s="45">
        <v>13.267740224275212</v>
      </c>
      <c r="DA23" s="45">
        <v>11.376268705167046</v>
      </c>
      <c r="DB23" s="45">
        <v>586997077.33333337</v>
      </c>
      <c r="DC23" s="45"/>
      <c r="DD23" s="45">
        <v>21278947.555555556</v>
      </c>
      <c r="DE23" s="45"/>
      <c r="DF23" s="45"/>
      <c r="DG23" s="45">
        <v>50675065.263157897</v>
      </c>
      <c r="DH23" s="45"/>
      <c r="DI23" s="45">
        <v>2230107513.2631578</v>
      </c>
      <c r="DJ23" s="45">
        <v>144959595.78947368</v>
      </c>
      <c r="DK23" s="45">
        <v>77671082.666666672</v>
      </c>
      <c r="DL23" s="45">
        <v>256484010.66666666</v>
      </c>
      <c r="DM23" s="45">
        <v>369102201.2631579</v>
      </c>
      <c r="DN23" s="45">
        <v>44317642.105263159</v>
      </c>
      <c r="DO23" s="45">
        <v>167785358.22222221</v>
      </c>
      <c r="DP23" s="45">
        <v>52587406.222222224</v>
      </c>
      <c r="DQ23" s="45"/>
      <c r="DR23" s="45">
        <v>110422986.10526316</v>
      </c>
      <c r="DS23" s="45">
        <v>21640245.894736841</v>
      </c>
      <c r="DT23" s="45">
        <v>531341793.88235295</v>
      </c>
      <c r="DU23" s="45"/>
      <c r="DV23" s="45"/>
      <c r="DW23" s="45"/>
      <c r="DX23" s="45"/>
      <c r="DY23" s="45"/>
      <c r="DZ23" s="45">
        <v>80024997.64705883</v>
      </c>
      <c r="EA23" s="45"/>
      <c r="EB23" s="45"/>
      <c r="EC23" s="45"/>
      <c r="ED23" s="45"/>
      <c r="EE23" s="45"/>
      <c r="EF23" s="45"/>
      <c r="EG23" s="45"/>
      <c r="EH23" s="45"/>
      <c r="EI23" s="45"/>
      <c r="EJ23" s="45">
        <v>63537379.555555552</v>
      </c>
      <c r="EK23" s="45">
        <v>28217775.157894738</v>
      </c>
      <c r="EL23" s="45">
        <v>12.409347846140726</v>
      </c>
      <c r="EM23" s="45">
        <v>24.623936924176192</v>
      </c>
      <c r="EN23" s="45">
        <v>12.214844154625423</v>
      </c>
      <c r="EO23" s="45"/>
      <c r="EP23" s="45"/>
      <c r="EQ23" s="45"/>
    </row>
    <row r="24" spans="1:147" ht="15" customHeight="1" x14ac:dyDescent="0.25">
      <c r="A24" s="38" t="s">
        <v>473</v>
      </c>
      <c r="B24" s="99" t="s">
        <v>875</v>
      </c>
      <c r="C24" s="11" t="s">
        <v>474</v>
      </c>
      <c r="D24" s="13" t="s">
        <v>532</v>
      </c>
      <c r="E24" s="13" t="s">
        <v>222</v>
      </c>
      <c r="F24" s="118" t="s">
        <v>196</v>
      </c>
      <c r="G24" s="118"/>
      <c r="H24" s="118"/>
      <c r="I24" s="23"/>
      <c r="J24" s="53" t="s">
        <v>233</v>
      </c>
      <c r="K24" s="45">
        <v>9466.7059639389736</v>
      </c>
      <c r="L24" s="45">
        <v>7221.0218968446616</v>
      </c>
      <c r="M24" s="45">
        <v>71.139019494077687</v>
      </c>
      <c r="N24" s="45"/>
      <c r="O24" s="45"/>
      <c r="P24" s="45"/>
      <c r="Q24" s="45">
        <v>4.0377031898415718E-2</v>
      </c>
      <c r="R24" s="45">
        <v>63335.99517169816</v>
      </c>
      <c r="S24" s="45"/>
      <c r="T24" s="45"/>
      <c r="U24" s="45"/>
      <c r="V24" s="45"/>
      <c r="W24" s="45"/>
      <c r="X24" s="45"/>
      <c r="Y24" s="45"/>
      <c r="Z24" s="45"/>
      <c r="AA24" s="45"/>
      <c r="AB24" s="45"/>
      <c r="AC24" s="45"/>
      <c r="AD24" s="45">
        <v>308784.12190879456</v>
      </c>
      <c r="AE24" s="45">
        <v>99.257112005096701</v>
      </c>
      <c r="AF24" s="45">
        <v>33300.809586883181</v>
      </c>
      <c r="AG24" s="45">
        <v>20926.524267992809</v>
      </c>
      <c r="AH24" s="45">
        <v>1.2305094348776433</v>
      </c>
      <c r="AI24" s="45"/>
      <c r="AJ24" s="45">
        <v>2.86383540807627E-2</v>
      </c>
      <c r="AK24" s="45"/>
      <c r="AL24" s="45">
        <v>1.915272219373013</v>
      </c>
      <c r="AM24" s="45">
        <v>0.63856464459698936</v>
      </c>
      <c r="AN24" s="45"/>
      <c r="AO24" s="45">
        <v>11.799398883663573</v>
      </c>
      <c r="AP24" s="45">
        <v>1.2343709049582787</v>
      </c>
      <c r="AQ24" s="45">
        <v>6.6770564839491273E-2</v>
      </c>
      <c r="AR24" s="45">
        <v>0.32441978438138819</v>
      </c>
      <c r="AS24" s="45">
        <v>5.0486955172573786</v>
      </c>
      <c r="AT24" s="45">
        <v>1.7468378445307353E-2</v>
      </c>
      <c r="AU24" s="45">
        <v>0.57466674571480736</v>
      </c>
      <c r="AV24" s="45">
        <v>0.28449713853744851</v>
      </c>
      <c r="AW24" s="45">
        <v>1.3173875618876483E-2</v>
      </c>
      <c r="AX24" s="45">
        <v>0.34736285149914053</v>
      </c>
      <c r="AY24" s="45">
        <v>2.1339665877581283E-2</v>
      </c>
      <c r="AZ24" s="45"/>
      <c r="BA24" s="45"/>
      <c r="BB24" s="45"/>
      <c r="BC24" s="45"/>
      <c r="BD24" s="45"/>
      <c r="BE24" s="45"/>
      <c r="BF24" s="45"/>
      <c r="BG24" s="45"/>
      <c r="BH24" s="45"/>
      <c r="BI24" s="45"/>
      <c r="BJ24" s="45"/>
      <c r="BK24" s="45"/>
      <c r="BL24" s="45"/>
      <c r="BM24" s="45"/>
      <c r="BN24" s="45"/>
      <c r="BO24" s="45"/>
      <c r="BP24" s="45">
        <v>3.7029050581029684E-2</v>
      </c>
      <c r="BQ24" s="45">
        <v>0.28976946589467156</v>
      </c>
      <c r="BR24" s="45">
        <v>8530.0080566501092</v>
      </c>
      <c r="BS24" s="45"/>
      <c r="BT24" s="45">
        <v>105.31050982422926</v>
      </c>
      <c r="BU24" s="45"/>
      <c r="BV24" s="45">
        <v>2375.9133964989992</v>
      </c>
      <c r="BW24" s="45">
        <v>136.75603732229504</v>
      </c>
      <c r="BX24" s="45"/>
      <c r="BY24" s="45">
        <v>114995.81280733127</v>
      </c>
      <c r="BZ24" s="45">
        <v>105659.2674533174</v>
      </c>
      <c r="CA24" s="45">
        <v>6.8919290238843729</v>
      </c>
      <c r="CB24" s="45">
        <v>897.49943313030838</v>
      </c>
      <c r="CC24" s="45">
        <v>305443.53480098798</v>
      </c>
      <c r="CD24" s="45">
        <v>109.30867199969123</v>
      </c>
      <c r="CE24" s="45">
        <v>116325.11585337442</v>
      </c>
      <c r="CF24" s="45">
        <v>9104.0200972004659</v>
      </c>
      <c r="CG24" s="45">
        <v>21.810349629227108</v>
      </c>
      <c r="CH24" s="45">
        <v>25.685383919387782</v>
      </c>
      <c r="CI24" s="45">
        <v>117.40334824423745</v>
      </c>
      <c r="CJ24" s="45"/>
      <c r="CK24" s="45"/>
      <c r="CL24" s="45"/>
      <c r="CM24" s="45"/>
      <c r="CN24" s="45"/>
      <c r="CO24" s="45"/>
      <c r="CP24" s="45"/>
      <c r="CQ24" s="45"/>
      <c r="CR24" s="45"/>
      <c r="CS24" s="45"/>
      <c r="CT24" s="45"/>
      <c r="CU24" s="45"/>
      <c r="CV24" s="45"/>
      <c r="CW24" s="45"/>
      <c r="CX24" s="45"/>
      <c r="CY24" s="45"/>
      <c r="CZ24" s="45">
        <v>13.259640939623361</v>
      </c>
      <c r="DA24" s="45">
        <v>26.216667882338395</v>
      </c>
      <c r="DB24" s="45">
        <v>1042388409.6976422</v>
      </c>
      <c r="DC24" s="45"/>
      <c r="DD24" s="45">
        <v>21319929.963938974</v>
      </c>
      <c r="DE24" s="45"/>
      <c r="DF24" s="45">
        <v>810021528.67683768</v>
      </c>
      <c r="DG24" s="45">
        <v>99687607.212205276</v>
      </c>
      <c r="DH24" s="45"/>
      <c r="DI24" s="45">
        <v>3279455969.10957</v>
      </c>
      <c r="DJ24" s="45">
        <v>300036141.44798893</v>
      </c>
      <c r="DK24" s="45">
        <v>76340009.542302355</v>
      </c>
      <c r="DL24" s="45">
        <v>270467134.49098474</v>
      </c>
      <c r="DM24" s="45">
        <v>374821006.02496535</v>
      </c>
      <c r="DN24" s="45">
        <v>47796843.228848822</v>
      </c>
      <c r="DO24" s="45">
        <v>181386741.3481276</v>
      </c>
      <c r="DP24" s="45">
        <v>143664206.11373094</v>
      </c>
      <c r="DQ24" s="45">
        <v>89726402.219140083</v>
      </c>
      <c r="DR24" s="45">
        <v>123717225.80859917</v>
      </c>
      <c r="DS24" s="45">
        <v>21820130.529819693</v>
      </c>
      <c r="DT24" s="45"/>
      <c r="DU24" s="45"/>
      <c r="DV24" s="45"/>
      <c r="DW24" s="45"/>
      <c r="DX24" s="45"/>
      <c r="DY24" s="45"/>
      <c r="DZ24" s="45"/>
      <c r="EA24" s="45"/>
      <c r="EB24" s="45"/>
      <c r="EC24" s="45"/>
      <c r="ED24" s="45"/>
      <c r="EE24" s="45"/>
      <c r="EF24" s="45"/>
      <c r="EG24" s="45"/>
      <c r="EH24" s="45"/>
      <c r="EI24" s="45"/>
      <c r="EJ24" s="45">
        <v>64667062.857142858</v>
      </c>
      <c r="EK24" s="45">
        <v>28043925.836338419</v>
      </c>
      <c r="EL24" s="45">
        <v>7.1810172478698773</v>
      </c>
      <c r="EM24" s="45">
        <v>17.272489254102464</v>
      </c>
      <c r="EN24" s="45">
        <v>10.091060516873902</v>
      </c>
      <c r="EO24" s="45"/>
      <c r="EP24" s="45"/>
      <c r="EQ24" s="45"/>
    </row>
    <row r="25" spans="1:147" ht="15" customHeight="1" x14ac:dyDescent="0.25">
      <c r="A25" s="38" t="s">
        <v>475</v>
      </c>
      <c r="B25" s="99" t="s">
        <v>876</v>
      </c>
      <c r="C25" s="11" t="s">
        <v>476</v>
      </c>
      <c r="D25" s="13" t="s">
        <v>533</v>
      </c>
      <c r="E25" s="13" t="s">
        <v>222</v>
      </c>
      <c r="F25" s="118" t="s">
        <v>48</v>
      </c>
      <c r="G25" s="118"/>
      <c r="H25" s="118"/>
      <c r="I25" s="23"/>
      <c r="J25" s="53" t="s">
        <v>233</v>
      </c>
      <c r="K25" s="45">
        <v>2942.2132701421801</v>
      </c>
      <c r="L25" s="45">
        <v>11978.430494754501</v>
      </c>
      <c r="M25" s="45">
        <v>309.08821063180119</v>
      </c>
      <c r="N25" s="45"/>
      <c r="O25" s="45"/>
      <c r="P25" s="45"/>
      <c r="Q25" s="45">
        <v>7.6824945279638332E-2</v>
      </c>
      <c r="R25" s="45">
        <v>7709.5743674914875</v>
      </c>
      <c r="S25" s="45"/>
      <c r="T25" s="45"/>
      <c r="U25" s="45"/>
      <c r="V25" s="45"/>
      <c r="W25" s="45"/>
      <c r="X25" s="45"/>
      <c r="Y25" s="45"/>
      <c r="Z25" s="45"/>
      <c r="AA25" s="45">
        <v>26332.307789175338</v>
      </c>
      <c r="AB25" s="45"/>
      <c r="AC25" s="45"/>
      <c r="AD25" s="45"/>
      <c r="AE25" s="45">
        <v>97.878984219141245</v>
      </c>
      <c r="AF25" s="45">
        <v>34495.283005956546</v>
      </c>
      <c r="AG25" s="45">
        <v>21149.049601579041</v>
      </c>
      <c r="AH25" s="45">
        <v>8.2549686341431201</v>
      </c>
      <c r="AI25" s="45"/>
      <c r="AJ25" s="45">
        <v>0.14315844266445926</v>
      </c>
      <c r="AK25" s="45"/>
      <c r="AL25" s="45">
        <v>2.29824435109151</v>
      </c>
      <c r="AM25" s="45">
        <v>1.0943649595988141</v>
      </c>
      <c r="AN25" s="45"/>
      <c r="AO25" s="45">
        <v>26.928231450574057</v>
      </c>
      <c r="AP25" s="45">
        <v>0.55763189711431638</v>
      </c>
      <c r="AQ25" s="45">
        <v>0.28832592483330644</v>
      </c>
      <c r="AR25" s="45">
        <v>1.4176042745127737</v>
      </c>
      <c r="AS25" s="45">
        <v>19.300663921017701</v>
      </c>
      <c r="AT25" s="45">
        <v>0.92486982947942287</v>
      </c>
      <c r="AU25" s="45">
        <v>1.9240378648094256</v>
      </c>
      <c r="AV25" s="45">
        <v>0.58378790456990481</v>
      </c>
      <c r="AW25" s="45"/>
      <c r="AX25" s="45">
        <v>1.0093078413363319</v>
      </c>
      <c r="AY25" s="45">
        <v>5.6968713968922495E-2</v>
      </c>
      <c r="AZ25" s="45">
        <v>14.118883903379416</v>
      </c>
      <c r="BA25" s="45"/>
      <c r="BB25" s="45"/>
      <c r="BC25" s="45"/>
      <c r="BD25" s="45"/>
      <c r="BE25" s="45"/>
      <c r="BF25" s="45"/>
      <c r="BG25" s="45"/>
      <c r="BH25" s="45"/>
      <c r="BI25" s="45"/>
      <c r="BJ25" s="45"/>
      <c r="BK25" s="45"/>
      <c r="BL25" s="45"/>
      <c r="BM25" s="45"/>
      <c r="BN25" s="45"/>
      <c r="BO25" s="45"/>
      <c r="BP25" s="45">
        <v>0.10728908477343728</v>
      </c>
      <c r="BQ25" s="45">
        <v>0.99537606521282074</v>
      </c>
      <c r="BR25" s="45">
        <v>81156.25960770862</v>
      </c>
      <c r="BS25" s="45"/>
      <c r="BT25" s="45">
        <v>80.049204292926078</v>
      </c>
      <c r="BU25" s="45"/>
      <c r="BV25" s="45">
        <v>8451.7608418378732</v>
      </c>
      <c r="BW25" s="45">
        <v>231.24918112621771</v>
      </c>
      <c r="BX25" s="45"/>
      <c r="BY25" s="45">
        <v>180481.63659104376</v>
      </c>
      <c r="BZ25" s="45">
        <v>5582.1003515773036</v>
      </c>
      <c r="CA25" s="45">
        <v>2455.6209170552534</v>
      </c>
      <c r="CB25" s="45">
        <v>2237.9170700052459</v>
      </c>
      <c r="CC25" s="45">
        <v>268997.81317493861</v>
      </c>
      <c r="CD25" s="45">
        <v>84734.730634312626</v>
      </c>
      <c r="CE25" s="45">
        <v>29612.238422201761</v>
      </c>
      <c r="CF25" s="45">
        <v>7153.3561368619312</v>
      </c>
      <c r="CG25" s="45"/>
      <c r="CH25" s="45">
        <v>18.080672064819773</v>
      </c>
      <c r="CI25" s="45">
        <v>121.7498341119578</v>
      </c>
      <c r="CJ25" s="45">
        <v>1036386.8830986589</v>
      </c>
      <c r="CK25" s="45"/>
      <c r="CL25" s="45"/>
      <c r="CM25" s="45"/>
      <c r="CN25" s="45"/>
      <c r="CO25" s="45"/>
      <c r="CP25" s="45"/>
      <c r="CQ25" s="45"/>
      <c r="CR25" s="45"/>
      <c r="CS25" s="45"/>
      <c r="CT25" s="45"/>
      <c r="CU25" s="45"/>
      <c r="CV25" s="45"/>
      <c r="CW25" s="45"/>
      <c r="CX25" s="45"/>
      <c r="CY25" s="45"/>
      <c r="CZ25" s="45">
        <v>13.197700914728081</v>
      </c>
      <c r="DA25" s="45">
        <v>15.412650863105569</v>
      </c>
      <c r="DB25" s="45">
        <v>843783046.67298579</v>
      </c>
      <c r="DC25" s="45"/>
      <c r="DD25" s="45">
        <v>23473069.497630332</v>
      </c>
      <c r="DE25" s="45"/>
      <c r="DF25" s="45">
        <v>490320747.62945366</v>
      </c>
      <c r="DG25" s="45">
        <v>65535543.810426541</v>
      </c>
      <c r="DH25" s="45"/>
      <c r="DI25" s="45">
        <v>1213058048</v>
      </c>
      <c r="DJ25" s="45">
        <v>139011474.80568719</v>
      </c>
      <c r="DK25" s="45">
        <v>109783573.83886255</v>
      </c>
      <c r="DL25" s="45">
        <v>256335105.21327013</v>
      </c>
      <c r="DM25" s="45">
        <v>391305245.11848342</v>
      </c>
      <c r="DN25" s="45">
        <v>62863486.180094786</v>
      </c>
      <c r="DO25" s="45">
        <v>203106168.11374408</v>
      </c>
      <c r="DP25" s="45">
        <v>94372451.488151655</v>
      </c>
      <c r="DQ25" s="45"/>
      <c r="DR25" s="45">
        <v>115152682.46445498</v>
      </c>
      <c r="DS25" s="45">
        <v>21885364.777251184</v>
      </c>
      <c r="DT25" s="45">
        <v>316316876.80000001</v>
      </c>
      <c r="DU25" s="45"/>
      <c r="DV25" s="45"/>
      <c r="DW25" s="45"/>
      <c r="DX25" s="45"/>
      <c r="DY25" s="45"/>
      <c r="DZ25" s="45"/>
      <c r="EA25" s="45"/>
      <c r="EB25" s="45"/>
      <c r="EC25" s="45"/>
      <c r="ED25" s="45"/>
      <c r="EE25" s="45"/>
      <c r="EF25" s="45"/>
      <c r="EG25" s="45"/>
      <c r="EH25" s="45"/>
      <c r="EI25" s="45"/>
      <c r="EJ25" s="45">
        <v>70309111.507109001</v>
      </c>
      <c r="EK25" s="45">
        <v>28754900.322274882</v>
      </c>
      <c r="EL25" s="45">
        <v>9.0792323060938074</v>
      </c>
      <c r="EM25" s="45">
        <v>16.791586646626531</v>
      </c>
      <c r="EN25" s="45">
        <v>7.7146102042501195</v>
      </c>
      <c r="EO25" s="45"/>
      <c r="EP25" s="45"/>
      <c r="EQ25" s="45"/>
    </row>
    <row r="26" spans="1:147" ht="15" customHeight="1" x14ac:dyDescent="0.25">
      <c r="A26" s="38" t="s">
        <v>477</v>
      </c>
      <c r="B26" s="99" t="s">
        <v>877</v>
      </c>
      <c r="C26" s="11" t="s">
        <v>478</v>
      </c>
      <c r="D26" s="13" t="s">
        <v>533</v>
      </c>
      <c r="E26" s="13" t="s">
        <v>222</v>
      </c>
      <c r="F26" s="118" t="s">
        <v>48</v>
      </c>
      <c r="G26" s="118"/>
      <c r="H26" s="118"/>
      <c r="I26" s="23"/>
      <c r="J26" s="53" t="s">
        <v>233</v>
      </c>
      <c r="K26" s="45">
        <v>2829.8930555555557</v>
      </c>
      <c r="L26" s="45">
        <v>6963.4040266062939</v>
      </c>
      <c r="M26" s="45">
        <v>309.14329498791534</v>
      </c>
      <c r="N26" s="45"/>
      <c r="O26" s="45"/>
      <c r="P26" s="45"/>
      <c r="Q26" s="45">
        <v>4.9387193571352652</v>
      </c>
      <c r="R26" s="45">
        <v>4465.9532582326701</v>
      </c>
      <c r="S26" s="45"/>
      <c r="T26" s="45"/>
      <c r="U26" s="45">
        <v>20302.99684816142</v>
      </c>
      <c r="V26" s="45"/>
      <c r="W26" s="45"/>
      <c r="X26" s="45"/>
      <c r="Y26" s="45"/>
      <c r="Z26" s="45"/>
      <c r="AA26" s="45">
        <v>9039.9875712670982</v>
      </c>
      <c r="AB26" s="45"/>
      <c r="AC26" s="45"/>
      <c r="AD26" s="45"/>
      <c r="AE26" s="45">
        <v>97.272707229690113</v>
      </c>
      <c r="AF26" s="45">
        <v>44856.486798029531</v>
      </c>
      <c r="AG26" s="45">
        <v>17783.901084501464</v>
      </c>
      <c r="AH26" s="45">
        <v>3.471401844248196</v>
      </c>
      <c r="AI26" s="45"/>
      <c r="AJ26" s="45">
        <v>0.14152596023847377</v>
      </c>
      <c r="AK26" s="45"/>
      <c r="AL26" s="45">
        <v>2.7883918910742755</v>
      </c>
      <c r="AM26" s="45">
        <v>0.36081021263928748</v>
      </c>
      <c r="AN26" s="45"/>
      <c r="AO26" s="45">
        <v>18.888024181784825</v>
      </c>
      <c r="AP26" s="45">
        <v>1.292283814191155</v>
      </c>
      <c r="AQ26" s="45">
        <v>0.2455857546039506</v>
      </c>
      <c r="AR26" s="45">
        <v>0.7549487574709205</v>
      </c>
      <c r="AS26" s="45">
        <v>15.198858561254251</v>
      </c>
      <c r="AT26" s="45">
        <v>0.14982142136537824</v>
      </c>
      <c r="AU26" s="45">
        <v>0.80971664995786685</v>
      </c>
      <c r="AV26" s="45">
        <v>0.29633767709436326</v>
      </c>
      <c r="AW26" s="45"/>
      <c r="AX26" s="45">
        <v>0.84118075056506492</v>
      </c>
      <c r="AY26" s="45">
        <v>5.26832777476881E-2</v>
      </c>
      <c r="AZ26" s="45"/>
      <c r="BA26" s="45"/>
      <c r="BB26" s="45"/>
      <c r="BC26" s="45"/>
      <c r="BD26" s="45"/>
      <c r="BE26" s="45"/>
      <c r="BF26" s="45"/>
      <c r="BG26" s="45"/>
      <c r="BH26" s="45"/>
      <c r="BI26" s="45"/>
      <c r="BJ26" s="45"/>
      <c r="BK26" s="45"/>
      <c r="BL26" s="45"/>
      <c r="BM26" s="45"/>
      <c r="BN26" s="45"/>
      <c r="BO26" s="45"/>
      <c r="BP26" s="45">
        <v>9.7021678154721597E-2</v>
      </c>
      <c r="BQ26" s="45">
        <v>0.72266453643391715</v>
      </c>
      <c r="BR26" s="45">
        <v>14342.869808984547</v>
      </c>
      <c r="BS26" s="45"/>
      <c r="BT26" s="45">
        <v>81.965318110970131</v>
      </c>
      <c r="BU26" s="45"/>
      <c r="BV26" s="45">
        <v>8855.090501620989</v>
      </c>
      <c r="BW26" s="45">
        <v>151.08675638096472</v>
      </c>
      <c r="BX26" s="45"/>
      <c r="BY26" s="45">
        <v>29674.181237448127</v>
      </c>
      <c r="BZ26" s="45">
        <v>2862.7950347643646</v>
      </c>
      <c r="CA26" s="45">
        <v>2163.3921475674802</v>
      </c>
      <c r="CB26" s="45">
        <v>178.24319016352766</v>
      </c>
      <c r="CC26" s="45">
        <v>315637.56969201314</v>
      </c>
      <c r="CD26" s="45">
        <v>119.54683619969444</v>
      </c>
      <c r="CE26" s="45">
        <v>33011.92207061113</v>
      </c>
      <c r="CF26" s="45">
        <v>6900.8412979717477</v>
      </c>
      <c r="CG26" s="45"/>
      <c r="CH26" s="45">
        <v>25.616140554209096</v>
      </c>
      <c r="CI26" s="45">
        <v>133.72583680160955</v>
      </c>
      <c r="CJ26" s="45"/>
      <c r="CK26" s="45"/>
      <c r="CL26" s="45"/>
      <c r="CM26" s="45"/>
      <c r="CN26" s="45"/>
      <c r="CO26" s="45"/>
      <c r="CP26" s="45"/>
      <c r="CQ26" s="45"/>
      <c r="CR26" s="45"/>
      <c r="CS26" s="45"/>
      <c r="CT26" s="45"/>
      <c r="CU26" s="45"/>
      <c r="CV26" s="45"/>
      <c r="CW26" s="45"/>
      <c r="CX26" s="45"/>
      <c r="CY26" s="45"/>
      <c r="CZ26" s="45">
        <v>13.314787327016035</v>
      </c>
      <c r="DA26" s="45">
        <v>21.717691379022675</v>
      </c>
      <c r="DB26" s="45">
        <v>555639165.15555561</v>
      </c>
      <c r="DC26" s="45"/>
      <c r="DD26" s="45">
        <v>23430542.222222224</v>
      </c>
      <c r="DE26" s="45"/>
      <c r="DF26" s="45">
        <v>715194043.73333335</v>
      </c>
      <c r="DG26" s="45">
        <v>24233028.266666666</v>
      </c>
      <c r="DH26" s="45"/>
      <c r="DI26" s="45">
        <v>1563967254.1058495</v>
      </c>
      <c r="DJ26" s="45">
        <v>137790930.48888889</v>
      </c>
      <c r="DK26" s="45">
        <v>108972805.68888889</v>
      </c>
      <c r="DL26" s="45">
        <v>241155680.7111111</v>
      </c>
      <c r="DM26" s="45">
        <v>400112327.1111111</v>
      </c>
      <c r="DN26" s="45">
        <v>44836266.666666664</v>
      </c>
      <c r="DO26" s="45">
        <v>209402441.95555556</v>
      </c>
      <c r="DP26" s="45">
        <v>94263375.644444451</v>
      </c>
      <c r="DQ26" s="45"/>
      <c r="DR26" s="45">
        <v>118968234.66666667</v>
      </c>
      <c r="DS26" s="45">
        <v>22131359.28888889</v>
      </c>
      <c r="DT26" s="45"/>
      <c r="DU26" s="45"/>
      <c r="DV26" s="45"/>
      <c r="DW26" s="45"/>
      <c r="DX26" s="45"/>
      <c r="DY26" s="45"/>
      <c r="DZ26" s="45"/>
      <c r="EA26" s="45"/>
      <c r="EB26" s="45"/>
      <c r="EC26" s="45"/>
      <c r="ED26" s="45"/>
      <c r="EE26" s="45"/>
      <c r="EF26" s="45"/>
      <c r="EG26" s="45"/>
      <c r="EH26" s="45"/>
      <c r="EI26" s="45"/>
      <c r="EJ26" s="45">
        <v>62751396.977777779</v>
      </c>
      <c r="EK26" s="45">
        <v>26018872.888888888</v>
      </c>
      <c r="EL26" s="45">
        <v>7.9738375391420497</v>
      </c>
      <c r="EM26" s="45">
        <v>14.508896561350202</v>
      </c>
      <c r="EN26" s="45">
        <v>6.535404810646293</v>
      </c>
      <c r="EO26" s="45"/>
      <c r="EP26" s="45"/>
      <c r="EQ26" s="45"/>
    </row>
    <row r="27" spans="1:147" ht="15" customHeight="1" x14ac:dyDescent="0.25">
      <c r="A27" s="38" t="s">
        <v>479</v>
      </c>
      <c r="B27" s="99" t="s">
        <v>878</v>
      </c>
      <c r="C27" s="11" t="s">
        <v>480</v>
      </c>
      <c r="D27" s="13" t="s">
        <v>533</v>
      </c>
      <c r="E27" s="13" t="s">
        <v>222</v>
      </c>
      <c r="F27" s="118" t="s">
        <v>48</v>
      </c>
      <c r="G27" s="118"/>
      <c r="H27" s="118"/>
      <c r="I27" s="23"/>
      <c r="J27" s="53" t="s">
        <v>233</v>
      </c>
      <c r="K27" s="45">
        <v>3062.5599214145382</v>
      </c>
      <c r="L27" s="45">
        <v>9263.838215900214</v>
      </c>
      <c r="M27" s="45">
        <v>416.64807138454955</v>
      </c>
      <c r="N27" s="45"/>
      <c r="O27" s="45"/>
      <c r="P27" s="45"/>
      <c r="Q27" s="45"/>
      <c r="R27" s="45">
        <v>9237.582354143502</v>
      </c>
      <c r="S27" s="45"/>
      <c r="T27" s="45"/>
      <c r="U27" s="45">
        <v>58897.396036621518</v>
      </c>
      <c r="V27" s="45"/>
      <c r="W27" s="45"/>
      <c r="X27" s="45"/>
      <c r="Y27" s="45"/>
      <c r="Z27" s="45"/>
      <c r="AA27" s="45">
        <v>22221.065949633248</v>
      </c>
      <c r="AB27" s="45"/>
      <c r="AC27" s="45"/>
      <c r="AD27" s="45"/>
      <c r="AE27" s="45">
        <v>96.186062942019987</v>
      </c>
      <c r="AF27" s="45">
        <v>49729.637216617848</v>
      </c>
      <c r="AG27" s="45">
        <v>17634.164400949532</v>
      </c>
      <c r="AH27" s="45">
        <v>19.617015066948944</v>
      </c>
      <c r="AI27" s="45"/>
      <c r="AJ27" s="45">
        <v>0.14085572762979437</v>
      </c>
      <c r="AK27" s="45"/>
      <c r="AL27" s="45">
        <v>2.7518213856889582</v>
      </c>
      <c r="AM27" s="45">
        <v>0.95705513569350487</v>
      </c>
      <c r="AN27" s="45"/>
      <c r="AO27" s="45">
        <v>17.028704020844874</v>
      </c>
      <c r="AP27" s="45">
        <v>0.40668140784604506</v>
      </c>
      <c r="AQ27" s="45">
        <v>0.19691561717096728</v>
      </c>
      <c r="AR27" s="45">
        <v>1.6446101538986266</v>
      </c>
      <c r="AS27" s="45">
        <v>18.784842110728292</v>
      </c>
      <c r="AT27" s="45">
        <v>0.11591295850584352</v>
      </c>
      <c r="AU27" s="45">
        <v>2.4981740575259717</v>
      </c>
      <c r="AV27" s="45">
        <v>0.47866934209518275</v>
      </c>
      <c r="AW27" s="45">
        <v>8.3471344753903512E-2</v>
      </c>
      <c r="AX27" s="45">
        <v>0.83689508296123383</v>
      </c>
      <c r="AY27" s="45">
        <v>6.5278959917967602E-2</v>
      </c>
      <c r="AZ27" s="45">
        <v>0.66764406131257692</v>
      </c>
      <c r="BA27" s="45"/>
      <c r="BB27" s="45"/>
      <c r="BC27" s="45"/>
      <c r="BD27" s="45"/>
      <c r="BE27" s="45"/>
      <c r="BF27" s="45"/>
      <c r="BG27" s="45"/>
      <c r="BH27" s="45"/>
      <c r="BI27" s="45"/>
      <c r="BJ27" s="45"/>
      <c r="BK27" s="45"/>
      <c r="BL27" s="45"/>
      <c r="BM27" s="45"/>
      <c r="BN27" s="45"/>
      <c r="BO27" s="45"/>
      <c r="BP27" s="45">
        <v>0.11407643111425027</v>
      </c>
      <c r="BQ27" s="45">
        <v>0.43827794690845406</v>
      </c>
      <c r="BR27" s="45">
        <v>205559.85738388816</v>
      </c>
      <c r="BS27" s="45"/>
      <c r="BT27" s="45">
        <v>82.891604893533554</v>
      </c>
      <c r="BU27" s="45"/>
      <c r="BV27" s="45">
        <v>2425.7048281538064</v>
      </c>
      <c r="BW27" s="45">
        <v>344.61078002614153</v>
      </c>
      <c r="BX27" s="45"/>
      <c r="BY27" s="45">
        <v>38741.08235800184</v>
      </c>
      <c r="BZ27" s="45">
        <v>4742.3057288841692</v>
      </c>
      <c r="CA27" s="45">
        <v>6.5113791671928123</v>
      </c>
      <c r="CB27" s="45">
        <v>1948.690463615605</v>
      </c>
      <c r="CC27" s="45">
        <v>658815.51627338654</v>
      </c>
      <c r="CD27" s="45">
        <v>192.43061074068123</v>
      </c>
      <c r="CE27" s="45">
        <v>87815.646013501741</v>
      </c>
      <c r="CF27" s="45">
        <v>7019.1874225256597</v>
      </c>
      <c r="CG27" s="45">
        <v>441.79142696120687</v>
      </c>
      <c r="CH27" s="45">
        <v>53.574778637345524</v>
      </c>
      <c r="CI27" s="45">
        <v>119.91378608301652</v>
      </c>
      <c r="CJ27" s="45">
        <v>389.32912188633418</v>
      </c>
      <c r="CK27" s="45"/>
      <c r="CL27" s="45"/>
      <c r="CM27" s="45"/>
      <c r="CN27" s="45"/>
      <c r="CO27" s="45"/>
      <c r="CP27" s="45"/>
      <c r="CQ27" s="45"/>
      <c r="CR27" s="45"/>
      <c r="CS27" s="45"/>
      <c r="CT27" s="45"/>
      <c r="CU27" s="45"/>
      <c r="CV27" s="45"/>
      <c r="CW27" s="45"/>
      <c r="CX27" s="45"/>
      <c r="CY27" s="45"/>
      <c r="CZ27" s="45">
        <v>13.694027043009932</v>
      </c>
      <c r="DA27" s="45">
        <v>27.242172828148409</v>
      </c>
      <c r="DB27" s="45">
        <v>502108830.89655173</v>
      </c>
      <c r="DC27" s="45"/>
      <c r="DD27" s="45">
        <v>22570038.318271119</v>
      </c>
      <c r="DE27" s="45"/>
      <c r="DF27" s="45">
        <v>223703313.60314342</v>
      </c>
      <c r="DG27" s="45">
        <v>65629926.349705301</v>
      </c>
      <c r="DH27" s="45"/>
      <c r="DI27" s="45">
        <v>900257610.93909621</v>
      </c>
      <c r="DJ27" s="45">
        <v>134359864.83300591</v>
      </c>
      <c r="DK27" s="45">
        <v>70232188.730844796</v>
      </c>
      <c r="DL27" s="45">
        <v>269190488.01571709</v>
      </c>
      <c r="DM27" s="45">
        <v>401858978.45186639</v>
      </c>
      <c r="DN27" s="45">
        <v>46033986.388998039</v>
      </c>
      <c r="DO27" s="45">
        <v>233048454.28683692</v>
      </c>
      <c r="DP27" s="45">
        <v>92745655.575638503</v>
      </c>
      <c r="DQ27" s="45">
        <v>87693227.504911587</v>
      </c>
      <c r="DR27" s="45">
        <v>106306240.12573674</v>
      </c>
      <c r="DS27" s="45">
        <v>23660556.070726916</v>
      </c>
      <c r="DT27" s="45">
        <v>439400857.60000002</v>
      </c>
      <c r="DU27" s="45"/>
      <c r="DV27" s="45"/>
      <c r="DW27" s="45"/>
      <c r="DX27" s="45"/>
      <c r="DY27" s="45"/>
      <c r="DZ27" s="45"/>
      <c r="EA27" s="45"/>
      <c r="EB27" s="45"/>
      <c r="EC27" s="45"/>
      <c r="ED27" s="45"/>
      <c r="EE27" s="45"/>
      <c r="EF27" s="45"/>
      <c r="EG27" s="45"/>
      <c r="EH27" s="45"/>
      <c r="EI27" s="45"/>
      <c r="EJ27" s="45">
        <v>64142619.662082516</v>
      </c>
      <c r="EK27" s="45">
        <v>28639714.829076622</v>
      </c>
      <c r="EL27" s="45">
        <v>9.3656126920490994</v>
      </c>
      <c r="EM27" s="45">
        <v>18.187934777672826</v>
      </c>
      <c r="EN27" s="45">
        <v>8.8289702585056151</v>
      </c>
      <c r="EO27" s="45"/>
      <c r="EP27" s="45"/>
      <c r="EQ27" s="45"/>
    </row>
    <row r="28" spans="1:147" ht="15" customHeight="1" x14ac:dyDescent="0.25">
      <c r="A28" s="38" t="s">
        <v>277</v>
      </c>
      <c r="B28" s="99" t="s">
        <v>879</v>
      </c>
      <c r="C28" s="11" t="s">
        <v>481</v>
      </c>
      <c r="D28" s="13" t="s">
        <v>51</v>
      </c>
      <c r="E28" s="13" t="s">
        <v>222</v>
      </c>
      <c r="F28" s="118" t="s">
        <v>31</v>
      </c>
      <c r="G28" s="118"/>
      <c r="H28" s="118"/>
      <c r="I28" s="23"/>
      <c r="J28" s="53" t="s">
        <v>233</v>
      </c>
      <c r="K28" s="45"/>
      <c r="L28" s="45"/>
      <c r="M28" s="45"/>
      <c r="N28" s="45"/>
      <c r="O28" s="45"/>
      <c r="P28" s="45"/>
      <c r="Q28" s="45"/>
      <c r="R28" s="45"/>
      <c r="S28" s="45"/>
      <c r="T28" s="45"/>
      <c r="U28" s="45"/>
      <c r="V28" s="45"/>
      <c r="W28" s="45"/>
      <c r="X28" s="45"/>
      <c r="Y28" s="45"/>
      <c r="Z28" s="45"/>
      <c r="AA28" s="45"/>
      <c r="AB28" s="45"/>
      <c r="AC28" s="45"/>
      <c r="AD28" s="45"/>
      <c r="AE28" s="45"/>
      <c r="AF28" s="45"/>
      <c r="AG28" s="45"/>
      <c r="AH28" s="45"/>
      <c r="AI28" s="45"/>
      <c r="AJ28" s="45"/>
      <c r="AK28" s="45"/>
      <c r="AL28" s="45"/>
      <c r="AM28" s="45"/>
      <c r="AN28" s="45"/>
      <c r="AO28" s="45"/>
      <c r="AP28" s="45"/>
      <c r="AQ28" s="45"/>
      <c r="AR28" s="45"/>
      <c r="AS28" s="45"/>
      <c r="AT28" s="45"/>
      <c r="AU28" s="45"/>
      <c r="AV28" s="45"/>
      <c r="AW28" s="45"/>
      <c r="AX28" s="45"/>
      <c r="AY28" s="45"/>
      <c r="AZ28" s="45"/>
      <c r="BA28" s="45"/>
      <c r="BB28" s="45"/>
      <c r="BC28" s="45"/>
      <c r="BD28" s="45"/>
      <c r="BE28" s="45"/>
      <c r="BF28" s="45"/>
      <c r="BG28" s="45"/>
      <c r="BH28" s="45"/>
      <c r="BI28" s="45"/>
      <c r="BJ28" s="45"/>
      <c r="BK28" s="45"/>
      <c r="BL28" s="45"/>
      <c r="BM28" s="45"/>
      <c r="BN28" s="45"/>
      <c r="BO28" s="45"/>
      <c r="BP28" s="45"/>
      <c r="BQ28" s="45"/>
      <c r="BR28" s="45"/>
      <c r="BS28" s="45"/>
      <c r="BT28" s="45"/>
      <c r="BU28" s="45"/>
      <c r="BV28" s="45"/>
      <c r="BW28" s="45"/>
      <c r="BX28" s="45"/>
      <c r="BY28" s="45"/>
      <c r="BZ28" s="45"/>
      <c r="CA28" s="45"/>
      <c r="CB28" s="45"/>
      <c r="CC28" s="45"/>
      <c r="CD28" s="45"/>
      <c r="CE28" s="45"/>
      <c r="CF28" s="45"/>
      <c r="CG28" s="45"/>
      <c r="CH28" s="45"/>
      <c r="CI28" s="45"/>
      <c r="CJ28" s="45"/>
      <c r="CK28" s="45"/>
      <c r="CL28" s="45"/>
      <c r="CM28" s="45"/>
      <c r="CN28" s="45"/>
      <c r="CO28" s="45"/>
      <c r="CP28" s="45"/>
      <c r="CQ28" s="45"/>
      <c r="CR28" s="45"/>
      <c r="CS28" s="45"/>
      <c r="CT28" s="45"/>
      <c r="CU28" s="45"/>
      <c r="CV28" s="45"/>
      <c r="CW28" s="45"/>
      <c r="CX28" s="45"/>
      <c r="CY28" s="45"/>
      <c r="CZ28" s="45"/>
      <c r="DA28" s="45"/>
      <c r="DB28" s="45"/>
      <c r="DC28" s="45"/>
      <c r="DD28" s="45"/>
      <c r="DE28" s="45"/>
      <c r="DF28" s="45"/>
      <c r="DG28" s="45"/>
      <c r="DH28" s="45"/>
      <c r="DI28" s="45"/>
      <c r="DJ28" s="45"/>
      <c r="DK28" s="45"/>
      <c r="DL28" s="45"/>
      <c r="DM28" s="45"/>
      <c r="DN28" s="45"/>
      <c r="DO28" s="45"/>
      <c r="DP28" s="45"/>
      <c r="DQ28" s="45"/>
      <c r="DR28" s="45"/>
      <c r="DS28" s="45"/>
      <c r="DT28" s="45"/>
      <c r="DU28" s="45"/>
      <c r="DV28" s="45"/>
      <c r="DW28" s="45"/>
      <c r="DX28" s="45"/>
      <c r="DY28" s="45"/>
      <c r="DZ28" s="45"/>
      <c r="EA28" s="45"/>
      <c r="EB28" s="45"/>
      <c r="EC28" s="45"/>
      <c r="ED28" s="45"/>
      <c r="EE28" s="45"/>
      <c r="EF28" s="45"/>
      <c r="EG28" s="45"/>
      <c r="EH28" s="45"/>
      <c r="EI28" s="45"/>
      <c r="EJ28" s="45"/>
      <c r="EK28" s="45"/>
      <c r="EL28" s="45"/>
      <c r="EM28" s="45"/>
      <c r="EN28" s="45"/>
      <c r="EO28" s="45"/>
      <c r="EP28" s="45"/>
      <c r="EQ28" s="45"/>
    </row>
    <row r="29" spans="1:147" ht="15" customHeight="1" x14ac:dyDescent="0.25">
      <c r="A29" s="38" t="s">
        <v>482</v>
      </c>
      <c r="B29" s="99" t="s">
        <v>880</v>
      </c>
      <c r="C29" s="11" t="s">
        <v>483</v>
      </c>
      <c r="D29" s="13" t="s">
        <v>541</v>
      </c>
      <c r="E29" s="13" t="s">
        <v>222</v>
      </c>
      <c r="F29" s="118" t="s">
        <v>48</v>
      </c>
      <c r="G29" s="118"/>
      <c r="H29" s="118"/>
      <c r="I29" s="23"/>
      <c r="J29" s="53" t="s">
        <v>233</v>
      </c>
      <c r="K29" s="45">
        <v>3315.3952843273232</v>
      </c>
      <c r="L29" s="45">
        <v>7056.7146738082147</v>
      </c>
      <c r="M29" s="45">
        <v>198.63004243650991</v>
      </c>
      <c r="N29" s="45"/>
      <c r="O29" s="45"/>
      <c r="P29" s="45"/>
      <c r="Q29" s="45">
        <v>4.8447451803870054</v>
      </c>
      <c r="R29" s="45"/>
      <c r="S29" s="45"/>
      <c r="T29" s="45"/>
      <c r="U29" s="45">
        <v>77493.14211494007</v>
      </c>
      <c r="V29" s="45"/>
      <c r="W29" s="45"/>
      <c r="X29" s="45"/>
      <c r="Y29" s="45"/>
      <c r="Z29" s="45"/>
      <c r="AA29" s="45"/>
      <c r="AB29" s="45"/>
      <c r="AC29" s="45"/>
      <c r="AD29" s="45"/>
      <c r="AE29" s="45">
        <v>99.053984899822638</v>
      </c>
      <c r="AF29" s="45">
        <v>46535.94961364194</v>
      </c>
      <c r="AG29" s="45">
        <v>24653.00536340104</v>
      </c>
      <c r="AH29" s="45">
        <v>5.8098638257415463</v>
      </c>
      <c r="AI29" s="45"/>
      <c r="AJ29" s="45">
        <v>0.16630033834003741</v>
      </c>
      <c r="AK29" s="45"/>
      <c r="AL29" s="45">
        <v>3.9362508422346383</v>
      </c>
      <c r="AM29" s="45">
        <v>0.10467644794194518</v>
      </c>
      <c r="AN29" s="45"/>
      <c r="AO29" s="45">
        <v>17.934722417965556</v>
      </c>
      <c r="AP29" s="45">
        <v>1.9916464365290965</v>
      </c>
      <c r="AQ29" s="45">
        <v>0.25224042695384435</v>
      </c>
      <c r="AR29" s="45">
        <v>0.74745620097646881</v>
      </c>
      <c r="AS29" s="45">
        <v>15.134134916686445</v>
      </c>
      <c r="AT29" s="45">
        <v>0.12189226634257372</v>
      </c>
      <c r="AU29" s="45">
        <v>1.2918484841537943</v>
      </c>
      <c r="AV29" s="45">
        <v>0.67007173072495962</v>
      </c>
      <c r="AW29" s="45"/>
      <c r="AX29" s="45">
        <v>0.84583852927311243</v>
      </c>
      <c r="AY29" s="45">
        <v>4.1232204339548287E-2</v>
      </c>
      <c r="AZ29" s="45"/>
      <c r="BA29" s="45"/>
      <c r="BB29" s="45"/>
      <c r="BC29" s="45"/>
      <c r="BD29" s="45"/>
      <c r="BE29" s="45"/>
      <c r="BF29" s="45"/>
      <c r="BG29" s="45"/>
      <c r="BH29" s="45"/>
      <c r="BI29" s="45"/>
      <c r="BJ29" s="45"/>
      <c r="BK29" s="45"/>
      <c r="BL29" s="45"/>
      <c r="BM29" s="45"/>
      <c r="BN29" s="45"/>
      <c r="BO29" s="45"/>
      <c r="BP29" s="45">
        <v>0.10409388384133215</v>
      </c>
      <c r="BQ29" s="45">
        <v>0.4707041339172196</v>
      </c>
      <c r="BR29" s="45">
        <v>57194.796022935967</v>
      </c>
      <c r="BS29" s="45"/>
      <c r="BT29" s="45">
        <v>81.878708320590633</v>
      </c>
      <c r="BU29" s="45"/>
      <c r="BV29" s="45">
        <v>9481.2581107822662</v>
      </c>
      <c r="BW29" s="45">
        <v>23.501108869273569</v>
      </c>
      <c r="BX29" s="45"/>
      <c r="BY29" s="45">
        <v>81745.698864909078</v>
      </c>
      <c r="BZ29" s="45">
        <v>12037.547381902488</v>
      </c>
      <c r="CA29" s="45">
        <v>6.8906498627296378</v>
      </c>
      <c r="CB29" s="45">
        <v>55.250117348058552</v>
      </c>
      <c r="CC29" s="45">
        <v>149618.94629293054</v>
      </c>
      <c r="CD29" s="45">
        <v>15507.304104250967</v>
      </c>
      <c r="CE29" s="45">
        <v>57329.595526962847</v>
      </c>
      <c r="CF29" s="45">
        <v>14103.5261525445</v>
      </c>
      <c r="CG29" s="45"/>
      <c r="CH29" s="45">
        <v>41.146163138269287</v>
      </c>
      <c r="CI29" s="45">
        <v>120.67029204386634</v>
      </c>
      <c r="CJ29" s="45"/>
      <c r="CK29" s="45"/>
      <c r="CL29" s="45"/>
      <c r="CM29" s="45"/>
      <c r="CN29" s="45"/>
      <c r="CO29" s="45"/>
      <c r="CP29" s="45"/>
      <c r="CQ29" s="45"/>
      <c r="CR29" s="45"/>
      <c r="CS29" s="45"/>
      <c r="CT29" s="45"/>
      <c r="CU29" s="45"/>
      <c r="CV29" s="45"/>
      <c r="CW29" s="45"/>
      <c r="CX29" s="45"/>
      <c r="CY29" s="45"/>
      <c r="CZ29" s="45">
        <v>13.323271303570689</v>
      </c>
      <c r="DA29" s="45">
        <v>1.1215367309755007</v>
      </c>
      <c r="DB29" s="45">
        <v>713281007.66712904</v>
      </c>
      <c r="DC29" s="45"/>
      <c r="DD29" s="45">
        <v>22750450.862690706</v>
      </c>
      <c r="DE29" s="45"/>
      <c r="DF29" s="45">
        <v>392747684.6119734</v>
      </c>
      <c r="DG29" s="45">
        <v>17932918.590846047</v>
      </c>
      <c r="DH29" s="45"/>
      <c r="DI29" s="45">
        <v>1152776507.295423</v>
      </c>
      <c r="DJ29" s="45">
        <v>154346108.27184466</v>
      </c>
      <c r="DK29" s="45">
        <v>87872078.823855758</v>
      </c>
      <c r="DL29" s="45">
        <v>325292844.38280165</v>
      </c>
      <c r="DM29" s="45">
        <v>398368961.15395284</v>
      </c>
      <c r="DN29" s="45">
        <v>72299887.844660193</v>
      </c>
      <c r="DO29" s="45">
        <v>110553312.39944522</v>
      </c>
      <c r="DP29" s="45">
        <v>92725674.074895978</v>
      </c>
      <c r="DQ29" s="45"/>
      <c r="DR29" s="45">
        <v>111201389.35922331</v>
      </c>
      <c r="DS29" s="45">
        <v>21575296.532593619</v>
      </c>
      <c r="DT29" s="45">
        <v>270848000</v>
      </c>
      <c r="DU29" s="45"/>
      <c r="DV29" s="45"/>
      <c r="DW29" s="45"/>
      <c r="DX29" s="45"/>
      <c r="DY29" s="45"/>
      <c r="DZ29" s="45"/>
      <c r="EA29" s="45"/>
      <c r="EB29" s="45"/>
      <c r="EC29" s="45"/>
      <c r="ED29" s="45"/>
      <c r="EE29" s="45"/>
      <c r="EF29" s="45"/>
      <c r="EG29" s="45"/>
      <c r="EH29" s="45"/>
      <c r="EI29" s="45"/>
      <c r="EJ29" s="45">
        <v>63309622.324549235</v>
      </c>
      <c r="EK29" s="45">
        <v>25190240.932038836</v>
      </c>
      <c r="EL29" s="45">
        <v>8.563109764044885</v>
      </c>
      <c r="EM29" s="45">
        <v>15.996284966581989</v>
      </c>
      <c r="EN29" s="45">
        <v>7.4332957292524107</v>
      </c>
      <c r="EO29" s="45"/>
      <c r="EP29" s="45"/>
      <c r="EQ29" s="45"/>
    </row>
    <row r="30" spans="1:147" ht="15" customHeight="1" x14ac:dyDescent="0.25">
      <c r="A30" s="38" t="s">
        <v>484</v>
      </c>
      <c r="B30" s="99" t="s">
        <v>881</v>
      </c>
      <c r="C30" s="11" t="s">
        <v>485</v>
      </c>
      <c r="D30" s="13" t="s">
        <v>208</v>
      </c>
      <c r="E30" s="13" t="s">
        <v>222</v>
      </c>
      <c r="F30" s="118" t="s">
        <v>196</v>
      </c>
      <c r="G30" s="118"/>
      <c r="H30" s="118"/>
      <c r="I30" s="23"/>
      <c r="J30" s="53" t="s">
        <v>233</v>
      </c>
      <c r="K30" s="45">
        <v>15458.460573476703</v>
      </c>
      <c r="L30" s="45">
        <v>7403.073937201847</v>
      </c>
      <c r="M30" s="45">
        <v>24.983677016996296</v>
      </c>
      <c r="N30" s="45"/>
      <c r="O30" s="45"/>
      <c r="P30" s="45"/>
      <c r="Q30" s="45">
        <v>2.7894761841591182</v>
      </c>
      <c r="R30" s="45"/>
      <c r="S30" s="45"/>
      <c r="T30" s="45"/>
      <c r="U30" s="45">
        <v>17825.701721472273</v>
      </c>
      <c r="V30" s="45"/>
      <c r="W30" s="45"/>
      <c r="X30" s="45"/>
      <c r="Y30" s="45"/>
      <c r="Z30" s="45"/>
      <c r="AA30" s="45"/>
      <c r="AB30" s="45"/>
      <c r="AC30" s="45"/>
      <c r="AD30" s="45"/>
      <c r="AE30" s="45">
        <v>99.367836992294102</v>
      </c>
      <c r="AF30" s="45">
        <v>27619.46228297579</v>
      </c>
      <c r="AG30" s="45">
        <v>13015.523953458707</v>
      </c>
      <c r="AH30" s="45">
        <v>2.9901295929809812</v>
      </c>
      <c r="AI30" s="45"/>
      <c r="AJ30" s="45">
        <v>4.6009090287118214E-2</v>
      </c>
      <c r="AK30" s="45"/>
      <c r="AL30" s="45">
        <v>3.6775556927783213</v>
      </c>
      <c r="AM30" s="45">
        <v>6.7336692938522666E-2</v>
      </c>
      <c r="AN30" s="45"/>
      <c r="AO30" s="45">
        <v>18.182072716998469</v>
      </c>
      <c r="AP30" s="45">
        <v>1.1923178830909411</v>
      </c>
      <c r="AQ30" s="45">
        <v>0.10925233227894589</v>
      </c>
      <c r="AR30" s="45">
        <v>0.55498894003197186</v>
      </c>
      <c r="AS30" s="45">
        <v>5.0774073710104108</v>
      </c>
      <c r="AT30" s="45">
        <v>4.0374258837640217E-2</v>
      </c>
      <c r="AU30" s="45">
        <v>1.4331440551303369</v>
      </c>
      <c r="AV30" s="45">
        <v>0.63006437855015596</v>
      </c>
      <c r="AW30" s="45">
        <v>4.6742143579926714E-3</v>
      </c>
      <c r="AX30" s="45">
        <v>1.0253724460484777</v>
      </c>
      <c r="AY30" s="45">
        <v>2.7588754026415269E-2</v>
      </c>
      <c r="AZ30" s="45">
        <v>4.0432741452071195</v>
      </c>
      <c r="BA30" s="45"/>
      <c r="BB30" s="45"/>
      <c r="BC30" s="45"/>
      <c r="BD30" s="45"/>
      <c r="BE30" s="45"/>
      <c r="BF30" s="45"/>
      <c r="BG30" s="45"/>
      <c r="BH30" s="45"/>
      <c r="BI30" s="45"/>
      <c r="BJ30" s="45"/>
      <c r="BK30" s="45"/>
      <c r="BL30" s="45"/>
      <c r="BM30" s="45"/>
      <c r="BN30" s="45"/>
      <c r="BO30" s="45"/>
      <c r="BP30" s="45">
        <v>5.3380550383790741E-2</v>
      </c>
      <c r="BQ30" s="45">
        <v>0.15717449984275597</v>
      </c>
      <c r="BR30" s="45">
        <v>48535.672672621717</v>
      </c>
      <c r="BS30" s="45"/>
      <c r="BT30" s="45">
        <v>105.82337208148395</v>
      </c>
      <c r="BU30" s="45"/>
      <c r="BV30" s="45">
        <v>12280.691764634103</v>
      </c>
      <c r="BW30" s="45">
        <v>17.602625138807269</v>
      </c>
      <c r="BX30" s="45"/>
      <c r="BY30" s="45">
        <v>39286.931462687578</v>
      </c>
      <c r="BZ30" s="45">
        <v>5169.5873436551119</v>
      </c>
      <c r="CA30" s="45">
        <v>446.39274328790725</v>
      </c>
      <c r="CB30" s="45">
        <v>3161.4547644353088</v>
      </c>
      <c r="CC30" s="45">
        <v>105014.36919146712</v>
      </c>
      <c r="CD30" s="45">
        <v>98.976029514712195</v>
      </c>
      <c r="CE30" s="45">
        <v>41061.905834341458</v>
      </c>
      <c r="CF30" s="45">
        <v>7315.2250963837123</v>
      </c>
      <c r="CG30" s="45">
        <v>0.33123983793843575</v>
      </c>
      <c r="CH30" s="45">
        <v>30.388349241708852</v>
      </c>
      <c r="CI30" s="45">
        <v>118.17080377375218</v>
      </c>
      <c r="CJ30" s="45">
        <v>87325.433963216128</v>
      </c>
      <c r="CK30" s="45"/>
      <c r="CL30" s="45"/>
      <c r="CM30" s="45"/>
      <c r="CN30" s="45"/>
      <c r="CO30" s="45"/>
      <c r="CP30" s="45"/>
      <c r="CQ30" s="45"/>
      <c r="CR30" s="45"/>
      <c r="CS30" s="45"/>
      <c r="CT30" s="45"/>
      <c r="CU30" s="45"/>
      <c r="CV30" s="45"/>
      <c r="CW30" s="45"/>
      <c r="CX30" s="45"/>
      <c r="CY30" s="45"/>
      <c r="CZ30" s="45">
        <v>13.318096040129088</v>
      </c>
      <c r="DA30" s="45">
        <v>1.1214105702704074</v>
      </c>
      <c r="DB30" s="45">
        <v>501274752</v>
      </c>
      <c r="DC30" s="45"/>
      <c r="DD30" s="45">
        <v>23643161.691756271</v>
      </c>
      <c r="DE30" s="45"/>
      <c r="DF30" s="45">
        <v>140910222.990991</v>
      </c>
      <c r="DG30" s="45">
        <v>16525480.831541218</v>
      </c>
      <c r="DH30" s="45"/>
      <c r="DI30" s="45">
        <v>1264570779.8061042</v>
      </c>
      <c r="DJ30" s="45">
        <v>117266006.25089605</v>
      </c>
      <c r="DK30" s="45">
        <v>104254093.3046595</v>
      </c>
      <c r="DL30" s="45">
        <v>263994144.11469534</v>
      </c>
      <c r="DM30" s="45">
        <v>375474638.45161289</v>
      </c>
      <c r="DN30" s="45">
        <v>42104200.716845877</v>
      </c>
      <c r="DO30" s="45">
        <v>107288487.91397849</v>
      </c>
      <c r="DP30" s="45">
        <v>99585629.591397852</v>
      </c>
      <c r="DQ30" s="45">
        <v>88114010.838709682</v>
      </c>
      <c r="DR30" s="45">
        <v>119899308.50179212</v>
      </c>
      <c r="DS30" s="45">
        <v>20633343.082437277</v>
      </c>
      <c r="DT30" s="45">
        <v>573569379.43801653</v>
      </c>
      <c r="DU30" s="45"/>
      <c r="DV30" s="45"/>
      <c r="DW30" s="45"/>
      <c r="DX30" s="45"/>
      <c r="DY30" s="45"/>
      <c r="DZ30" s="45"/>
      <c r="EA30" s="45"/>
      <c r="EB30" s="45"/>
      <c r="EC30" s="45"/>
      <c r="ED30" s="45"/>
      <c r="EE30" s="45"/>
      <c r="EF30" s="45"/>
      <c r="EG30" s="45"/>
      <c r="EH30" s="45"/>
      <c r="EI30" s="45"/>
      <c r="EJ30" s="45">
        <v>64158408.028673835</v>
      </c>
      <c r="EK30" s="45">
        <v>24432206.910394266</v>
      </c>
      <c r="EL30" s="45">
        <v>5.7824371072346503</v>
      </c>
      <c r="EM30" s="45">
        <v>11.293464762413999</v>
      </c>
      <c r="EN30" s="45">
        <v>5.5093543425310649</v>
      </c>
      <c r="EO30" s="45"/>
      <c r="EP30" s="45"/>
      <c r="EQ30" s="45"/>
    </row>
    <row r="31" spans="1:147" ht="15" customHeight="1" x14ac:dyDescent="0.25">
      <c r="A31" s="91" t="s">
        <v>486</v>
      </c>
      <c r="B31" s="130" t="s">
        <v>882</v>
      </c>
      <c r="C31" s="89" t="s">
        <v>487</v>
      </c>
      <c r="D31" s="90" t="s">
        <v>533</v>
      </c>
      <c r="E31" s="90" t="s">
        <v>222</v>
      </c>
      <c r="F31" s="119" t="s">
        <v>47</v>
      </c>
      <c r="G31" s="119"/>
      <c r="H31" s="119"/>
      <c r="I31" s="88"/>
      <c r="J31" s="32" t="s">
        <v>242</v>
      </c>
      <c r="K31" s="45"/>
      <c r="L31" s="45"/>
      <c r="M31" s="45"/>
      <c r="N31" s="45"/>
      <c r="O31" s="45"/>
      <c r="P31" s="45"/>
      <c r="Q31" s="45"/>
      <c r="R31" s="45"/>
      <c r="S31" s="45"/>
      <c r="T31" s="45"/>
      <c r="U31" s="45"/>
      <c r="V31" s="45"/>
      <c r="W31" s="45"/>
      <c r="X31" s="45"/>
      <c r="Y31" s="45"/>
      <c r="Z31" s="45"/>
      <c r="AA31" s="45"/>
      <c r="AB31" s="45"/>
      <c r="AC31" s="45"/>
      <c r="AD31" s="45"/>
      <c r="AE31" s="45"/>
      <c r="AF31" s="45"/>
      <c r="AG31" s="45"/>
      <c r="AH31" s="45"/>
      <c r="AI31" s="45"/>
      <c r="AJ31" s="45"/>
      <c r="AK31" s="45"/>
      <c r="AL31" s="45"/>
      <c r="AM31" s="45"/>
      <c r="AN31" s="45"/>
      <c r="AO31" s="45"/>
      <c r="AP31" s="45"/>
      <c r="AQ31" s="45"/>
      <c r="AR31" s="45"/>
      <c r="AS31" s="45"/>
      <c r="AT31" s="45"/>
      <c r="AU31" s="45"/>
      <c r="AV31" s="45"/>
      <c r="AW31" s="45"/>
      <c r="AX31" s="45"/>
      <c r="AY31" s="45"/>
      <c r="AZ31" s="45"/>
      <c r="BA31" s="45"/>
      <c r="BB31" s="45"/>
      <c r="BC31" s="45"/>
      <c r="BD31" s="45"/>
      <c r="BE31" s="45"/>
      <c r="BF31" s="45"/>
      <c r="BG31" s="45"/>
      <c r="BH31" s="45"/>
      <c r="BI31" s="45"/>
      <c r="BJ31" s="45"/>
      <c r="BK31" s="45"/>
      <c r="BL31" s="45"/>
      <c r="BM31" s="45"/>
      <c r="BN31" s="45"/>
      <c r="BO31" s="45"/>
      <c r="BP31" s="45"/>
      <c r="BQ31" s="45"/>
      <c r="BR31" s="45"/>
      <c r="BS31" s="45"/>
      <c r="BT31" s="45"/>
      <c r="BU31" s="45"/>
      <c r="BV31" s="45"/>
      <c r="BW31" s="45"/>
      <c r="BX31" s="45"/>
      <c r="BY31" s="45"/>
      <c r="BZ31" s="45"/>
      <c r="CA31" s="45"/>
      <c r="CB31" s="45"/>
      <c r="CC31" s="45"/>
      <c r="CD31" s="45"/>
      <c r="CE31" s="45"/>
      <c r="CF31" s="45"/>
      <c r="CG31" s="45"/>
      <c r="CH31" s="45"/>
      <c r="CI31" s="45"/>
      <c r="CJ31" s="45"/>
      <c r="CK31" s="45"/>
      <c r="CL31" s="45"/>
      <c r="CM31" s="45"/>
      <c r="CN31" s="45"/>
      <c r="CO31" s="45"/>
      <c r="CP31" s="45"/>
      <c r="CQ31" s="45"/>
      <c r="CR31" s="45"/>
      <c r="CS31" s="45"/>
      <c r="CT31" s="45"/>
      <c r="CU31" s="45"/>
      <c r="CV31" s="45"/>
      <c r="CW31" s="45"/>
      <c r="CX31" s="45"/>
      <c r="CY31" s="45"/>
      <c r="CZ31" s="45"/>
      <c r="DA31" s="45"/>
      <c r="DB31" s="45"/>
      <c r="DC31" s="45"/>
      <c r="DD31" s="45"/>
      <c r="DE31" s="45"/>
      <c r="DF31" s="45"/>
      <c r="DG31" s="45"/>
      <c r="DH31" s="45"/>
      <c r="DI31" s="45"/>
      <c r="DJ31" s="45"/>
      <c r="DK31" s="45"/>
      <c r="DL31" s="45"/>
      <c r="DM31" s="45"/>
      <c r="DN31" s="45"/>
      <c r="DO31" s="45"/>
      <c r="DP31" s="45"/>
      <c r="DQ31" s="45"/>
      <c r="DR31" s="45"/>
      <c r="DS31" s="45"/>
      <c r="DT31" s="45"/>
      <c r="DU31" s="45"/>
      <c r="DV31" s="45"/>
      <c r="DW31" s="45"/>
      <c r="DX31" s="45"/>
      <c r="DY31" s="45"/>
      <c r="DZ31" s="45"/>
      <c r="EA31" s="45"/>
      <c r="EB31" s="45"/>
      <c r="EC31" s="45"/>
      <c r="ED31" s="45"/>
      <c r="EE31" s="45"/>
      <c r="EF31" s="45"/>
      <c r="EG31" s="45"/>
      <c r="EH31" s="45"/>
      <c r="EI31" s="45"/>
      <c r="EJ31" s="45"/>
      <c r="EK31" s="45"/>
      <c r="EL31" s="45"/>
      <c r="EM31" s="45"/>
      <c r="EN31" s="45"/>
      <c r="EO31" s="45"/>
      <c r="EP31" s="45"/>
      <c r="EQ31" s="45"/>
    </row>
    <row r="32" spans="1:147" ht="15" customHeight="1" x14ac:dyDescent="0.25">
      <c r="A32" s="91" t="s">
        <v>488</v>
      </c>
      <c r="B32" s="130" t="s">
        <v>883</v>
      </c>
      <c r="C32" s="89" t="s">
        <v>489</v>
      </c>
      <c r="D32" s="90" t="s">
        <v>542</v>
      </c>
      <c r="E32" s="90" t="s">
        <v>222</v>
      </c>
      <c r="F32" s="119" t="s">
        <v>48</v>
      </c>
      <c r="G32" s="119"/>
      <c r="H32" s="119"/>
      <c r="I32" s="88"/>
      <c r="J32" s="32" t="s">
        <v>242</v>
      </c>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c r="BM32" s="45"/>
      <c r="BN32" s="45"/>
      <c r="BO32" s="45"/>
      <c r="BP32" s="45"/>
      <c r="BQ32" s="45"/>
      <c r="BR32" s="45"/>
      <c r="BS32" s="45"/>
      <c r="BT32" s="45"/>
      <c r="BU32" s="45"/>
      <c r="BV32" s="45"/>
      <c r="BW32" s="45"/>
      <c r="BX32" s="45"/>
      <c r="BY32" s="45"/>
      <c r="BZ32" s="45"/>
      <c r="CA32" s="45"/>
      <c r="CB32" s="45"/>
      <c r="CC32" s="45"/>
      <c r="CD32" s="45"/>
      <c r="CE32" s="45"/>
      <c r="CF32" s="45"/>
      <c r="CG32" s="45"/>
      <c r="CH32" s="45"/>
      <c r="CI32" s="45"/>
      <c r="CJ32" s="45"/>
      <c r="CK32" s="45"/>
      <c r="CL32" s="45"/>
      <c r="CM32" s="45"/>
      <c r="CN32" s="45"/>
      <c r="CO32" s="45"/>
      <c r="CP32" s="45"/>
      <c r="CQ32" s="45"/>
      <c r="CR32" s="45"/>
      <c r="CS32" s="45"/>
      <c r="CT32" s="45"/>
      <c r="CU32" s="45"/>
      <c r="CV32" s="45"/>
      <c r="CW32" s="45"/>
      <c r="CX32" s="45"/>
      <c r="CY32" s="45"/>
      <c r="CZ32" s="45"/>
      <c r="DA32" s="45"/>
      <c r="DB32" s="45"/>
      <c r="DC32" s="45"/>
      <c r="DD32" s="45"/>
      <c r="DE32" s="45"/>
      <c r="DF32" s="45"/>
      <c r="DG32" s="45"/>
      <c r="DH32" s="45"/>
      <c r="DI32" s="45"/>
      <c r="DJ32" s="45"/>
      <c r="DK32" s="45"/>
      <c r="DL32" s="45"/>
      <c r="DM32" s="45"/>
      <c r="DN32" s="45"/>
      <c r="DO32" s="45"/>
      <c r="DP32" s="45"/>
      <c r="DQ32" s="45"/>
      <c r="DR32" s="45"/>
      <c r="DS32" s="45"/>
      <c r="DT32" s="45"/>
      <c r="DU32" s="45"/>
      <c r="DV32" s="45"/>
      <c r="DW32" s="45"/>
      <c r="DX32" s="45"/>
      <c r="DY32" s="45"/>
      <c r="DZ32" s="45"/>
      <c r="EA32" s="45"/>
      <c r="EB32" s="45"/>
      <c r="EC32" s="45"/>
      <c r="ED32" s="45"/>
      <c r="EE32" s="45"/>
      <c r="EF32" s="45"/>
      <c r="EG32" s="45"/>
      <c r="EH32" s="45"/>
      <c r="EI32" s="45"/>
      <c r="EJ32" s="45"/>
      <c r="EK32" s="45"/>
      <c r="EL32" s="45"/>
      <c r="EM32" s="45"/>
      <c r="EN32" s="45"/>
      <c r="EO32" s="45"/>
      <c r="EP32" s="45"/>
      <c r="EQ32" s="45"/>
    </row>
    <row r="33" spans="1:147" ht="15" customHeight="1" x14ac:dyDescent="0.25">
      <c r="A33" s="38" t="s">
        <v>490</v>
      </c>
      <c r="B33" s="99" t="s">
        <v>884</v>
      </c>
      <c r="C33" s="11" t="s">
        <v>491</v>
      </c>
      <c r="D33" s="13" t="s">
        <v>532</v>
      </c>
      <c r="E33" s="13" t="s">
        <v>222</v>
      </c>
      <c r="F33" s="118" t="s">
        <v>31</v>
      </c>
      <c r="G33" s="118"/>
      <c r="H33" s="118"/>
      <c r="I33" s="23"/>
      <c r="J33" s="53" t="s">
        <v>233</v>
      </c>
      <c r="K33" s="45">
        <v>3361.8321775312065</v>
      </c>
      <c r="L33" s="45">
        <v>8392.1871698732975</v>
      </c>
      <c r="M33" s="45">
        <v>367.38432908489347</v>
      </c>
      <c r="N33" s="45"/>
      <c r="O33" s="45"/>
      <c r="P33" s="45"/>
      <c r="Q33" s="45">
        <v>3.6364555458727623</v>
      </c>
      <c r="R33" s="45">
        <v>7940.4807185696272</v>
      </c>
      <c r="S33" s="45"/>
      <c r="T33" s="45"/>
      <c r="U33" s="45">
        <v>19649.947324042911</v>
      </c>
      <c r="V33" s="45"/>
      <c r="W33" s="45"/>
      <c r="X33" s="45"/>
      <c r="Y33" s="45"/>
      <c r="Z33" s="45"/>
      <c r="AA33" s="45">
        <v>12751.367328677426</v>
      </c>
      <c r="AB33" s="45"/>
      <c r="AC33" s="45"/>
      <c r="AD33" s="45"/>
      <c r="AE33" s="45">
        <v>96.329239788994528</v>
      </c>
      <c r="AF33" s="45">
        <v>43040.195179763141</v>
      </c>
      <c r="AG33" s="45">
        <v>20459.03660723451</v>
      </c>
      <c r="AH33" s="45">
        <v>3.8793803470177153</v>
      </c>
      <c r="AI33" s="45"/>
      <c r="AJ33" s="45">
        <v>5.867180425966334E-2</v>
      </c>
      <c r="AK33" s="45"/>
      <c r="AL33" s="45">
        <v>28.094783304759101</v>
      </c>
      <c r="AM33" s="45">
        <v>0.45733886983169636</v>
      </c>
      <c r="AN33" s="45"/>
      <c r="AO33" s="45">
        <v>16.911578036327423</v>
      </c>
      <c r="AP33" s="45">
        <v>6.5128707714045331E-2</v>
      </c>
      <c r="AQ33" s="45">
        <v>0.11147100483954983</v>
      </c>
      <c r="AR33" s="45">
        <v>0.43068852608449842</v>
      </c>
      <c r="AS33" s="45">
        <v>9.1722965986943574</v>
      </c>
      <c r="AT33" s="45">
        <v>8.9054690200829081E-2</v>
      </c>
      <c r="AU33" s="45">
        <v>0.31603514935809013</v>
      </c>
      <c r="AV33" s="45">
        <v>0.11777499420732411</v>
      </c>
      <c r="AW33" s="45"/>
      <c r="AX33" s="45">
        <v>0.47432538686759107</v>
      </c>
      <c r="AY33" s="45">
        <v>4.322626570663278E-2</v>
      </c>
      <c r="AZ33" s="45">
        <v>5.9237375816272708</v>
      </c>
      <c r="BA33" s="45"/>
      <c r="BB33" s="45"/>
      <c r="BC33" s="45"/>
      <c r="BD33" s="45"/>
      <c r="BE33" s="45"/>
      <c r="BF33" s="45">
        <v>1.7344816204514359</v>
      </c>
      <c r="BG33" s="45"/>
      <c r="BH33" s="45"/>
      <c r="BI33" s="45"/>
      <c r="BJ33" s="45"/>
      <c r="BK33" s="45"/>
      <c r="BL33" s="45"/>
      <c r="BM33" s="45"/>
      <c r="BN33" s="45"/>
      <c r="BO33" s="45"/>
      <c r="BP33" s="45">
        <v>7.0179743545530734E-2</v>
      </c>
      <c r="BQ33" s="45">
        <v>0.25749224554647671</v>
      </c>
      <c r="BR33" s="45">
        <v>34328.062205146634</v>
      </c>
      <c r="BS33" s="45"/>
      <c r="BT33" s="45">
        <v>61.409510328066595</v>
      </c>
      <c r="BU33" s="45"/>
      <c r="BV33" s="45">
        <v>23997.268412012101</v>
      </c>
      <c r="BW33" s="45">
        <v>577.30083035688244</v>
      </c>
      <c r="BX33" s="45"/>
      <c r="BY33" s="45">
        <v>46800.071890987034</v>
      </c>
      <c r="BZ33" s="45">
        <v>1477.6493351112588</v>
      </c>
      <c r="CA33" s="45">
        <v>6.8887182549821215</v>
      </c>
      <c r="CB33" s="45">
        <v>114.38788040638352</v>
      </c>
      <c r="CC33" s="45">
        <v>706632.21237074863</v>
      </c>
      <c r="CD33" s="45">
        <v>192.4315336810869</v>
      </c>
      <c r="CE33" s="45">
        <v>16246.300539795086</v>
      </c>
      <c r="CF33" s="45">
        <v>9153.2520882424542</v>
      </c>
      <c r="CG33" s="45"/>
      <c r="CH33" s="45">
        <v>25.506569622007301</v>
      </c>
      <c r="CI33" s="45">
        <v>120.23574204328749</v>
      </c>
      <c r="CJ33" s="45">
        <v>100500.27330781362</v>
      </c>
      <c r="CK33" s="45"/>
      <c r="CL33" s="45"/>
      <c r="CM33" s="45"/>
      <c r="CN33" s="45"/>
      <c r="CO33" s="45"/>
      <c r="CP33" s="45">
        <v>113554.03980647802</v>
      </c>
      <c r="CQ33" s="45"/>
      <c r="CR33" s="45"/>
      <c r="CS33" s="45"/>
      <c r="CT33" s="45"/>
      <c r="CU33" s="45"/>
      <c r="CV33" s="45"/>
      <c r="CW33" s="45"/>
      <c r="CX33" s="45"/>
      <c r="CY33" s="45"/>
      <c r="CZ33" s="45">
        <v>13.218213516599144</v>
      </c>
      <c r="DA33" s="45">
        <v>12.746393480427432</v>
      </c>
      <c r="DB33" s="45">
        <v>493377414.81656808</v>
      </c>
      <c r="DC33" s="45"/>
      <c r="DD33" s="45">
        <v>24371131.828016642</v>
      </c>
      <c r="DE33" s="45"/>
      <c r="DF33" s="45">
        <v>555028480</v>
      </c>
      <c r="DG33" s="45">
        <v>56517022.712898754</v>
      </c>
      <c r="DH33" s="45"/>
      <c r="DI33" s="45">
        <v>1877762939.9167821</v>
      </c>
      <c r="DJ33" s="45">
        <v>138854610.19694868</v>
      </c>
      <c r="DK33" s="45">
        <v>64283300.038834952</v>
      </c>
      <c r="DL33" s="45">
        <v>201435456.97642162</v>
      </c>
      <c r="DM33" s="45">
        <v>378829581.13730931</v>
      </c>
      <c r="DN33" s="45">
        <v>44969188.660194173</v>
      </c>
      <c r="DO33" s="45">
        <v>88512105.808599174</v>
      </c>
      <c r="DP33" s="45">
        <v>98223636.593619972</v>
      </c>
      <c r="DQ33" s="45"/>
      <c r="DR33" s="45">
        <v>112891548.93758668</v>
      </c>
      <c r="DS33" s="45">
        <v>22544668.049930651</v>
      </c>
      <c r="DT33" s="45">
        <v>313691867.4285714</v>
      </c>
      <c r="DU33" s="45"/>
      <c r="DV33" s="45"/>
      <c r="DW33" s="45"/>
      <c r="DX33" s="45"/>
      <c r="DY33" s="45"/>
      <c r="DZ33" s="45">
        <v>107803857.54440154</v>
      </c>
      <c r="EA33" s="45"/>
      <c r="EB33" s="45"/>
      <c r="EC33" s="45"/>
      <c r="ED33" s="45"/>
      <c r="EE33" s="45"/>
      <c r="EF33" s="45"/>
      <c r="EG33" s="45"/>
      <c r="EH33" s="45"/>
      <c r="EI33" s="45"/>
      <c r="EJ33" s="45">
        <v>65273645.803051315</v>
      </c>
      <c r="EK33" s="45">
        <v>27532249.653259363</v>
      </c>
      <c r="EL33" s="45">
        <v>6.9597521457296905</v>
      </c>
      <c r="EM33" s="45">
        <v>14.031515412710128</v>
      </c>
      <c r="EN33" s="45">
        <v>7.0859050716199325</v>
      </c>
      <c r="EO33" s="45"/>
      <c r="EP33" s="45"/>
      <c r="EQ33" s="45"/>
    </row>
    <row r="34" spans="1:147" ht="15" customHeight="1" x14ac:dyDescent="0.25">
      <c r="A34" s="91" t="s">
        <v>492</v>
      </c>
      <c r="B34" s="130" t="s">
        <v>857</v>
      </c>
      <c r="C34" s="89" t="s">
        <v>493</v>
      </c>
      <c r="D34" s="90" t="s">
        <v>540</v>
      </c>
      <c r="E34" s="90" t="s">
        <v>222</v>
      </c>
      <c r="F34" s="119" t="s">
        <v>196</v>
      </c>
      <c r="G34" s="119"/>
      <c r="H34" s="119"/>
      <c r="I34" s="88"/>
      <c r="J34" s="89"/>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c r="BM34" s="45"/>
      <c r="BN34" s="45"/>
      <c r="BO34" s="45"/>
      <c r="BP34" s="45"/>
      <c r="BQ34" s="45"/>
      <c r="BR34" s="45"/>
      <c r="BS34" s="45"/>
      <c r="BT34" s="45"/>
      <c r="BU34" s="45"/>
      <c r="BV34" s="45"/>
      <c r="BW34" s="45"/>
      <c r="BX34" s="45"/>
      <c r="BY34" s="45"/>
      <c r="BZ34" s="45"/>
      <c r="CA34" s="45"/>
      <c r="CB34" s="45"/>
      <c r="CC34" s="45"/>
      <c r="CD34" s="45"/>
      <c r="CE34" s="45"/>
      <c r="CF34" s="45"/>
      <c r="CG34" s="45"/>
      <c r="CH34" s="45"/>
      <c r="CI34" s="45"/>
      <c r="CJ34" s="45"/>
      <c r="CK34" s="45"/>
      <c r="CL34" s="45"/>
      <c r="CM34" s="45"/>
      <c r="CN34" s="45"/>
      <c r="CO34" s="45"/>
      <c r="CP34" s="45"/>
      <c r="CQ34" s="45"/>
      <c r="CR34" s="45"/>
      <c r="CS34" s="45"/>
      <c r="CT34" s="45"/>
      <c r="CU34" s="45"/>
      <c r="CV34" s="45"/>
      <c r="CW34" s="45"/>
      <c r="CX34" s="45"/>
      <c r="CY34" s="45"/>
      <c r="CZ34" s="45"/>
      <c r="DA34" s="45"/>
      <c r="DB34" s="45"/>
      <c r="DC34" s="45"/>
      <c r="DD34" s="45"/>
      <c r="DE34" s="45"/>
      <c r="DF34" s="45"/>
      <c r="DG34" s="45"/>
      <c r="DH34" s="45"/>
      <c r="DI34" s="45"/>
      <c r="DJ34" s="45"/>
      <c r="DK34" s="45"/>
      <c r="DL34" s="45"/>
      <c r="DM34" s="45"/>
      <c r="DN34" s="45"/>
      <c r="DO34" s="45"/>
      <c r="DP34" s="45"/>
      <c r="DQ34" s="45"/>
      <c r="DR34" s="45"/>
      <c r="DS34" s="45"/>
      <c r="DT34" s="45"/>
      <c r="DU34" s="45"/>
      <c r="DV34" s="45"/>
      <c r="DW34" s="45"/>
      <c r="DX34" s="45"/>
      <c r="DY34" s="45"/>
      <c r="DZ34" s="45"/>
      <c r="EA34" s="45"/>
      <c r="EB34" s="45"/>
      <c r="EC34" s="45"/>
      <c r="ED34" s="45"/>
      <c r="EE34" s="45"/>
      <c r="EF34" s="45"/>
      <c r="EG34" s="45"/>
      <c r="EH34" s="45"/>
      <c r="EI34" s="45"/>
      <c r="EJ34" s="45"/>
      <c r="EK34" s="45"/>
      <c r="EL34" s="45"/>
      <c r="EM34" s="45"/>
      <c r="EN34" s="45"/>
      <c r="EO34" s="45"/>
      <c r="EP34" s="45"/>
      <c r="EQ34" s="45"/>
    </row>
    <row r="35" spans="1:147" ht="15" customHeight="1" x14ac:dyDescent="0.25">
      <c r="A35" s="91" t="s">
        <v>494</v>
      </c>
      <c r="B35" s="130" t="s">
        <v>549</v>
      </c>
      <c r="C35" s="89" t="s">
        <v>495</v>
      </c>
      <c r="D35" s="90" t="s">
        <v>537</v>
      </c>
      <c r="E35" s="90" t="s">
        <v>222</v>
      </c>
      <c r="F35" s="119" t="s">
        <v>31</v>
      </c>
      <c r="G35" s="119"/>
      <c r="H35" s="119"/>
      <c r="I35" s="88"/>
      <c r="J35" s="32" t="s">
        <v>242</v>
      </c>
      <c r="K35" s="45"/>
      <c r="L35" s="45"/>
      <c r="M35" s="45"/>
      <c r="N35" s="45"/>
      <c r="O35" s="45"/>
      <c r="P35" s="45"/>
      <c r="Q35" s="45"/>
      <c r="R35" s="45"/>
      <c r="S35" s="45"/>
      <c r="T35" s="45"/>
      <c r="U35" s="45"/>
      <c r="V35" s="45"/>
      <c r="W35" s="45"/>
      <c r="X35" s="45"/>
      <c r="Y35" s="45"/>
      <c r="Z35" s="45"/>
      <c r="AA35" s="45"/>
      <c r="AB35" s="45"/>
      <c r="AC35" s="45"/>
      <c r="AD35" s="45"/>
      <c r="AE35" s="45"/>
      <c r="AF35" s="45"/>
      <c r="AG35" s="45"/>
      <c r="AH35" s="45"/>
      <c r="AI35" s="45"/>
      <c r="AJ35" s="45"/>
      <c r="AK35" s="45"/>
      <c r="AL35" s="45"/>
      <c r="AM35" s="45"/>
      <c r="AN35" s="45"/>
      <c r="AO35" s="45"/>
      <c r="AP35" s="45"/>
      <c r="AQ35" s="45"/>
      <c r="AR35" s="45"/>
      <c r="AS35" s="45"/>
      <c r="AT35" s="45"/>
      <c r="AU35" s="45"/>
      <c r="AV35" s="45"/>
      <c r="AW35" s="45"/>
      <c r="AX35" s="45"/>
      <c r="AY35" s="45"/>
      <c r="AZ35" s="45"/>
      <c r="BA35" s="45"/>
      <c r="BB35" s="45"/>
      <c r="BC35" s="45"/>
      <c r="BD35" s="45"/>
      <c r="BE35" s="45"/>
      <c r="BF35" s="45"/>
      <c r="BG35" s="45"/>
      <c r="BH35" s="45"/>
      <c r="BI35" s="45"/>
      <c r="BJ35" s="45"/>
      <c r="BK35" s="45"/>
      <c r="BL35" s="45"/>
      <c r="BM35" s="45"/>
      <c r="BN35" s="45"/>
      <c r="BO35" s="45"/>
      <c r="BP35" s="45"/>
      <c r="BQ35" s="45"/>
      <c r="BR35" s="45"/>
      <c r="BS35" s="45"/>
      <c r="BT35" s="45"/>
      <c r="BU35" s="45"/>
      <c r="BV35" s="45"/>
      <c r="BW35" s="45"/>
      <c r="BX35" s="45"/>
      <c r="BY35" s="45"/>
      <c r="BZ35" s="45"/>
      <c r="CA35" s="45"/>
      <c r="CB35" s="45"/>
      <c r="CC35" s="45"/>
      <c r="CD35" s="45"/>
      <c r="CE35" s="45"/>
      <c r="CF35" s="45"/>
      <c r="CG35" s="45"/>
      <c r="CH35" s="45"/>
      <c r="CI35" s="45"/>
      <c r="CJ35" s="45"/>
      <c r="CK35" s="45"/>
      <c r="CL35" s="45"/>
      <c r="CM35" s="45"/>
      <c r="CN35" s="45"/>
      <c r="CO35" s="45"/>
      <c r="CP35" s="45"/>
      <c r="CQ35" s="45"/>
      <c r="CR35" s="45"/>
      <c r="CS35" s="45"/>
      <c r="CT35" s="45"/>
      <c r="CU35" s="45"/>
      <c r="CV35" s="45"/>
      <c r="CW35" s="45"/>
      <c r="CX35" s="45"/>
      <c r="CY35" s="45"/>
      <c r="CZ35" s="45"/>
      <c r="DA35" s="45"/>
      <c r="DB35" s="45"/>
      <c r="DC35" s="45"/>
      <c r="DD35" s="45"/>
      <c r="DE35" s="45"/>
      <c r="DF35" s="45"/>
      <c r="DG35" s="45"/>
      <c r="DH35" s="45"/>
      <c r="DI35" s="45"/>
      <c r="DJ35" s="45"/>
      <c r="DK35" s="45"/>
      <c r="DL35" s="45"/>
      <c r="DM35" s="45"/>
      <c r="DN35" s="45"/>
      <c r="DO35" s="45"/>
      <c r="DP35" s="45"/>
      <c r="DQ35" s="45"/>
      <c r="DR35" s="45"/>
      <c r="DS35" s="45"/>
      <c r="DT35" s="45"/>
      <c r="DU35" s="45"/>
      <c r="DV35" s="45"/>
      <c r="DW35" s="45"/>
      <c r="DX35" s="45"/>
      <c r="DY35" s="45"/>
      <c r="DZ35" s="45"/>
      <c r="EA35" s="45"/>
      <c r="EB35" s="45"/>
      <c r="EC35" s="45"/>
      <c r="ED35" s="45"/>
      <c r="EE35" s="45"/>
      <c r="EF35" s="45"/>
      <c r="EG35" s="45"/>
      <c r="EH35" s="45"/>
      <c r="EI35" s="45"/>
      <c r="EJ35" s="45"/>
      <c r="EK35" s="45"/>
      <c r="EL35" s="45"/>
      <c r="EM35" s="45"/>
      <c r="EN35" s="45"/>
      <c r="EO35" s="45"/>
      <c r="EP35" s="45"/>
      <c r="EQ35" s="45"/>
    </row>
    <row r="36" spans="1:147" ht="15" customHeight="1" x14ac:dyDescent="0.25">
      <c r="A36" s="91" t="s">
        <v>496</v>
      </c>
      <c r="B36" s="130" t="s">
        <v>858</v>
      </c>
      <c r="C36" s="89" t="s">
        <v>497</v>
      </c>
      <c r="D36" s="90" t="s">
        <v>533</v>
      </c>
      <c r="E36" s="90" t="s">
        <v>222</v>
      </c>
      <c r="F36" s="119" t="s">
        <v>48</v>
      </c>
      <c r="G36" s="119"/>
      <c r="H36" s="119"/>
      <c r="I36" s="88"/>
      <c r="J36" s="32" t="s">
        <v>242</v>
      </c>
      <c r="K36" s="45"/>
      <c r="L36" s="45"/>
      <c r="M36" s="45"/>
      <c r="N36" s="45"/>
      <c r="O36" s="45"/>
      <c r="P36" s="45"/>
      <c r="Q36" s="45"/>
      <c r="R36" s="45"/>
      <c r="S36" s="45"/>
      <c r="T36" s="45"/>
      <c r="U36" s="45"/>
      <c r="V36" s="45"/>
      <c r="W36" s="45"/>
      <c r="X36" s="45"/>
      <c r="Y36" s="45"/>
      <c r="Z36" s="45"/>
      <c r="AA36" s="45"/>
      <c r="AB36" s="45"/>
      <c r="AC36" s="45"/>
      <c r="AD36" s="45"/>
      <c r="AE36" s="45"/>
      <c r="AF36" s="45"/>
      <c r="AG36" s="45"/>
      <c r="AH36" s="45"/>
      <c r="AI36" s="45"/>
      <c r="AJ36" s="45"/>
      <c r="AK36" s="45"/>
      <c r="AL36" s="45"/>
      <c r="AM36" s="45"/>
      <c r="AN36" s="45"/>
      <c r="AO36" s="45"/>
      <c r="AP36" s="45"/>
      <c r="AQ36" s="45"/>
      <c r="AR36" s="45"/>
      <c r="AS36" s="45"/>
      <c r="AT36" s="45"/>
      <c r="AU36" s="45"/>
      <c r="AV36" s="45"/>
      <c r="AW36" s="45"/>
      <c r="AX36" s="45"/>
      <c r="AY36" s="45"/>
      <c r="AZ36" s="45"/>
      <c r="BA36" s="45"/>
      <c r="BB36" s="45"/>
      <c r="BC36" s="45"/>
      <c r="BD36" s="45"/>
      <c r="BE36" s="45"/>
      <c r="BF36" s="45"/>
      <c r="BG36" s="45"/>
      <c r="BH36" s="45"/>
      <c r="BI36" s="45"/>
      <c r="BJ36" s="45"/>
      <c r="BK36" s="45"/>
      <c r="BL36" s="45"/>
      <c r="BM36" s="45"/>
      <c r="BN36" s="45"/>
      <c r="BO36" s="45"/>
      <c r="BP36" s="45"/>
      <c r="BQ36" s="45"/>
      <c r="BR36" s="45"/>
      <c r="BS36" s="45"/>
      <c r="BT36" s="45"/>
      <c r="BU36" s="45"/>
      <c r="BV36" s="45"/>
      <c r="BW36" s="45"/>
      <c r="BX36" s="45"/>
      <c r="BY36" s="45"/>
      <c r="BZ36" s="45"/>
      <c r="CA36" s="45"/>
      <c r="CB36" s="45"/>
      <c r="CC36" s="45"/>
      <c r="CD36" s="45"/>
      <c r="CE36" s="45"/>
      <c r="CF36" s="45"/>
      <c r="CG36" s="45"/>
      <c r="CH36" s="45"/>
      <c r="CI36" s="45"/>
      <c r="CJ36" s="45"/>
      <c r="CK36" s="45"/>
      <c r="CL36" s="45"/>
      <c r="CM36" s="45"/>
      <c r="CN36" s="45"/>
      <c r="CO36" s="45"/>
      <c r="CP36" s="45"/>
      <c r="CQ36" s="45"/>
      <c r="CR36" s="45"/>
      <c r="CS36" s="45"/>
      <c r="CT36" s="45"/>
      <c r="CU36" s="45"/>
      <c r="CV36" s="45"/>
      <c r="CW36" s="45"/>
      <c r="CX36" s="45"/>
      <c r="CY36" s="45"/>
      <c r="CZ36" s="45"/>
      <c r="DA36" s="45"/>
      <c r="DB36" s="45"/>
      <c r="DC36" s="45"/>
      <c r="DD36" s="45"/>
      <c r="DE36" s="45"/>
      <c r="DF36" s="45"/>
      <c r="DG36" s="45"/>
      <c r="DH36" s="45"/>
      <c r="DI36" s="45"/>
      <c r="DJ36" s="45"/>
      <c r="DK36" s="45"/>
      <c r="DL36" s="45"/>
      <c r="DM36" s="45"/>
      <c r="DN36" s="45"/>
      <c r="DO36" s="45"/>
      <c r="DP36" s="45"/>
      <c r="DQ36" s="45"/>
      <c r="DR36" s="45"/>
      <c r="DS36" s="45"/>
      <c r="DT36" s="45"/>
      <c r="DU36" s="45"/>
      <c r="DV36" s="45"/>
      <c r="DW36" s="45"/>
      <c r="DX36" s="45"/>
      <c r="DY36" s="45"/>
      <c r="DZ36" s="45"/>
      <c r="EA36" s="45"/>
      <c r="EB36" s="45"/>
      <c r="EC36" s="45"/>
      <c r="ED36" s="45"/>
      <c r="EE36" s="45"/>
      <c r="EF36" s="45"/>
      <c r="EG36" s="45"/>
      <c r="EH36" s="45"/>
      <c r="EI36" s="45"/>
      <c r="EJ36" s="45"/>
      <c r="EK36" s="45"/>
      <c r="EL36" s="45"/>
      <c r="EM36" s="45"/>
      <c r="EN36" s="45"/>
      <c r="EO36" s="45"/>
      <c r="EP36" s="45"/>
      <c r="EQ36" s="45"/>
    </row>
    <row r="37" spans="1:147" ht="15" customHeight="1" x14ac:dyDescent="0.25">
      <c r="A37" s="131" t="s">
        <v>498</v>
      </c>
      <c r="B37" s="130" t="s">
        <v>885</v>
      </c>
      <c r="C37" s="89" t="s">
        <v>499</v>
      </c>
      <c r="D37" s="90" t="s">
        <v>532</v>
      </c>
      <c r="E37" s="90" t="s">
        <v>222</v>
      </c>
      <c r="F37" s="119" t="s">
        <v>48</v>
      </c>
      <c r="G37" s="119"/>
      <c r="H37" s="119"/>
      <c r="I37" s="88"/>
      <c r="J37" s="88"/>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5"/>
      <c r="BK37" s="45"/>
      <c r="BL37" s="45"/>
      <c r="BM37" s="45"/>
      <c r="BN37" s="45"/>
      <c r="BO37" s="45"/>
      <c r="BP37" s="45"/>
      <c r="BQ37" s="45"/>
      <c r="BR37" s="45"/>
      <c r="BS37" s="45"/>
      <c r="BT37" s="45"/>
      <c r="BU37" s="45"/>
      <c r="BV37" s="45"/>
      <c r="BW37" s="45"/>
      <c r="BX37" s="45"/>
      <c r="BY37" s="45"/>
      <c r="BZ37" s="45"/>
      <c r="CA37" s="45"/>
      <c r="CB37" s="45"/>
      <c r="CC37" s="45"/>
      <c r="CD37" s="45"/>
      <c r="CE37" s="45"/>
      <c r="CF37" s="45"/>
      <c r="CG37" s="45"/>
      <c r="CH37" s="45"/>
      <c r="CI37" s="45"/>
      <c r="CJ37" s="45"/>
      <c r="CK37" s="45"/>
      <c r="CL37" s="45"/>
      <c r="CM37" s="45"/>
      <c r="CN37" s="45"/>
      <c r="CO37" s="45"/>
      <c r="CP37" s="45"/>
      <c r="CQ37" s="45"/>
      <c r="CR37" s="45"/>
      <c r="CS37" s="45"/>
      <c r="CT37" s="45"/>
      <c r="CU37" s="45"/>
      <c r="CV37" s="45"/>
      <c r="CW37" s="45"/>
      <c r="CX37" s="45"/>
      <c r="CY37" s="45"/>
      <c r="CZ37" s="45"/>
      <c r="DA37" s="45"/>
      <c r="DB37" s="45"/>
      <c r="DC37" s="45"/>
      <c r="DD37" s="45"/>
      <c r="DE37" s="45"/>
      <c r="DF37" s="45"/>
      <c r="DG37" s="45"/>
      <c r="DH37" s="45"/>
      <c r="DI37" s="45"/>
      <c r="DJ37" s="45"/>
      <c r="DK37" s="45"/>
      <c r="DL37" s="45"/>
      <c r="DM37" s="45"/>
      <c r="DN37" s="45"/>
      <c r="DO37" s="45"/>
      <c r="DP37" s="45"/>
      <c r="DQ37" s="45"/>
      <c r="DR37" s="45"/>
      <c r="DS37" s="45"/>
      <c r="DT37" s="45"/>
      <c r="DU37" s="45"/>
      <c r="DV37" s="45"/>
      <c r="DW37" s="45"/>
      <c r="DX37" s="45"/>
      <c r="DY37" s="45"/>
      <c r="DZ37" s="45"/>
      <c r="EA37" s="45"/>
      <c r="EB37" s="45"/>
      <c r="EC37" s="45"/>
      <c r="ED37" s="45"/>
      <c r="EE37" s="45"/>
      <c r="EF37" s="45"/>
      <c r="EG37" s="45"/>
      <c r="EH37" s="45"/>
      <c r="EI37" s="45"/>
      <c r="EJ37" s="45"/>
      <c r="EK37" s="45"/>
      <c r="EL37" s="45"/>
      <c r="EM37" s="45"/>
      <c r="EN37" s="45"/>
      <c r="EO37" s="45"/>
      <c r="EP37" s="45"/>
      <c r="EQ37" s="45"/>
    </row>
    <row r="38" spans="1:147" ht="15" customHeight="1" x14ac:dyDescent="0.25">
      <c r="A38" s="131" t="s">
        <v>500</v>
      </c>
      <c r="B38" s="130" t="s">
        <v>859</v>
      </c>
      <c r="C38" s="89" t="s">
        <v>501</v>
      </c>
      <c r="D38" s="90" t="s">
        <v>532</v>
      </c>
      <c r="E38" s="90" t="s">
        <v>222</v>
      </c>
      <c r="F38" s="119" t="s">
        <v>31</v>
      </c>
      <c r="G38" s="119"/>
      <c r="H38" s="119"/>
      <c r="I38" s="88"/>
      <c r="J38" s="88"/>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c r="BM38" s="45"/>
      <c r="BN38" s="45"/>
      <c r="BO38" s="45"/>
      <c r="BP38" s="45"/>
      <c r="BQ38" s="45"/>
      <c r="BR38" s="45"/>
      <c r="BS38" s="45"/>
      <c r="BT38" s="45"/>
      <c r="BU38" s="45"/>
      <c r="BV38" s="45"/>
      <c r="BW38" s="45"/>
      <c r="BX38" s="45"/>
      <c r="BY38" s="45"/>
      <c r="BZ38" s="45"/>
      <c r="CA38" s="45"/>
      <c r="CB38" s="45"/>
      <c r="CC38" s="45"/>
      <c r="CD38" s="45"/>
      <c r="CE38" s="45"/>
      <c r="CF38" s="45"/>
      <c r="CG38" s="45"/>
      <c r="CH38" s="45"/>
      <c r="CI38" s="45"/>
      <c r="CJ38" s="45"/>
      <c r="CK38" s="45"/>
      <c r="CL38" s="45"/>
      <c r="CM38" s="45"/>
      <c r="CN38" s="45"/>
      <c r="CO38" s="45"/>
      <c r="CP38" s="45"/>
      <c r="CQ38" s="45"/>
      <c r="CR38" s="45"/>
      <c r="CS38" s="45"/>
      <c r="CT38" s="45"/>
      <c r="CU38" s="45"/>
      <c r="CV38" s="45"/>
      <c r="CW38" s="45"/>
      <c r="CX38" s="45"/>
      <c r="CY38" s="45"/>
      <c r="CZ38" s="45"/>
      <c r="DA38" s="45"/>
      <c r="DB38" s="45"/>
      <c r="DC38" s="45"/>
      <c r="DD38" s="45"/>
      <c r="DE38" s="45"/>
      <c r="DF38" s="45"/>
      <c r="DG38" s="45"/>
      <c r="DH38" s="45"/>
      <c r="DI38" s="45"/>
      <c r="DJ38" s="45"/>
      <c r="DK38" s="45"/>
      <c r="DL38" s="45"/>
      <c r="DM38" s="45"/>
      <c r="DN38" s="45"/>
      <c r="DO38" s="45"/>
      <c r="DP38" s="45"/>
      <c r="DQ38" s="45"/>
      <c r="DR38" s="45"/>
      <c r="DS38" s="45"/>
      <c r="DT38" s="45"/>
      <c r="DU38" s="45"/>
      <c r="DV38" s="45"/>
      <c r="DW38" s="45"/>
      <c r="DX38" s="45"/>
      <c r="DY38" s="45"/>
      <c r="DZ38" s="45"/>
      <c r="EA38" s="45"/>
      <c r="EB38" s="45"/>
      <c r="EC38" s="45"/>
      <c r="ED38" s="45"/>
      <c r="EE38" s="45"/>
      <c r="EF38" s="45"/>
      <c r="EG38" s="45"/>
      <c r="EH38" s="45"/>
      <c r="EI38" s="45"/>
      <c r="EJ38" s="45"/>
      <c r="EK38" s="45"/>
      <c r="EL38" s="45"/>
      <c r="EM38" s="45"/>
      <c r="EN38" s="45"/>
      <c r="EO38" s="45"/>
      <c r="EP38" s="45"/>
      <c r="EQ38" s="45"/>
    </row>
    <row r="39" spans="1:147" ht="15" customHeight="1" x14ac:dyDescent="0.25">
      <c r="A39" s="131" t="s">
        <v>502</v>
      </c>
      <c r="B39" s="130" t="s">
        <v>886</v>
      </c>
      <c r="C39" s="89" t="s">
        <v>503</v>
      </c>
      <c r="D39" s="90" t="s">
        <v>533</v>
      </c>
      <c r="E39" s="90" t="s">
        <v>222</v>
      </c>
      <c r="F39" s="119" t="s">
        <v>196</v>
      </c>
      <c r="G39" s="119"/>
      <c r="H39" s="119"/>
      <c r="I39" s="88"/>
      <c r="J39" s="88"/>
      <c r="K39" s="45"/>
      <c r="L39" s="45"/>
      <c r="M39" s="45"/>
      <c r="N39" s="45"/>
      <c r="O39" s="45"/>
      <c r="P39" s="45"/>
      <c r="Q39" s="45"/>
      <c r="R39" s="45"/>
      <c r="S39" s="45"/>
      <c r="T39" s="45"/>
      <c r="U39" s="45"/>
      <c r="V39" s="45"/>
      <c r="W39" s="45"/>
      <c r="X39" s="45"/>
      <c r="Y39" s="45"/>
      <c r="Z39" s="45"/>
      <c r="AA39" s="45"/>
      <c r="AB39" s="45"/>
      <c r="AC39" s="45"/>
      <c r="AD39" s="45"/>
      <c r="AE39" s="45"/>
      <c r="AF39" s="45"/>
      <c r="AG39" s="45"/>
      <c r="AH39" s="45"/>
      <c r="AI39" s="45"/>
      <c r="AJ39" s="45"/>
      <c r="AK39" s="45"/>
      <c r="AL39" s="45"/>
      <c r="AM39" s="45"/>
      <c r="AN39" s="45"/>
      <c r="AO39" s="45"/>
      <c r="AP39" s="45"/>
      <c r="AQ39" s="45"/>
      <c r="AR39" s="45"/>
      <c r="AS39" s="45"/>
      <c r="AT39" s="45"/>
      <c r="AU39" s="45"/>
      <c r="AV39" s="45"/>
      <c r="AW39" s="45"/>
      <c r="AX39" s="45"/>
      <c r="AY39" s="45"/>
      <c r="AZ39" s="45"/>
      <c r="BA39" s="45"/>
      <c r="BB39" s="45"/>
      <c r="BC39" s="45"/>
      <c r="BD39" s="45"/>
      <c r="BE39" s="45"/>
      <c r="BF39" s="45"/>
      <c r="BG39" s="45"/>
      <c r="BH39" s="45"/>
      <c r="BI39" s="45"/>
      <c r="BJ39" s="45"/>
      <c r="BK39" s="45"/>
      <c r="BL39" s="45"/>
      <c r="BM39" s="45"/>
      <c r="BN39" s="45"/>
      <c r="BO39" s="45"/>
      <c r="BP39" s="45"/>
      <c r="BQ39" s="45"/>
      <c r="BR39" s="45"/>
      <c r="BS39" s="45"/>
      <c r="BT39" s="45"/>
      <c r="BU39" s="45"/>
      <c r="BV39" s="45"/>
      <c r="BW39" s="45"/>
      <c r="BX39" s="45"/>
      <c r="BY39" s="45"/>
      <c r="BZ39" s="45"/>
      <c r="CA39" s="45"/>
      <c r="CB39" s="45"/>
      <c r="CC39" s="45"/>
      <c r="CD39" s="45"/>
      <c r="CE39" s="45"/>
      <c r="CF39" s="45"/>
      <c r="CG39" s="45"/>
      <c r="CH39" s="45"/>
      <c r="CI39" s="45"/>
      <c r="CJ39" s="45"/>
      <c r="CK39" s="45"/>
      <c r="CL39" s="45"/>
      <c r="CM39" s="45"/>
      <c r="CN39" s="45"/>
      <c r="CO39" s="45"/>
      <c r="CP39" s="45"/>
      <c r="CQ39" s="45"/>
      <c r="CR39" s="45"/>
      <c r="CS39" s="45"/>
      <c r="CT39" s="45"/>
      <c r="CU39" s="45"/>
      <c r="CV39" s="45"/>
      <c r="CW39" s="45"/>
      <c r="CX39" s="45"/>
      <c r="CY39" s="45"/>
      <c r="CZ39" s="45"/>
      <c r="DA39" s="45"/>
      <c r="DB39" s="45"/>
      <c r="DC39" s="45"/>
      <c r="DD39" s="45"/>
      <c r="DE39" s="45"/>
      <c r="DF39" s="45"/>
      <c r="DG39" s="45"/>
      <c r="DH39" s="45"/>
      <c r="DI39" s="45"/>
      <c r="DJ39" s="45"/>
      <c r="DK39" s="45"/>
      <c r="DL39" s="45"/>
      <c r="DM39" s="45"/>
      <c r="DN39" s="45"/>
      <c r="DO39" s="45"/>
      <c r="DP39" s="45"/>
      <c r="DQ39" s="45"/>
      <c r="DR39" s="45"/>
      <c r="DS39" s="45"/>
      <c r="DT39" s="45"/>
      <c r="DU39" s="45"/>
      <c r="DV39" s="45"/>
      <c r="DW39" s="45"/>
      <c r="DX39" s="45"/>
      <c r="DY39" s="45"/>
      <c r="DZ39" s="45"/>
      <c r="EA39" s="45"/>
      <c r="EB39" s="45"/>
      <c r="EC39" s="45"/>
      <c r="ED39" s="45"/>
      <c r="EE39" s="45"/>
      <c r="EF39" s="45"/>
      <c r="EG39" s="45"/>
      <c r="EH39" s="45"/>
      <c r="EI39" s="45"/>
      <c r="EJ39" s="45"/>
      <c r="EK39" s="45"/>
      <c r="EL39" s="45"/>
      <c r="EM39" s="45"/>
      <c r="EN39" s="45"/>
      <c r="EO39" s="45"/>
      <c r="EP39" s="45"/>
      <c r="EQ39" s="45"/>
    </row>
    <row r="40" spans="1:147" ht="15" customHeight="1" x14ac:dyDescent="0.25">
      <c r="A40" s="131" t="s">
        <v>504</v>
      </c>
      <c r="B40" s="130" t="s">
        <v>887</v>
      </c>
      <c r="C40" s="89" t="s">
        <v>505</v>
      </c>
      <c r="D40" s="90" t="s">
        <v>532</v>
      </c>
      <c r="E40" s="90" t="s">
        <v>222</v>
      </c>
      <c r="F40" s="119" t="s">
        <v>48</v>
      </c>
      <c r="G40" s="119"/>
      <c r="H40" s="119"/>
      <c r="I40" s="88"/>
      <c r="J40" s="88"/>
      <c r="K40" s="45"/>
      <c r="L40" s="45"/>
      <c r="M40" s="45"/>
      <c r="N40" s="45"/>
      <c r="O40" s="45"/>
      <c r="P40" s="45"/>
      <c r="Q40" s="45"/>
      <c r="R40" s="45"/>
      <c r="S40" s="45"/>
      <c r="T40" s="45"/>
      <c r="U40" s="45"/>
      <c r="V40" s="45"/>
      <c r="W40" s="45"/>
      <c r="X40" s="45"/>
      <c r="Y40" s="45"/>
      <c r="Z40" s="45"/>
      <c r="AA40" s="45"/>
      <c r="AB40" s="45"/>
      <c r="AC40" s="45"/>
      <c r="AD40" s="45"/>
      <c r="AE40" s="45"/>
      <c r="AF40" s="45"/>
      <c r="AG40" s="45"/>
      <c r="AH40" s="45"/>
      <c r="AI40" s="45"/>
      <c r="AJ40" s="45"/>
      <c r="AK40" s="45"/>
      <c r="AL40" s="45"/>
      <c r="AM40" s="45"/>
      <c r="AN40" s="45"/>
      <c r="AO40" s="45"/>
      <c r="AP40" s="45"/>
      <c r="AQ40" s="45"/>
      <c r="AR40" s="45"/>
      <c r="AS40" s="45"/>
      <c r="AT40" s="45"/>
      <c r="AU40" s="45"/>
      <c r="AV40" s="45"/>
      <c r="AW40" s="45"/>
      <c r="AX40" s="45"/>
      <c r="AY40" s="45"/>
      <c r="AZ40" s="45"/>
      <c r="BA40" s="45"/>
      <c r="BB40" s="45"/>
      <c r="BC40" s="45"/>
      <c r="BD40" s="45"/>
      <c r="BE40" s="45"/>
      <c r="BF40" s="45"/>
      <c r="BG40" s="45"/>
      <c r="BH40" s="45"/>
      <c r="BI40" s="45"/>
      <c r="BJ40" s="45"/>
      <c r="BK40" s="45"/>
      <c r="BL40" s="45"/>
      <c r="BM40" s="45"/>
      <c r="BN40" s="45"/>
      <c r="BO40" s="45"/>
      <c r="BP40" s="45"/>
      <c r="BQ40" s="45"/>
      <c r="BR40" s="45"/>
      <c r="BS40" s="45"/>
      <c r="BT40" s="45"/>
      <c r="BU40" s="45"/>
      <c r="BV40" s="45"/>
      <c r="BW40" s="45"/>
      <c r="BX40" s="45"/>
      <c r="BY40" s="45"/>
      <c r="BZ40" s="45"/>
      <c r="CA40" s="45"/>
      <c r="CB40" s="45"/>
      <c r="CC40" s="45"/>
      <c r="CD40" s="45"/>
      <c r="CE40" s="45"/>
      <c r="CF40" s="45"/>
      <c r="CG40" s="45"/>
      <c r="CH40" s="45"/>
      <c r="CI40" s="45"/>
      <c r="CJ40" s="45"/>
      <c r="CK40" s="45"/>
      <c r="CL40" s="45"/>
      <c r="CM40" s="45"/>
      <c r="CN40" s="45"/>
      <c r="CO40" s="45"/>
      <c r="CP40" s="45"/>
      <c r="CQ40" s="45"/>
      <c r="CR40" s="45"/>
      <c r="CS40" s="45"/>
      <c r="CT40" s="45"/>
      <c r="CU40" s="45"/>
      <c r="CV40" s="45"/>
      <c r="CW40" s="45"/>
      <c r="CX40" s="45"/>
      <c r="CY40" s="45"/>
      <c r="CZ40" s="45"/>
      <c r="DA40" s="45"/>
      <c r="DB40" s="45"/>
      <c r="DC40" s="45"/>
      <c r="DD40" s="45"/>
      <c r="DE40" s="45"/>
      <c r="DF40" s="45"/>
      <c r="DG40" s="45"/>
      <c r="DH40" s="45"/>
      <c r="DI40" s="45"/>
      <c r="DJ40" s="45"/>
      <c r="DK40" s="45"/>
      <c r="DL40" s="45"/>
      <c r="DM40" s="45"/>
      <c r="DN40" s="45"/>
      <c r="DO40" s="45"/>
      <c r="DP40" s="45"/>
      <c r="DQ40" s="45"/>
      <c r="DR40" s="45"/>
      <c r="DS40" s="45"/>
      <c r="DT40" s="45"/>
      <c r="DU40" s="45"/>
      <c r="DV40" s="45"/>
      <c r="DW40" s="45"/>
      <c r="DX40" s="45"/>
      <c r="DY40" s="45"/>
      <c r="DZ40" s="45"/>
      <c r="EA40" s="45"/>
      <c r="EB40" s="45"/>
      <c r="EC40" s="45"/>
      <c r="ED40" s="45"/>
      <c r="EE40" s="45"/>
      <c r="EF40" s="45"/>
      <c r="EG40" s="45"/>
      <c r="EH40" s="45"/>
      <c r="EI40" s="45"/>
      <c r="EJ40" s="45"/>
      <c r="EK40" s="45"/>
      <c r="EL40" s="45"/>
      <c r="EM40" s="45"/>
      <c r="EN40" s="45"/>
      <c r="EO40" s="45"/>
      <c r="EP40" s="45"/>
      <c r="EQ40" s="45"/>
    </row>
    <row r="41" spans="1:147" ht="15" customHeight="1" x14ac:dyDescent="0.25">
      <c r="A41" s="131" t="s">
        <v>506</v>
      </c>
      <c r="B41" s="130" t="s">
        <v>888</v>
      </c>
      <c r="C41" s="89" t="s">
        <v>507</v>
      </c>
      <c r="D41" s="90" t="s">
        <v>532</v>
      </c>
      <c r="E41" s="90" t="s">
        <v>222</v>
      </c>
      <c r="F41" s="119" t="s">
        <v>31</v>
      </c>
      <c r="G41" s="119"/>
      <c r="H41" s="119"/>
      <c r="I41" s="88"/>
      <c r="J41" s="88"/>
      <c r="K41" s="45"/>
      <c r="L41" s="45"/>
      <c r="M41" s="45"/>
      <c r="N41" s="45"/>
      <c r="O41" s="45"/>
      <c r="P41" s="45"/>
      <c r="Q41" s="45"/>
      <c r="R41" s="45"/>
      <c r="S41" s="45"/>
      <c r="T41" s="45"/>
      <c r="U41" s="45"/>
      <c r="V41" s="45"/>
      <c r="W41" s="45"/>
      <c r="X41" s="45"/>
      <c r="Y41" s="45"/>
      <c r="Z41" s="45"/>
      <c r="AA41" s="45"/>
      <c r="AB41" s="45"/>
      <c r="AC41" s="45"/>
      <c r="AD41" s="45"/>
      <c r="AE41" s="45"/>
      <c r="AF41" s="45"/>
      <c r="AG41" s="45"/>
      <c r="AH41" s="45"/>
      <c r="AI41" s="45"/>
      <c r="AJ41" s="45"/>
      <c r="AK41" s="45"/>
      <c r="AL41" s="45"/>
      <c r="AM41" s="45"/>
      <c r="AN41" s="45"/>
      <c r="AO41" s="45"/>
      <c r="AP41" s="45"/>
      <c r="AQ41" s="45"/>
      <c r="AR41" s="45"/>
      <c r="AS41" s="45"/>
      <c r="AT41" s="45"/>
      <c r="AU41" s="45"/>
      <c r="AV41" s="45"/>
      <c r="AW41" s="45"/>
      <c r="AX41" s="45"/>
      <c r="AY41" s="45"/>
      <c r="AZ41" s="45"/>
      <c r="BA41" s="45"/>
      <c r="BB41" s="45"/>
      <c r="BC41" s="45"/>
      <c r="BD41" s="45"/>
      <c r="BE41" s="45"/>
      <c r="BF41" s="45"/>
      <c r="BG41" s="45"/>
      <c r="BH41" s="45"/>
      <c r="BI41" s="45"/>
      <c r="BJ41" s="45"/>
      <c r="BK41" s="45"/>
      <c r="BL41" s="45"/>
      <c r="BM41" s="45"/>
      <c r="BN41" s="45"/>
      <c r="BO41" s="45"/>
      <c r="BP41" s="45"/>
      <c r="BQ41" s="45"/>
      <c r="BR41" s="45"/>
      <c r="BS41" s="45"/>
      <c r="BT41" s="45"/>
      <c r="BU41" s="45"/>
      <c r="BV41" s="45"/>
      <c r="BW41" s="45"/>
      <c r="BX41" s="45"/>
      <c r="BY41" s="45"/>
      <c r="BZ41" s="45"/>
      <c r="CA41" s="45"/>
      <c r="CB41" s="45"/>
      <c r="CC41" s="45"/>
      <c r="CD41" s="45"/>
      <c r="CE41" s="45"/>
      <c r="CF41" s="45"/>
      <c r="CG41" s="45"/>
      <c r="CH41" s="45"/>
      <c r="CI41" s="45"/>
      <c r="CJ41" s="45"/>
      <c r="CK41" s="45"/>
      <c r="CL41" s="45"/>
      <c r="CM41" s="45"/>
      <c r="CN41" s="45"/>
      <c r="CO41" s="45"/>
      <c r="CP41" s="45"/>
      <c r="CQ41" s="45"/>
      <c r="CR41" s="45"/>
      <c r="CS41" s="45"/>
      <c r="CT41" s="45"/>
      <c r="CU41" s="45"/>
      <c r="CV41" s="45"/>
      <c r="CW41" s="45"/>
      <c r="CX41" s="45"/>
      <c r="CY41" s="45"/>
      <c r="CZ41" s="45"/>
      <c r="DA41" s="45"/>
      <c r="DB41" s="45"/>
      <c r="DC41" s="45"/>
      <c r="DD41" s="45"/>
      <c r="DE41" s="45"/>
      <c r="DF41" s="45"/>
      <c r="DG41" s="45"/>
      <c r="DH41" s="45"/>
      <c r="DI41" s="45"/>
      <c r="DJ41" s="45"/>
      <c r="DK41" s="45"/>
      <c r="DL41" s="45"/>
      <c r="DM41" s="45"/>
      <c r="DN41" s="45"/>
      <c r="DO41" s="45"/>
      <c r="DP41" s="45"/>
      <c r="DQ41" s="45"/>
      <c r="DR41" s="45"/>
      <c r="DS41" s="45"/>
      <c r="DT41" s="45"/>
      <c r="DU41" s="45"/>
      <c r="DV41" s="45"/>
      <c r="DW41" s="45"/>
      <c r="DX41" s="45"/>
      <c r="DY41" s="45"/>
      <c r="DZ41" s="45"/>
      <c r="EA41" s="45"/>
      <c r="EB41" s="45"/>
      <c r="EC41" s="45"/>
      <c r="ED41" s="45"/>
      <c r="EE41" s="45"/>
      <c r="EF41" s="45"/>
      <c r="EG41" s="45"/>
      <c r="EH41" s="45"/>
      <c r="EI41" s="45"/>
      <c r="EJ41" s="45"/>
      <c r="EK41" s="45"/>
      <c r="EL41" s="45"/>
      <c r="EM41" s="45"/>
      <c r="EN41" s="45"/>
      <c r="EO41" s="45"/>
      <c r="EP41" s="45"/>
      <c r="EQ41" s="45"/>
    </row>
    <row r="42" spans="1:147" ht="15" customHeight="1" x14ac:dyDescent="0.25">
      <c r="A42" s="91" t="s">
        <v>508</v>
      </c>
      <c r="B42" s="130" t="s">
        <v>889</v>
      </c>
      <c r="C42" s="89" t="s">
        <v>509</v>
      </c>
      <c r="D42" s="90" t="s">
        <v>543</v>
      </c>
      <c r="E42" s="90" t="s">
        <v>222</v>
      </c>
      <c r="F42" s="119" t="s">
        <v>48</v>
      </c>
      <c r="G42" s="119"/>
      <c r="H42" s="119"/>
      <c r="I42" s="88"/>
      <c r="J42" s="88"/>
      <c r="K42" s="45"/>
      <c r="L42" s="45"/>
      <c r="M42" s="45"/>
      <c r="N42" s="45"/>
      <c r="O42" s="45"/>
      <c r="P42" s="45"/>
      <c r="Q42" s="45"/>
      <c r="R42" s="45"/>
      <c r="S42" s="45"/>
      <c r="T42" s="45"/>
      <c r="U42" s="45"/>
      <c r="V42" s="45"/>
      <c r="W42" s="45"/>
      <c r="X42" s="45"/>
      <c r="Y42" s="45"/>
      <c r="Z42" s="45"/>
      <c r="AA42" s="45"/>
      <c r="AB42" s="45"/>
      <c r="AC42" s="45"/>
      <c r="AD42" s="45"/>
      <c r="AE42" s="45"/>
      <c r="AF42" s="45"/>
      <c r="AG42" s="45"/>
      <c r="AH42" s="45"/>
      <c r="AI42" s="45"/>
      <c r="AJ42" s="45"/>
      <c r="AK42" s="45"/>
      <c r="AL42" s="45"/>
      <c r="AM42" s="45"/>
      <c r="AN42" s="45"/>
      <c r="AO42" s="45"/>
      <c r="AP42" s="45"/>
      <c r="AQ42" s="45"/>
      <c r="AR42" s="45"/>
      <c r="AS42" s="45"/>
      <c r="AT42" s="45"/>
      <c r="AU42" s="45"/>
      <c r="AV42" s="45"/>
      <c r="AW42" s="45"/>
      <c r="AX42" s="45"/>
      <c r="AY42" s="45"/>
      <c r="AZ42" s="45"/>
      <c r="BA42" s="45"/>
      <c r="BB42" s="45"/>
      <c r="BC42" s="45"/>
      <c r="BD42" s="45"/>
      <c r="BE42" s="45"/>
      <c r="BF42" s="45"/>
      <c r="BG42" s="45"/>
      <c r="BH42" s="45"/>
      <c r="BI42" s="45"/>
      <c r="BJ42" s="45"/>
      <c r="BK42" s="45"/>
      <c r="BL42" s="45"/>
      <c r="BM42" s="45"/>
      <c r="BN42" s="45"/>
      <c r="BO42" s="45"/>
      <c r="BP42" s="45"/>
      <c r="BQ42" s="45"/>
      <c r="BR42" s="45"/>
      <c r="BS42" s="45"/>
      <c r="BT42" s="45"/>
      <c r="BU42" s="45"/>
      <c r="BV42" s="45"/>
      <c r="BW42" s="45"/>
      <c r="BX42" s="45"/>
      <c r="BY42" s="45"/>
      <c r="BZ42" s="45"/>
      <c r="CA42" s="45"/>
      <c r="CB42" s="45"/>
      <c r="CC42" s="45"/>
      <c r="CD42" s="45"/>
      <c r="CE42" s="45"/>
      <c r="CF42" s="45"/>
      <c r="CG42" s="45"/>
      <c r="CH42" s="45"/>
      <c r="CI42" s="45"/>
      <c r="CJ42" s="45"/>
      <c r="CK42" s="45"/>
      <c r="CL42" s="45"/>
      <c r="CM42" s="45"/>
      <c r="CN42" s="45"/>
      <c r="CO42" s="45"/>
      <c r="CP42" s="45"/>
      <c r="CQ42" s="45"/>
      <c r="CR42" s="45"/>
      <c r="CS42" s="45"/>
      <c r="CT42" s="45"/>
      <c r="CU42" s="45"/>
      <c r="CV42" s="45"/>
      <c r="CW42" s="45"/>
      <c r="CX42" s="45"/>
      <c r="CY42" s="45"/>
      <c r="CZ42" s="45"/>
      <c r="DA42" s="45"/>
      <c r="DB42" s="45"/>
      <c r="DC42" s="45"/>
      <c r="DD42" s="45"/>
      <c r="DE42" s="45"/>
      <c r="DF42" s="45"/>
      <c r="DG42" s="45"/>
      <c r="DH42" s="45"/>
      <c r="DI42" s="45"/>
      <c r="DJ42" s="45"/>
      <c r="DK42" s="45"/>
      <c r="DL42" s="45"/>
      <c r="DM42" s="45"/>
      <c r="DN42" s="45"/>
      <c r="DO42" s="45"/>
      <c r="DP42" s="45"/>
      <c r="DQ42" s="45"/>
      <c r="DR42" s="45"/>
      <c r="DS42" s="45"/>
      <c r="DT42" s="45"/>
      <c r="DU42" s="45"/>
      <c r="DV42" s="45"/>
      <c r="DW42" s="45"/>
      <c r="DX42" s="45"/>
      <c r="DY42" s="45"/>
      <c r="DZ42" s="45"/>
      <c r="EA42" s="45"/>
      <c r="EB42" s="45"/>
      <c r="EC42" s="45"/>
      <c r="ED42" s="45"/>
      <c r="EE42" s="45"/>
      <c r="EF42" s="45"/>
      <c r="EG42" s="45"/>
      <c r="EH42" s="45"/>
      <c r="EI42" s="45"/>
      <c r="EJ42" s="45"/>
      <c r="EK42" s="45"/>
      <c r="EL42" s="45"/>
      <c r="EM42" s="45"/>
      <c r="EN42" s="45"/>
      <c r="EO42" s="45"/>
      <c r="EP42" s="45"/>
      <c r="EQ42" s="45"/>
    </row>
    <row r="43" spans="1:147" ht="15" customHeight="1" x14ac:dyDescent="0.25">
      <c r="A43" s="91" t="s">
        <v>510</v>
      </c>
      <c r="B43" s="130" t="s">
        <v>890</v>
      </c>
      <c r="C43" s="89" t="s">
        <v>511</v>
      </c>
      <c r="D43" s="90" t="s">
        <v>537</v>
      </c>
      <c r="E43" s="90" t="s">
        <v>222</v>
      </c>
      <c r="F43" s="119" t="s">
        <v>47</v>
      </c>
      <c r="G43" s="119"/>
      <c r="H43" s="119"/>
      <c r="I43" s="88"/>
      <c r="J43" s="88"/>
      <c r="K43" s="45"/>
      <c r="L43" s="45"/>
      <c r="M43" s="45"/>
      <c r="N43" s="45"/>
      <c r="O43" s="45"/>
      <c r="P43" s="45"/>
      <c r="Q43" s="45"/>
      <c r="R43" s="45"/>
      <c r="S43" s="45"/>
      <c r="T43" s="45"/>
      <c r="U43" s="45"/>
      <c r="V43" s="45"/>
      <c r="W43" s="45"/>
      <c r="X43" s="45"/>
      <c r="Y43" s="45"/>
      <c r="Z43" s="45"/>
      <c r="AA43" s="45"/>
      <c r="AB43" s="45"/>
      <c r="AC43" s="45"/>
      <c r="AD43" s="45"/>
      <c r="AE43" s="45"/>
      <c r="AF43" s="45"/>
      <c r="AG43" s="45"/>
      <c r="AH43" s="45"/>
      <c r="AI43" s="45"/>
      <c r="AJ43" s="45"/>
      <c r="AK43" s="45"/>
      <c r="AL43" s="45"/>
      <c r="AM43" s="45"/>
      <c r="AN43" s="45"/>
      <c r="AO43" s="45"/>
      <c r="AP43" s="45"/>
      <c r="AQ43" s="45"/>
      <c r="AR43" s="45"/>
      <c r="AS43" s="45"/>
      <c r="AT43" s="45"/>
      <c r="AU43" s="45"/>
      <c r="AV43" s="45"/>
      <c r="AW43" s="45"/>
      <c r="AX43" s="45"/>
      <c r="AY43" s="45"/>
      <c r="AZ43" s="45"/>
      <c r="BA43" s="45"/>
      <c r="BB43" s="45"/>
      <c r="BC43" s="45"/>
      <c r="BD43" s="45"/>
      <c r="BE43" s="45"/>
      <c r="BF43" s="45"/>
      <c r="BG43" s="45"/>
      <c r="BH43" s="45"/>
      <c r="BI43" s="45"/>
      <c r="BJ43" s="45"/>
      <c r="BK43" s="45"/>
      <c r="BL43" s="45"/>
      <c r="BM43" s="45"/>
      <c r="BN43" s="45"/>
      <c r="BO43" s="45"/>
      <c r="BP43" s="45"/>
      <c r="BQ43" s="45"/>
      <c r="BR43" s="45"/>
      <c r="BS43" s="45"/>
      <c r="BT43" s="45"/>
      <c r="BU43" s="45"/>
      <c r="BV43" s="45"/>
      <c r="BW43" s="45"/>
      <c r="BX43" s="45"/>
      <c r="BY43" s="45"/>
      <c r="BZ43" s="45"/>
      <c r="CA43" s="45"/>
      <c r="CB43" s="45"/>
      <c r="CC43" s="45"/>
      <c r="CD43" s="45"/>
      <c r="CE43" s="45"/>
      <c r="CF43" s="45"/>
      <c r="CG43" s="45"/>
      <c r="CH43" s="45"/>
      <c r="CI43" s="45"/>
      <c r="CJ43" s="45"/>
      <c r="CK43" s="45"/>
      <c r="CL43" s="45"/>
      <c r="CM43" s="45"/>
      <c r="CN43" s="45"/>
      <c r="CO43" s="45"/>
      <c r="CP43" s="45"/>
      <c r="CQ43" s="45"/>
      <c r="CR43" s="45"/>
      <c r="CS43" s="45"/>
      <c r="CT43" s="45"/>
      <c r="CU43" s="45"/>
      <c r="CV43" s="45"/>
      <c r="CW43" s="45"/>
      <c r="CX43" s="45"/>
      <c r="CY43" s="45"/>
      <c r="CZ43" s="45"/>
      <c r="DA43" s="45"/>
      <c r="DB43" s="45"/>
      <c r="DC43" s="45"/>
      <c r="DD43" s="45"/>
      <c r="DE43" s="45"/>
      <c r="DF43" s="45"/>
      <c r="DG43" s="45"/>
      <c r="DH43" s="45"/>
      <c r="DI43" s="45"/>
      <c r="DJ43" s="45"/>
      <c r="DK43" s="45"/>
      <c r="DL43" s="45"/>
      <c r="DM43" s="45"/>
      <c r="DN43" s="45"/>
      <c r="DO43" s="45"/>
      <c r="DP43" s="45"/>
      <c r="DQ43" s="45"/>
      <c r="DR43" s="45"/>
      <c r="DS43" s="45"/>
      <c r="DT43" s="45"/>
      <c r="DU43" s="45"/>
      <c r="DV43" s="45"/>
      <c r="DW43" s="45"/>
      <c r="DX43" s="45"/>
      <c r="DY43" s="45"/>
      <c r="DZ43" s="45"/>
      <c r="EA43" s="45"/>
      <c r="EB43" s="45"/>
      <c r="EC43" s="45"/>
      <c r="ED43" s="45"/>
      <c r="EE43" s="45"/>
      <c r="EF43" s="45"/>
      <c r="EG43" s="45"/>
      <c r="EH43" s="45"/>
      <c r="EI43" s="45"/>
      <c r="EJ43" s="45"/>
      <c r="EK43" s="45"/>
      <c r="EL43" s="45"/>
      <c r="EM43" s="45"/>
      <c r="EN43" s="45"/>
      <c r="EO43" s="45"/>
      <c r="EP43" s="45"/>
      <c r="EQ43" s="45"/>
    </row>
    <row r="44" spans="1:147" ht="15" customHeight="1" x14ac:dyDescent="0.25">
      <c r="A44" s="91" t="s">
        <v>512</v>
      </c>
      <c r="B44" s="130" t="s">
        <v>891</v>
      </c>
      <c r="C44" s="89" t="s">
        <v>513</v>
      </c>
      <c r="D44" s="90" t="s">
        <v>208</v>
      </c>
      <c r="E44" s="90" t="s">
        <v>222</v>
      </c>
      <c r="F44" s="119" t="s">
        <v>47</v>
      </c>
      <c r="G44" s="119"/>
      <c r="H44" s="119"/>
      <c r="I44" s="88"/>
      <c r="J44" s="88"/>
      <c r="K44" s="45"/>
      <c r="L44" s="45"/>
      <c r="M44" s="45"/>
      <c r="N44" s="45"/>
      <c r="O44" s="45"/>
      <c r="P44" s="45"/>
      <c r="Q44" s="45"/>
      <c r="R44" s="45"/>
      <c r="S44" s="45"/>
      <c r="T44" s="45"/>
      <c r="U44" s="45"/>
      <c r="V44" s="45"/>
      <c r="W44" s="45"/>
      <c r="X44" s="45"/>
      <c r="Y44" s="45"/>
      <c r="Z44" s="45"/>
      <c r="AA44" s="45"/>
      <c r="AB44" s="45"/>
      <c r="AC44" s="45"/>
      <c r="AD44" s="45"/>
      <c r="AE44" s="45"/>
      <c r="AF44" s="45"/>
      <c r="AG44" s="45"/>
      <c r="AH44" s="45"/>
      <c r="AI44" s="45"/>
      <c r="AJ44" s="45"/>
      <c r="AK44" s="45"/>
      <c r="AL44" s="45"/>
      <c r="AM44" s="45"/>
      <c r="AN44" s="45"/>
      <c r="AO44" s="45"/>
      <c r="AP44" s="45"/>
      <c r="AQ44" s="45"/>
      <c r="AR44" s="45"/>
      <c r="AS44" s="45"/>
      <c r="AT44" s="45"/>
      <c r="AU44" s="45"/>
      <c r="AV44" s="45"/>
      <c r="AW44" s="45"/>
      <c r="AX44" s="45"/>
      <c r="AY44" s="45"/>
      <c r="AZ44" s="45"/>
      <c r="BA44" s="45"/>
      <c r="BB44" s="45"/>
      <c r="BC44" s="45"/>
      <c r="BD44" s="45"/>
      <c r="BE44" s="45"/>
      <c r="BF44" s="45"/>
      <c r="BG44" s="45"/>
      <c r="BH44" s="45"/>
      <c r="BI44" s="45"/>
      <c r="BJ44" s="45"/>
      <c r="BK44" s="45"/>
      <c r="BL44" s="45"/>
      <c r="BM44" s="45"/>
      <c r="BN44" s="45"/>
      <c r="BO44" s="45"/>
      <c r="BP44" s="45"/>
      <c r="BQ44" s="45"/>
      <c r="BR44" s="45"/>
      <c r="BS44" s="45"/>
      <c r="BT44" s="45"/>
      <c r="BU44" s="45"/>
      <c r="BV44" s="45"/>
      <c r="BW44" s="45"/>
      <c r="BX44" s="45"/>
      <c r="BY44" s="45"/>
      <c r="BZ44" s="45"/>
      <c r="CA44" s="45"/>
      <c r="CB44" s="45"/>
      <c r="CC44" s="45"/>
      <c r="CD44" s="45"/>
      <c r="CE44" s="45"/>
      <c r="CF44" s="45"/>
      <c r="CG44" s="45"/>
      <c r="CH44" s="45"/>
      <c r="CI44" s="45"/>
      <c r="CJ44" s="45"/>
      <c r="CK44" s="45"/>
      <c r="CL44" s="45"/>
      <c r="CM44" s="45"/>
      <c r="CN44" s="45"/>
      <c r="CO44" s="45"/>
      <c r="CP44" s="45"/>
      <c r="CQ44" s="45"/>
      <c r="CR44" s="45"/>
      <c r="CS44" s="45"/>
      <c r="CT44" s="45"/>
      <c r="CU44" s="45"/>
      <c r="CV44" s="45"/>
      <c r="CW44" s="45"/>
      <c r="CX44" s="45"/>
      <c r="CY44" s="45"/>
      <c r="CZ44" s="45"/>
      <c r="DA44" s="45"/>
      <c r="DB44" s="45"/>
      <c r="DC44" s="45"/>
      <c r="DD44" s="45"/>
      <c r="DE44" s="45"/>
      <c r="DF44" s="45"/>
      <c r="DG44" s="45"/>
      <c r="DH44" s="45"/>
      <c r="DI44" s="45"/>
      <c r="DJ44" s="45"/>
      <c r="DK44" s="45"/>
      <c r="DL44" s="45"/>
      <c r="DM44" s="45"/>
      <c r="DN44" s="45"/>
      <c r="DO44" s="45"/>
      <c r="DP44" s="45"/>
      <c r="DQ44" s="45"/>
      <c r="DR44" s="45"/>
      <c r="DS44" s="45"/>
      <c r="DT44" s="45"/>
      <c r="DU44" s="45"/>
      <c r="DV44" s="45"/>
      <c r="DW44" s="45"/>
      <c r="DX44" s="45"/>
      <c r="DY44" s="45"/>
      <c r="DZ44" s="45"/>
      <c r="EA44" s="45"/>
      <c r="EB44" s="45"/>
      <c r="EC44" s="45"/>
      <c r="ED44" s="45"/>
      <c r="EE44" s="45"/>
      <c r="EF44" s="45"/>
      <c r="EG44" s="45"/>
      <c r="EH44" s="45"/>
      <c r="EI44" s="45"/>
      <c r="EJ44" s="45"/>
      <c r="EK44" s="45"/>
      <c r="EL44" s="45"/>
      <c r="EM44" s="45"/>
      <c r="EN44" s="45"/>
      <c r="EO44" s="45"/>
      <c r="EP44" s="45"/>
      <c r="EQ44" s="45"/>
    </row>
    <row r="45" spans="1:147" ht="15" customHeight="1" x14ac:dyDescent="0.25">
      <c r="A45" s="131" t="s">
        <v>514</v>
      </c>
      <c r="B45" s="100"/>
      <c r="C45" s="89" t="s">
        <v>515</v>
      </c>
      <c r="D45" s="90" t="s">
        <v>533</v>
      </c>
      <c r="E45" s="90" t="s">
        <v>222</v>
      </c>
      <c r="F45" s="119" t="s">
        <v>48</v>
      </c>
      <c r="G45" s="119"/>
      <c r="H45" s="119"/>
      <c r="I45" s="88"/>
      <c r="J45" s="88"/>
      <c r="K45" s="45"/>
      <c r="L45" s="45"/>
      <c r="M45" s="45"/>
      <c r="N45" s="45"/>
      <c r="O45" s="45"/>
      <c r="P45" s="45"/>
      <c r="Q45" s="45"/>
      <c r="R45" s="45"/>
      <c r="S45" s="45"/>
      <c r="T45" s="45"/>
      <c r="U45" s="45"/>
      <c r="V45" s="45"/>
      <c r="W45" s="45"/>
      <c r="X45" s="45"/>
      <c r="Y45" s="45"/>
      <c r="Z45" s="45"/>
      <c r="AA45" s="45"/>
      <c r="AB45" s="45"/>
      <c r="AC45" s="45"/>
      <c r="AD45" s="45"/>
      <c r="AE45" s="45"/>
      <c r="AF45" s="45"/>
      <c r="AG45" s="45"/>
      <c r="AH45" s="45"/>
      <c r="AI45" s="45"/>
      <c r="AJ45" s="45"/>
      <c r="AK45" s="45"/>
      <c r="AL45" s="45"/>
      <c r="AM45" s="45"/>
      <c r="AN45" s="45"/>
      <c r="AO45" s="45"/>
      <c r="AP45" s="45"/>
      <c r="AQ45" s="45"/>
      <c r="AR45" s="45"/>
      <c r="AS45" s="45"/>
      <c r="AT45" s="45"/>
      <c r="AU45" s="45"/>
      <c r="AV45" s="45"/>
      <c r="AW45" s="45"/>
      <c r="AX45" s="45"/>
      <c r="AY45" s="45"/>
      <c r="AZ45" s="45"/>
      <c r="BA45" s="45"/>
      <c r="BB45" s="45"/>
      <c r="BC45" s="45"/>
      <c r="BD45" s="45"/>
      <c r="BE45" s="45"/>
      <c r="BF45" s="45"/>
      <c r="BG45" s="45"/>
      <c r="BH45" s="45"/>
      <c r="BI45" s="45"/>
      <c r="BJ45" s="45"/>
      <c r="BK45" s="45"/>
      <c r="BL45" s="45"/>
      <c r="BM45" s="45"/>
      <c r="BN45" s="45"/>
      <c r="BO45" s="45"/>
      <c r="BP45" s="45"/>
      <c r="BQ45" s="45"/>
      <c r="BR45" s="45"/>
      <c r="BS45" s="45"/>
      <c r="BT45" s="45"/>
      <c r="BU45" s="45"/>
      <c r="BV45" s="45"/>
      <c r="BW45" s="45"/>
      <c r="BX45" s="45"/>
      <c r="BY45" s="45"/>
      <c r="BZ45" s="45"/>
      <c r="CA45" s="45"/>
      <c r="CB45" s="45"/>
      <c r="CC45" s="45"/>
      <c r="CD45" s="45"/>
      <c r="CE45" s="45"/>
      <c r="CF45" s="45"/>
      <c r="CG45" s="45"/>
      <c r="CH45" s="45"/>
      <c r="CI45" s="45"/>
      <c r="CJ45" s="45"/>
      <c r="CK45" s="45"/>
      <c r="CL45" s="45"/>
      <c r="CM45" s="45"/>
      <c r="CN45" s="45"/>
      <c r="CO45" s="45"/>
      <c r="CP45" s="45"/>
      <c r="CQ45" s="45"/>
      <c r="CR45" s="45"/>
      <c r="CS45" s="45"/>
      <c r="CT45" s="45"/>
      <c r="CU45" s="45"/>
      <c r="CV45" s="45"/>
      <c r="CW45" s="45"/>
      <c r="CX45" s="45"/>
      <c r="CY45" s="45"/>
      <c r="CZ45" s="45"/>
      <c r="DA45" s="45"/>
      <c r="DB45" s="45"/>
      <c r="DC45" s="45"/>
      <c r="DD45" s="45"/>
      <c r="DE45" s="45"/>
      <c r="DF45" s="45"/>
      <c r="DG45" s="45"/>
      <c r="DH45" s="45"/>
      <c r="DI45" s="45"/>
      <c r="DJ45" s="45"/>
      <c r="DK45" s="45"/>
      <c r="DL45" s="45"/>
      <c r="DM45" s="45"/>
      <c r="DN45" s="45"/>
      <c r="DO45" s="45"/>
      <c r="DP45" s="45"/>
      <c r="DQ45" s="45"/>
      <c r="DR45" s="45"/>
      <c r="DS45" s="45"/>
      <c r="DT45" s="45"/>
      <c r="DU45" s="45"/>
      <c r="DV45" s="45"/>
      <c r="DW45" s="45"/>
      <c r="DX45" s="45"/>
      <c r="DY45" s="45"/>
      <c r="DZ45" s="45"/>
      <c r="EA45" s="45"/>
      <c r="EB45" s="45"/>
      <c r="EC45" s="45"/>
      <c r="ED45" s="45"/>
      <c r="EE45" s="45"/>
      <c r="EF45" s="45"/>
      <c r="EG45" s="45"/>
      <c r="EH45" s="45"/>
      <c r="EI45" s="45"/>
      <c r="EJ45" s="45"/>
      <c r="EK45" s="45"/>
      <c r="EL45" s="45"/>
      <c r="EM45" s="45"/>
      <c r="EN45" s="45"/>
      <c r="EO45" s="45"/>
      <c r="EP45" s="45"/>
      <c r="EQ45" s="45"/>
    </row>
    <row r="46" spans="1:147" ht="15" customHeight="1" x14ac:dyDescent="0.25">
      <c r="A46" s="91" t="s">
        <v>516</v>
      </c>
      <c r="B46" s="100"/>
      <c r="C46" s="89" t="s">
        <v>517</v>
      </c>
      <c r="D46" s="90" t="s">
        <v>351</v>
      </c>
      <c r="E46" s="90" t="s">
        <v>222</v>
      </c>
      <c r="F46" s="119" t="s">
        <v>48</v>
      </c>
      <c r="G46" s="119"/>
      <c r="H46" s="119"/>
      <c r="I46" s="88"/>
      <c r="J46" s="88"/>
      <c r="K46" s="45"/>
      <c r="L46" s="45"/>
      <c r="M46" s="45"/>
      <c r="N46" s="45"/>
      <c r="O46" s="45"/>
      <c r="P46" s="45"/>
      <c r="Q46" s="45"/>
      <c r="R46" s="45"/>
      <c r="S46" s="45"/>
      <c r="T46" s="45"/>
      <c r="U46" s="45"/>
      <c r="V46" s="45"/>
      <c r="W46" s="45"/>
      <c r="X46" s="45"/>
      <c r="Y46" s="45"/>
      <c r="Z46" s="45"/>
      <c r="AA46" s="45"/>
      <c r="AB46" s="45"/>
      <c r="AC46" s="45"/>
      <c r="AD46" s="45"/>
      <c r="AE46" s="45"/>
      <c r="AF46" s="45"/>
      <c r="AG46" s="45"/>
      <c r="AH46" s="45"/>
      <c r="AI46" s="45"/>
      <c r="AJ46" s="45"/>
      <c r="AK46" s="45"/>
      <c r="AL46" s="45"/>
      <c r="AM46" s="45"/>
      <c r="AN46" s="45"/>
      <c r="AO46" s="45"/>
      <c r="AP46" s="45"/>
      <c r="AQ46" s="45"/>
      <c r="AR46" s="45"/>
      <c r="AS46" s="45"/>
      <c r="AT46" s="45"/>
      <c r="AU46" s="45"/>
      <c r="AV46" s="45"/>
      <c r="AW46" s="45"/>
      <c r="AX46" s="45"/>
      <c r="AY46" s="45"/>
      <c r="AZ46" s="45"/>
      <c r="BA46" s="45"/>
      <c r="BB46" s="45"/>
      <c r="BC46" s="45"/>
      <c r="BD46" s="45"/>
      <c r="BE46" s="45"/>
      <c r="BF46" s="45"/>
      <c r="BG46" s="45"/>
      <c r="BH46" s="45"/>
      <c r="BI46" s="45"/>
      <c r="BJ46" s="45"/>
      <c r="BK46" s="45"/>
      <c r="BL46" s="45"/>
      <c r="BM46" s="45"/>
      <c r="BN46" s="45"/>
      <c r="BO46" s="45"/>
      <c r="BP46" s="45"/>
      <c r="BQ46" s="45"/>
      <c r="BR46" s="45"/>
      <c r="BS46" s="45"/>
      <c r="BT46" s="45"/>
      <c r="BU46" s="45"/>
      <c r="BV46" s="45"/>
      <c r="BW46" s="45"/>
      <c r="BX46" s="45"/>
      <c r="BY46" s="45"/>
      <c r="BZ46" s="45"/>
      <c r="CA46" s="45"/>
      <c r="CB46" s="45"/>
      <c r="CC46" s="45"/>
      <c r="CD46" s="45"/>
      <c r="CE46" s="45"/>
      <c r="CF46" s="45"/>
      <c r="CG46" s="45"/>
      <c r="CH46" s="45"/>
      <c r="CI46" s="45"/>
      <c r="CJ46" s="45"/>
      <c r="CK46" s="45"/>
      <c r="CL46" s="45"/>
      <c r="CM46" s="45"/>
      <c r="CN46" s="45"/>
      <c r="CO46" s="45"/>
      <c r="CP46" s="45"/>
      <c r="CQ46" s="45"/>
      <c r="CR46" s="45"/>
      <c r="CS46" s="45"/>
      <c r="CT46" s="45"/>
      <c r="CU46" s="45"/>
      <c r="CV46" s="45"/>
      <c r="CW46" s="45"/>
      <c r="CX46" s="45"/>
      <c r="CY46" s="45"/>
      <c r="CZ46" s="45"/>
      <c r="DA46" s="45"/>
      <c r="DB46" s="45"/>
      <c r="DC46" s="45"/>
      <c r="DD46" s="45"/>
      <c r="DE46" s="45"/>
      <c r="DF46" s="45"/>
      <c r="DG46" s="45"/>
      <c r="DH46" s="45"/>
      <c r="DI46" s="45"/>
      <c r="DJ46" s="45"/>
      <c r="DK46" s="45"/>
      <c r="DL46" s="45"/>
      <c r="DM46" s="45"/>
      <c r="DN46" s="45"/>
      <c r="DO46" s="45"/>
      <c r="DP46" s="45"/>
      <c r="DQ46" s="45"/>
      <c r="DR46" s="45"/>
      <c r="DS46" s="45"/>
      <c r="DT46" s="45"/>
      <c r="DU46" s="45"/>
      <c r="DV46" s="45"/>
      <c r="DW46" s="45"/>
      <c r="DX46" s="45"/>
      <c r="DY46" s="45"/>
      <c r="DZ46" s="45"/>
      <c r="EA46" s="45"/>
      <c r="EB46" s="45"/>
      <c r="EC46" s="45"/>
      <c r="ED46" s="45"/>
      <c r="EE46" s="45"/>
      <c r="EF46" s="45"/>
      <c r="EG46" s="45"/>
      <c r="EH46" s="45"/>
      <c r="EI46" s="45"/>
      <c r="EJ46" s="45"/>
      <c r="EK46" s="45"/>
      <c r="EL46" s="45"/>
      <c r="EM46" s="45"/>
      <c r="EN46" s="45"/>
      <c r="EO46" s="45"/>
      <c r="EP46" s="45"/>
      <c r="EQ46" s="45"/>
    </row>
    <row r="47" spans="1:147" ht="15" customHeight="1" x14ac:dyDescent="0.25">
      <c r="A47" s="131" t="s">
        <v>518</v>
      </c>
      <c r="B47" s="100"/>
      <c r="C47" s="89" t="s">
        <v>519</v>
      </c>
      <c r="D47" s="90" t="s">
        <v>532</v>
      </c>
      <c r="E47" s="90" t="s">
        <v>222</v>
      </c>
      <c r="F47" s="119" t="s">
        <v>348</v>
      </c>
      <c r="G47" s="119"/>
      <c r="H47" s="119"/>
      <c r="I47" s="88"/>
      <c r="J47" s="88"/>
      <c r="K47" s="45"/>
      <c r="L47" s="45"/>
      <c r="M47" s="45"/>
      <c r="N47" s="45"/>
      <c r="O47" s="45"/>
      <c r="P47" s="45"/>
      <c r="Q47" s="45"/>
      <c r="R47" s="45"/>
      <c r="S47" s="45"/>
      <c r="T47" s="45"/>
      <c r="U47" s="45"/>
      <c r="V47" s="45"/>
      <c r="W47" s="45"/>
      <c r="X47" s="45"/>
      <c r="Y47" s="45"/>
      <c r="Z47" s="45"/>
      <c r="AA47" s="45"/>
      <c r="AB47" s="45"/>
      <c r="AC47" s="45"/>
      <c r="AD47" s="45"/>
      <c r="AE47" s="45"/>
      <c r="AF47" s="45"/>
      <c r="AG47" s="45"/>
      <c r="AH47" s="45"/>
      <c r="AI47" s="45"/>
      <c r="AJ47" s="45"/>
      <c r="AK47" s="45"/>
      <c r="AL47" s="45"/>
      <c r="AM47" s="45"/>
      <c r="AN47" s="45"/>
      <c r="AO47" s="45"/>
      <c r="AP47" s="45"/>
      <c r="AQ47" s="45"/>
      <c r="AR47" s="45"/>
      <c r="AS47" s="45"/>
      <c r="AT47" s="45"/>
      <c r="AU47" s="45"/>
      <c r="AV47" s="45"/>
      <c r="AW47" s="45"/>
      <c r="AX47" s="45"/>
      <c r="AY47" s="45"/>
      <c r="AZ47" s="45"/>
      <c r="BA47" s="45"/>
      <c r="BB47" s="45"/>
      <c r="BC47" s="45"/>
      <c r="BD47" s="45"/>
      <c r="BE47" s="45"/>
      <c r="BF47" s="45"/>
      <c r="BG47" s="45"/>
      <c r="BH47" s="45"/>
      <c r="BI47" s="45"/>
      <c r="BJ47" s="45"/>
      <c r="BK47" s="45"/>
      <c r="BL47" s="45"/>
      <c r="BM47" s="45"/>
      <c r="BN47" s="45"/>
      <c r="BO47" s="45"/>
      <c r="BP47" s="45"/>
      <c r="BQ47" s="45"/>
      <c r="BR47" s="45"/>
      <c r="BS47" s="45"/>
      <c r="BT47" s="45"/>
      <c r="BU47" s="45"/>
      <c r="BV47" s="45"/>
      <c r="BW47" s="45"/>
      <c r="BX47" s="45"/>
      <c r="BY47" s="45"/>
      <c r="BZ47" s="45"/>
      <c r="CA47" s="45"/>
      <c r="CB47" s="45"/>
      <c r="CC47" s="45"/>
      <c r="CD47" s="45"/>
      <c r="CE47" s="45"/>
      <c r="CF47" s="45"/>
      <c r="CG47" s="45"/>
      <c r="CH47" s="45"/>
      <c r="CI47" s="45"/>
      <c r="CJ47" s="45"/>
      <c r="CK47" s="45"/>
      <c r="CL47" s="45"/>
      <c r="CM47" s="45"/>
      <c r="CN47" s="45"/>
      <c r="CO47" s="45"/>
      <c r="CP47" s="45"/>
      <c r="CQ47" s="45"/>
      <c r="CR47" s="45"/>
      <c r="CS47" s="45"/>
      <c r="CT47" s="45"/>
      <c r="CU47" s="45"/>
      <c r="CV47" s="45"/>
      <c r="CW47" s="45"/>
      <c r="CX47" s="45"/>
      <c r="CY47" s="45"/>
      <c r="CZ47" s="45"/>
      <c r="DA47" s="45"/>
      <c r="DB47" s="45"/>
      <c r="DC47" s="45"/>
      <c r="DD47" s="45"/>
      <c r="DE47" s="45"/>
      <c r="DF47" s="45"/>
      <c r="DG47" s="45"/>
      <c r="DH47" s="45"/>
      <c r="DI47" s="45"/>
      <c r="DJ47" s="45"/>
      <c r="DK47" s="45"/>
      <c r="DL47" s="45"/>
      <c r="DM47" s="45"/>
      <c r="DN47" s="45"/>
      <c r="DO47" s="45"/>
      <c r="DP47" s="45"/>
      <c r="DQ47" s="45"/>
      <c r="DR47" s="45"/>
      <c r="DS47" s="45"/>
      <c r="DT47" s="45"/>
      <c r="DU47" s="45"/>
      <c r="DV47" s="45"/>
      <c r="DW47" s="45"/>
      <c r="DX47" s="45"/>
      <c r="DY47" s="45"/>
      <c r="DZ47" s="45"/>
      <c r="EA47" s="45"/>
      <c r="EB47" s="45"/>
      <c r="EC47" s="45"/>
      <c r="ED47" s="45"/>
      <c r="EE47" s="45"/>
      <c r="EF47" s="45"/>
      <c r="EG47" s="45"/>
      <c r="EH47" s="45"/>
      <c r="EI47" s="45"/>
      <c r="EJ47" s="45"/>
      <c r="EK47" s="45"/>
      <c r="EL47" s="45"/>
      <c r="EM47" s="45"/>
      <c r="EN47" s="45"/>
      <c r="EO47" s="45"/>
      <c r="EP47" s="45"/>
      <c r="EQ47" s="45"/>
    </row>
    <row r="48" spans="1:147" ht="15" customHeight="1" x14ac:dyDescent="0.25">
      <c r="A48" s="91" t="s">
        <v>520</v>
      </c>
      <c r="B48" s="100"/>
      <c r="C48" s="89" t="s">
        <v>521</v>
      </c>
      <c r="D48" s="90" t="s">
        <v>537</v>
      </c>
      <c r="E48" s="90" t="s">
        <v>222</v>
      </c>
      <c r="F48" s="119" t="s">
        <v>48</v>
      </c>
      <c r="G48" s="119">
        <v>16</v>
      </c>
      <c r="H48" s="119">
        <v>256</v>
      </c>
      <c r="I48" s="88"/>
      <c r="J48" s="88"/>
      <c r="K48" s="45"/>
      <c r="L48" s="45"/>
      <c r="M48" s="45"/>
      <c r="N48" s="45"/>
      <c r="O48" s="45"/>
      <c r="P48" s="45"/>
      <c r="Q48" s="45"/>
      <c r="R48" s="45"/>
      <c r="S48" s="45"/>
      <c r="T48" s="45"/>
      <c r="U48" s="45"/>
      <c r="V48" s="45"/>
      <c r="W48" s="45"/>
      <c r="X48" s="45"/>
      <c r="Y48" s="45"/>
      <c r="Z48" s="45"/>
      <c r="AA48" s="45"/>
      <c r="AB48" s="45"/>
      <c r="AC48" s="45"/>
      <c r="AD48" s="45"/>
      <c r="AE48" s="45"/>
      <c r="AF48" s="45"/>
      <c r="AG48" s="45"/>
      <c r="AH48" s="45"/>
      <c r="AI48" s="45"/>
      <c r="AJ48" s="45"/>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row>
    <row r="49" spans="1:147" ht="15" customHeight="1" x14ac:dyDescent="0.25">
      <c r="A49" s="131" t="s">
        <v>522</v>
      </c>
      <c r="B49" s="100"/>
      <c r="C49" s="89" t="s">
        <v>523</v>
      </c>
      <c r="D49" s="90" t="s">
        <v>533</v>
      </c>
      <c r="E49" s="90" t="s">
        <v>222</v>
      </c>
      <c r="F49" s="119" t="s">
        <v>48</v>
      </c>
      <c r="G49" s="119">
        <v>16</v>
      </c>
      <c r="H49" s="119">
        <v>256</v>
      </c>
      <c r="I49" s="88"/>
      <c r="J49" s="88"/>
      <c r="K49" s="45"/>
      <c r="L49" s="45"/>
      <c r="M49" s="45"/>
      <c r="N49" s="45"/>
      <c r="O49" s="45"/>
      <c r="P49" s="45"/>
      <c r="Q49" s="45"/>
      <c r="R49" s="45"/>
      <c r="S49" s="45"/>
      <c r="T49" s="45"/>
      <c r="U49" s="45"/>
      <c r="V49" s="45"/>
      <c r="W49" s="45"/>
      <c r="X49" s="45"/>
      <c r="Y49" s="45"/>
      <c r="Z49" s="45"/>
      <c r="AA49" s="45"/>
      <c r="AB49" s="45"/>
      <c r="AC49" s="45"/>
      <c r="AD49" s="45"/>
      <c r="AE49" s="45"/>
      <c r="AF49" s="45"/>
      <c r="AG49" s="45"/>
      <c r="AH49" s="45"/>
      <c r="AI49" s="45"/>
      <c r="AJ49" s="45"/>
      <c r="AK49" s="45"/>
      <c r="AL49" s="45"/>
      <c r="AM49" s="45"/>
      <c r="AN49" s="45"/>
      <c r="AO49" s="45"/>
      <c r="AP49" s="45"/>
      <c r="AQ49" s="45"/>
      <c r="AR49" s="45"/>
      <c r="AS49" s="45"/>
      <c r="AT49" s="45"/>
      <c r="AU49" s="45"/>
      <c r="AV49" s="45"/>
      <c r="AW49" s="45"/>
      <c r="AX49" s="45"/>
      <c r="AY49" s="45"/>
      <c r="AZ49" s="45"/>
      <c r="BA49" s="45"/>
      <c r="BB49" s="45"/>
      <c r="BC49" s="45"/>
      <c r="BD49" s="45"/>
      <c r="BE49" s="45"/>
      <c r="BF49" s="45"/>
      <c r="BG49" s="45"/>
      <c r="BH49" s="45"/>
      <c r="BI49" s="45"/>
      <c r="BJ49" s="45"/>
      <c r="BK49" s="45"/>
      <c r="BL49" s="45"/>
      <c r="BM49" s="45"/>
      <c r="BN49" s="45"/>
      <c r="BO49" s="45"/>
      <c r="BP49" s="45"/>
      <c r="BQ49" s="45"/>
      <c r="BR49" s="45"/>
      <c r="BS49" s="45"/>
      <c r="BT49" s="45"/>
      <c r="BU49" s="45"/>
      <c r="BV49" s="45"/>
      <c r="BW49" s="45"/>
      <c r="BX49" s="45"/>
      <c r="BY49" s="45"/>
      <c r="BZ49" s="45"/>
      <c r="CA49" s="45"/>
      <c r="CB49" s="45"/>
      <c r="CC49" s="45"/>
      <c r="CD49" s="45"/>
      <c r="CE49" s="45"/>
      <c r="CF49" s="45"/>
      <c r="CG49" s="45"/>
      <c r="CH49" s="45"/>
      <c r="CI49" s="45"/>
      <c r="CJ49" s="45"/>
      <c r="CK49" s="45"/>
      <c r="CL49" s="45"/>
      <c r="CM49" s="45"/>
      <c r="CN49" s="45"/>
      <c r="CO49" s="45"/>
      <c r="CP49" s="45"/>
      <c r="CQ49" s="45"/>
      <c r="CR49" s="45"/>
      <c r="CS49" s="45"/>
      <c r="CT49" s="45"/>
      <c r="CU49" s="45"/>
      <c r="CV49" s="45"/>
      <c r="CW49" s="45"/>
      <c r="CX49" s="45"/>
      <c r="CY49" s="45"/>
      <c r="CZ49" s="45"/>
      <c r="DA49" s="45"/>
      <c r="DB49" s="45"/>
      <c r="DC49" s="45"/>
      <c r="DD49" s="45"/>
      <c r="DE49" s="45"/>
      <c r="DF49" s="45"/>
      <c r="DG49" s="45"/>
      <c r="DH49" s="45"/>
      <c r="DI49" s="45"/>
      <c r="DJ49" s="45"/>
      <c r="DK49" s="45"/>
      <c r="DL49" s="45"/>
      <c r="DM49" s="45"/>
      <c r="DN49" s="45"/>
      <c r="DO49" s="45"/>
      <c r="DP49" s="45"/>
      <c r="DQ49" s="45"/>
      <c r="DR49" s="45"/>
      <c r="DS49" s="45"/>
      <c r="DT49" s="45"/>
      <c r="DU49" s="45"/>
      <c r="DV49" s="45"/>
      <c r="DW49" s="45"/>
      <c r="DX49" s="45"/>
      <c r="DY49" s="45"/>
      <c r="DZ49" s="45"/>
      <c r="EA49" s="45"/>
      <c r="EB49" s="45"/>
      <c r="EC49" s="45"/>
      <c r="ED49" s="45"/>
      <c r="EE49" s="45"/>
      <c r="EF49" s="45"/>
      <c r="EG49" s="45"/>
      <c r="EH49" s="45"/>
      <c r="EI49" s="45"/>
      <c r="EJ49" s="45"/>
      <c r="EK49" s="45"/>
      <c r="EL49" s="45"/>
      <c r="EM49" s="45"/>
      <c r="EN49" s="45"/>
      <c r="EO49" s="45"/>
      <c r="EP49" s="45"/>
      <c r="EQ49" s="45"/>
    </row>
    <row r="50" spans="1:147" ht="15" customHeight="1" x14ac:dyDescent="0.25">
      <c r="A50" s="91" t="s">
        <v>524</v>
      </c>
      <c r="B50" s="100"/>
      <c r="C50" s="89" t="s">
        <v>525</v>
      </c>
      <c r="D50" s="90" t="s">
        <v>208</v>
      </c>
      <c r="E50" s="90" t="s">
        <v>222</v>
      </c>
      <c r="F50" s="119" t="s">
        <v>31</v>
      </c>
      <c r="G50" s="119">
        <v>16</v>
      </c>
      <c r="H50" s="119">
        <v>256</v>
      </c>
      <c r="I50" s="88"/>
      <c r="J50" s="88"/>
      <c r="K50" s="45"/>
      <c r="L50" s="45"/>
      <c r="M50" s="45"/>
      <c r="N50" s="45"/>
      <c r="O50" s="45"/>
      <c r="P50" s="45"/>
      <c r="Q50" s="45"/>
      <c r="R50" s="45"/>
      <c r="S50" s="45"/>
      <c r="T50" s="45"/>
      <c r="U50" s="45"/>
      <c r="V50" s="45"/>
      <c r="W50" s="45"/>
      <c r="X50" s="45"/>
      <c r="Y50" s="45"/>
      <c r="Z50" s="45"/>
      <c r="AA50" s="45"/>
      <c r="AB50" s="45"/>
      <c r="AC50" s="45"/>
      <c r="AD50" s="45"/>
      <c r="AE50" s="45"/>
      <c r="AF50" s="45"/>
      <c r="AG50" s="45"/>
      <c r="AH50" s="45"/>
      <c r="AI50" s="45"/>
      <c r="AJ50" s="45"/>
      <c r="AK50" s="45"/>
      <c r="AL50" s="45"/>
      <c r="AM50" s="45"/>
      <c r="AN50" s="45"/>
      <c r="AO50" s="45"/>
      <c r="AP50" s="45"/>
      <c r="AQ50" s="45"/>
      <c r="AR50" s="45"/>
      <c r="AS50" s="45"/>
      <c r="AT50" s="45"/>
      <c r="AU50" s="45"/>
      <c r="AV50" s="45"/>
      <c r="AW50" s="45"/>
      <c r="AX50" s="45"/>
      <c r="AY50" s="45"/>
      <c r="AZ50" s="45"/>
      <c r="BA50" s="45"/>
      <c r="BB50" s="45"/>
      <c r="BC50" s="45"/>
      <c r="BD50" s="45"/>
      <c r="BE50" s="45"/>
      <c r="BF50" s="45"/>
      <c r="BG50" s="45"/>
      <c r="BH50" s="45"/>
      <c r="BI50" s="45"/>
      <c r="BJ50" s="45"/>
      <c r="BK50" s="45"/>
      <c r="BL50" s="45"/>
      <c r="BM50" s="45"/>
      <c r="BN50" s="45"/>
      <c r="BO50" s="45"/>
      <c r="BP50" s="45"/>
      <c r="BQ50" s="45"/>
      <c r="BR50" s="45"/>
      <c r="BS50" s="45"/>
      <c r="BT50" s="45"/>
      <c r="BU50" s="45"/>
      <c r="BV50" s="45"/>
      <c r="BW50" s="45"/>
      <c r="BX50" s="45"/>
      <c r="BY50" s="45"/>
      <c r="BZ50" s="45"/>
      <c r="CA50" s="45"/>
      <c r="CB50" s="45"/>
      <c r="CC50" s="45"/>
      <c r="CD50" s="45"/>
      <c r="CE50" s="45"/>
      <c r="CF50" s="45"/>
      <c r="CG50" s="45"/>
      <c r="CH50" s="45"/>
      <c r="CI50" s="45"/>
      <c r="CJ50" s="45"/>
      <c r="CK50" s="45"/>
      <c r="CL50" s="45"/>
      <c r="CM50" s="45"/>
      <c r="CN50" s="45"/>
      <c r="CO50" s="45"/>
      <c r="CP50" s="45"/>
      <c r="CQ50" s="45"/>
      <c r="CR50" s="45"/>
      <c r="CS50" s="45"/>
      <c r="CT50" s="45"/>
      <c r="CU50" s="45"/>
      <c r="CV50" s="45"/>
      <c r="CW50" s="45"/>
      <c r="CX50" s="45"/>
      <c r="CY50" s="45"/>
      <c r="CZ50" s="45"/>
      <c r="DA50" s="45"/>
      <c r="DB50" s="45"/>
      <c r="DC50" s="45"/>
      <c r="DD50" s="45"/>
      <c r="DE50" s="45"/>
      <c r="DF50" s="45"/>
      <c r="DG50" s="45"/>
      <c r="DH50" s="45"/>
      <c r="DI50" s="45"/>
      <c r="DJ50" s="45"/>
      <c r="DK50" s="45"/>
      <c r="DL50" s="45"/>
      <c r="DM50" s="45"/>
      <c r="DN50" s="45"/>
      <c r="DO50" s="45"/>
      <c r="DP50" s="45"/>
      <c r="DQ50" s="45"/>
      <c r="DR50" s="45"/>
      <c r="DS50" s="45"/>
      <c r="DT50" s="45"/>
      <c r="DU50" s="45"/>
      <c r="DV50" s="45"/>
      <c r="DW50" s="45"/>
      <c r="DX50" s="45"/>
      <c r="DY50" s="45"/>
      <c r="DZ50" s="45"/>
      <c r="EA50" s="45"/>
      <c r="EB50" s="45"/>
      <c r="EC50" s="45"/>
      <c r="ED50" s="45"/>
      <c r="EE50" s="45"/>
      <c r="EF50" s="45"/>
      <c r="EG50" s="45"/>
      <c r="EH50" s="45"/>
      <c r="EI50" s="45"/>
      <c r="EJ50" s="45"/>
      <c r="EK50" s="45"/>
      <c r="EL50" s="45"/>
      <c r="EM50" s="45"/>
      <c r="EN50" s="45"/>
      <c r="EO50" s="45"/>
      <c r="EP50" s="45"/>
      <c r="EQ50" s="45"/>
    </row>
    <row r="51" spans="1:147" ht="15" customHeight="1" x14ac:dyDescent="0.25">
      <c r="A51" s="91" t="s">
        <v>526</v>
      </c>
      <c r="B51" s="100"/>
      <c r="C51" s="89" t="s">
        <v>527</v>
      </c>
      <c r="D51" s="90" t="s">
        <v>534</v>
      </c>
      <c r="E51" s="90" t="s">
        <v>222</v>
      </c>
      <c r="F51" s="119" t="s">
        <v>48</v>
      </c>
      <c r="G51" s="119">
        <v>16</v>
      </c>
      <c r="H51" s="119">
        <v>256</v>
      </c>
      <c r="I51" s="88"/>
      <c r="J51" s="88"/>
      <c r="K51" s="45"/>
      <c r="L51" s="45"/>
      <c r="M51" s="45"/>
      <c r="N51" s="45"/>
      <c r="O51" s="45"/>
      <c r="P51" s="45"/>
      <c r="Q51" s="45"/>
      <c r="R51" s="45"/>
      <c r="S51" s="45"/>
      <c r="T51" s="45"/>
      <c r="U51" s="45"/>
      <c r="V51" s="45"/>
      <c r="W51" s="45"/>
      <c r="X51" s="45"/>
      <c r="Y51" s="45"/>
      <c r="Z51" s="45"/>
      <c r="AA51" s="45"/>
      <c r="AB51" s="45"/>
      <c r="AC51" s="45"/>
      <c r="AD51" s="45"/>
      <c r="AE51" s="45"/>
      <c r="AF51" s="45"/>
      <c r="AG51" s="45"/>
      <c r="AH51" s="45"/>
      <c r="AI51" s="45"/>
      <c r="AJ51" s="45"/>
      <c r="AK51" s="45"/>
      <c r="AL51" s="45"/>
      <c r="AM51" s="45"/>
      <c r="AN51" s="45"/>
      <c r="AO51" s="45"/>
      <c r="AP51" s="45"/>
      <c r="AQ51" s="45"/>
      <c r="AR51" s="45"/>
      <c r="AS51" s="45"/>
      <c r="AT51" s="45"/>
      <c r="AU51" s="45"/>
      <c r="AV51" s="45"/>
      <c r="AW51" s="45"/>
      <c r="AX51" s="45"/>
      <c r="AY51" s="45"/>
      <c r="AZ51" s="45"/>
      <c r="BA51" s="45"/>
      <c r="BB51" s="45"/>
      <c r="BC51" s="45"/>
      <c r="BD51" s="45"/>
      <c r="BE51" s="45"/>
      <c r="BF51" s="45"/>
      <c r="BG51" s="45"/>
      <c r="BH51" s="45"/>
      <c r="BI51" s="45"/>
      <c r="BJ51" s="45"/>
      <c r="BK51" s="45"/>
      <c r="BL51" s="45"/>
      <c r="BM51" s="45"/>
      <c r="BN51" s="45"/>
      <c r="BO51" s="45"/>
      <c r="BP51" s="45"/>
      <c r="BQ51" s="45"/>
      <c r="BR51" s="45"/>
      <c r="BS51" s="45"/>
      <c r="BT51" s="45"/>
      <c r="BU51" s="45"/>
      <c r="BV51" s="45"/>
      <c r="BW51" s="45"/>
      <c r="BX51" s="45"/>
      <c r="BY51" s="45"/>
      <c r="BZ51" s="45"/>
      <c r="CA51" s="45"/>
      <c r="CB51" s="45"/>
      <c r="CC51" s="45"/>
      <c r="CD51" s="45"/>
      <c r="CE51" s="45"/>
      <c r="CF51" s="45"/>
      <c r="CG51" s="45"/>
      <c r="CH51" s="45"/>
      <c r="CI51" s="45"/>
      <c r="CJ51" s="45"/>
      <c r="CK51" s="45"/>
      <c r="CL51" s="45"/>
      <c r="CM51" s="45"/>
      <c r="CN51" s="45"/>
      <c r="CO51" s="45"/>
      <c r="CP51" s="45"/>
      <c r="CQ51" s="45"/>
      <c r="CR51" s="45"/>
      <c r="CS51" s="45"/>
      <c r="CT51" s="45"/>
      <c r="CU51" s="45"/>
      <c r="CV51" s="45"/>
      <c r="CW51" s="45"/>
      <c r="CX51" s="45"/>
      <c r="CY51" s="45"/>
      <c r="CZ51" s="45"/>
      <c r="DA51" s="45"/>
      <c r="DB51" s="45"/>
      <c r="DC51" s="45"/>
      <c r="DD51" s="45"/>
      <c r="DE51" s="45"/>
      <c r="DF51" s="45"/>
      <c r="DG51" s="45"/>
      <c r="DH51" s="45"/>
      <c r="DI51" s="45"/>
      <c r="DJ51" s="45"/>
      <c r="DK51" s="45"/>
      <c r="DL51" s="45"/>
      <c r="DM51" s="45"/>
      <c r="DN51" s="45"/>
      <c r="DO51" s="45"/>
      <c r="DP51" s="45"/>
      <c r="DQ51" s="45"/>
      <c r="DR51" s="45"/>
      <c r="DS51" s="45"/>
      <c r="DT51" s="45"/>
      <c r="DU51" s="45"/>
      <c r="DV51" s="45"/>
      <c r="DW51" s="45"/>
      <c r="DX51" s="45"/>
      <c r="DY51" s="45"/>
      <c r="DZ51" s="45"/>
      <c r="EA51" s="45"/>
      <c r="EB51" s="45"/>
      <c r="EC51" s="45"/>
      <c r="ED51" s="45"/>
      <c r="EE51" s="45"/>
      <c r="EF51" s="45"/>
      <c r="EG51" s="45"/>
      <c r="EH51" s="45"/>
      <c r="EI51" s="45"/>
      <c r="EJ51" s="45"/>
      <c r="EK51" s="45"/>
      <c r="EL51" s="45"/>
      <c r="EM51" s="45"/>
      <c r="EN51" s="45"/>
      <c r="EO51" s="45"/>
      <c r="EP51" s="45"/>
      <c r="EQ51" s="45"/>
    </row>
    <row r="52" spans="1:147" ht="15" customHeight="1" x14ac:dyDescent="0.25">
      <c r="A52" s="91" t="s">
        <v>528</v>
      </c>
      <c r="B52" s="100"/>
      <c r="C52" s="89" t="s">
        <v>529</v>
      </c>
      <c r="D52" s="90" t="s">
        <v>208</v>
      </c>
      <c r="E52" s="90" t="s">
        <v>222</v>
      </c>
      <c r="F52" s="119" t="s">
        <v>31</v>
      </c>
      <c r="G52" s="119">
        <v>16</v>
      </c>
      <c r="H52" s="119">
        <v>256</v>
      </c>
      <c r="I52" s="88"/>
      <c r="J52" s="88"/>
      <c r="K52" s="45"/>
      <c r="L52" s="45"/>
      <c r="M52" s="45"/>
      <c r="N52" s="45"/>
      <c r="O52" s="45"/>
      <c r="P52" s="45"/>
      <c r="Q52" s="45"/>
      <c r="R52" s="45"/>
      <c r="S52" s="45"/>
      <c r="T52" s="45"/>
      <c r="U52" s="45"/>
      <c r="V52" s="45"/>
      <c r="W52" s="45"/>
      <c r="X52" s="45"/>
      <c r="Y52" s="45"/>
      <c r="Z52" s="45"/>
      <c r="AA52" s="45"/>
      <c r="AB52" s="45"/>
      <c r="AC52" s="45"/>
      <c r="AD52" s="45"/>
      <c r="AE52" s="45"/>
      <c r="AF52" s="45"/>
      <c r="AG52" s="45"/>
      <c r="AH52" s="45"/>
      <c r="AI52" s="45"/>
      <c r="AJ52" s="45"/>
      <c r="AK52" s="45"/>
      <c r="AL52" s="45"/>
      <c r="AM52" s="45"/>
      <c r="AN52" s="45"/>
      <c r="AO52" s="45"/>
      <c r="AP52" s="45"/>
      <c r="AQ52" s="45"/>
      <c r="AR52" s="45"/>
      <c r="AS52" s="45"/>
      <c r="AT52" s="45"/>
      <c r="AU52" s="45"/>
      <c r="AV52" s="45"/>
      <c r="AW52" s="45"/>
      <c r="AX52" s="45"/>
      <c r="AY52" s="45"/>
      <c r="AZ52" s="45"/>
      <c r="BA52" s="45"/>
      <c r="BB52" s="45"/>
      <c r="BC52" s="45"/>
      <c r="BD52" s="45"/>
      <c r="BE52" s="45"/>
      <c r="BF52" s="45"/>
      <c r="BG52" s="45"/>
      <c r="BH52" s="45"/>
      <c r="BI52" s="45"/>
      <c r="BJ52" s="45"/>
      <c r="BK52" s="45"/>
      <c r="BL52" s="45"/>
      <c r="BM52" s="45"/>
      <c r="BN52" s="45"/>
      <c r="BO52" s="45"/>
      <c r="BP52" s="45"/>
      <c r="BQ52" s="45"/>
      <c r="BR52" s="45"/>
      <c r="BS52" s="45"/>
      <c r="BT52" s="45"/>
      <c r="BU52" s="45"/>
      <c r="BV52" s="45"/>
      <c r="BW52" s="45"/>
      <c r="BX52" s="45"/>
      <c r="BY52" s="45"/>
      <c r="BZ52" s="45"/>
      <c r="CA52" s="45"/>
      <c r="CB52" s="45"/>
      <c r="CC52" s="45"/>
      <c r="CD52" s="45"/>
      <c r="CE52" s="45"/>
      <c r="CF52" s="45"/>
      <c r="CG52" s="45"/>
      <c r="CH52" s="45"/>
      <c r="CI52" s="45"/>
      <c r="CJ52" s="45"/>
      <c r="CK52" s="45"/>
      <c r="CL52" s="45"/>
      <c r="CM52" s="45"/>
      <c r="CN52" s="45"/>
      <c r="CO52" s="45"/>
      <c r="CP52" s="45"/>
      <c r="CQ52" s="45"/>
      <c r="CR52" s="45"/>
      <c r="CS52" s="45"/>
      <c r="CT52" s="45"/>
      <c r="CU52" s="45"/>
      <c r="CV52" s="45"/>
      <c r="CW52" s="45"/>
      <c r="CX52" s="45"/>
      <c r="CY52" s="45"/>
      <c r="CZ52" s="45"/>
      <c r="DA52" s="45"/>
      <c r="DB52" s="45"/>
      <c r="DC52" s="45"/>
      <c r="DD52" s="45"/>
      <c r="DE52" s="45"/>
      <c r="DF52" s="45"/>
      <c r="DG52" s="45"/>
      <c r="DH52" s="45"/>
      <c r="DI52" s="45"/>
      <c r="DJ52" s="45"/>
      <c r="DK52" s="45"/>
      <c r="DL52" s="45"/>
      <c r="DM52" s="45"/>
      <c r="DN52" s="45"/>
      <c r="DO52" s="45"/>
      <c r="DP52" s="45"/>
      <c r="DQ52" s="45"/>
      <c r="DR52" s="45"/>
      <c r="DS52" s="45"/>
      <c r="DT52" s="45"/>
      <c r="DU52" s="45"/>
      <c r="DV52" s="45"/>
      <c r="DW52" s="45"/>
      <c r="DX52" s="45"/>
      <c r="DY52" s="45"/>
      <c r="DZ52" s="45"/>
      <c r="EA52" s="45"/>
      <c r="EB52" s="45"/>
      <c r="EC52" s="45"/>
      <c r="ED52" s="45"/>
      <c r="EE52" s="45"/>
      <c r="EF52" s="45"/>
      <c r="EG52" s="45"/>
      <c r="EH52" s="45"/>
      <c r="EI52" s="45"/>
      <c r="EJ52" s="45"/>
      <c r="EK52" s="45"/>
      <c r="EL52" s="45"/>
      <c r="EM52" s="45"/>
      <c r="EN52" s="45"/>
      <c r="EO52" s="45"/>
      <c r="EP52" s="45"/>
      <c r="EQ52" s="45"/>
    </row>
    <row r="53" spans="1:147" ht="15" customHeight="1" x14ac:dyDescent="0.25">
      <c r="A53" s="91" t="s">
        <v>236</v>
      </c>
      <c r="B53" s="100"/>
      <c r="C53" s="89" t="s">
        <v>530</v>
      </c>
      <c r="D53" s="90" t="s">
        <v>51</v>
      </c>
      <c r="E53" s="90" t="s">
        <v>222</v>
      </c>
      <c r="F53" s="119" t="s">
        <v>196</v>
      </c>
      <c r="G53" s="119">
        <v>32</v>
      </c>
      <c r="H53" s="119">
        <v>256</v>
      </c>
      <c r="I53" s="88"/>
      <c r="J53" s="88"/>
      <c r="K53" s="45"/>
      <c r="L53" s="45"/>
      <c r="M53" s="45"/>
      <c r="N53" s="45"/>
      <c r="O53" s="45"/>
      <c r="P53" s="45"/>
      <c r="Q53" s="45"/>
      <c r="R53" s="45"/>
      <c r="S53" s="45"/>
      <c r="T53" s="45"/>
      <c r="U53" s="45"/>
      <c r="V53" s="45"/>
      <c r="W53" s="45"/>
      <c r="X53" s="45"/>
      <c r="Y53" s="45"/>
      <c r="Z53" s="45"/>
      <c r="AA53" s="45"/>
      <c r="AB53" s="45"/>
      <c r="AC53" s="45"/>
      <c r="AD53" s="45"/>
      <c r="AE53" s="45"/>
      <c r="AF53" s="45"/>
      <c r="AG53" s="45"/>
      <c r="AH53" s="45"/>
      <c r="AI53" s="45"/>
      <c r="AJ53" s="45"/>
      <c r="AK53" s="45"/>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c r="BQ53" s="45"/>
      <c r="BR53" s="45"/>
      <c r="BS53" s="45"/>
      <c r="BT53" s="45"/>
      <c r="BU53" s="45"/>
      <c r="BV53" s="45"/>
      <c r="BW53" s="45"/>
      <c r="BX53" s="45"/>
      <c r="BY53" s="45"/>
      <c r="BZ53" s="45"/>
      <c r="CA53" s="45"/>
      <c r="CB53" s="45"/>
      <c r="CC53" s="45"/>
      <c r="CD53" s="45"/>
      <c r="CE53" s="45"/>
      <c r="CF53" s="45"/>
      <c r="CG53" s="45"/>
      <c r="CH53" s="45"/>
      <c r="CI53" s="45"/>
      <c r="CJ53" s="45"/>
      <c r="CK53" s="45"/>
      <c r="CL53" s="45"/>
      <c r="CM53" s="45"/>
      <c r="CN53" s="45"/>
      <c r="CO53" s="45"/>
      <c r="CP53" s="45"/>
      <c r="CQ53" s="45"/>
      <c r="CR53" s="45"/>
      <c r="CS53" s="45"/>
      <c r="CT53" s="45"/>
      <c r="CU53" s="45"/>
      <c r="CV53" s="45"/>
      <c r="CW53" s="45"/>
      <c r="CX53" s="45"/>
      <c r="CY53" s="45"/>
      <c r="CZ53" s="45"/>
      <c r="DA53" s="45"/>
      <c r="DB53" s="45"/>
      <c r="DC53" s="45"/>
      <c r="DD53" s="45"/>
      <c r="DE53" s="45"/>
      <c r="DF53" s="45"/>
      <c r="DG53" s="45"/>
      <c r="DH53" s="45"/>
      <c r="DI53" s="45"/>
      <c r="DJ53" s="45"/>
      <c r="DK53" s="45"/>
      <c r="DL53" s="45"/>
      <c r="DM53" s="45"/>
      <c r="DN53" s="45"/>
      <c r="DO53" s="45"/>
      <c r="DP53" s="45"/>
      <c r="DQ53" s="45"/>
      <c r="DR53" s="45"/>
      <c r="DS53" s="45"/>
      <c r="DT53" s="45"/>
      <c r="DU53" s="45"/>
      <c r="DV53" s="45"/>
      <c r="DW53" s="45"/>
      <c r="DX53" s="45"/>
      <c r="DY53" s="45"/>
      <c r="DZ53" s="45"/>
      <c r="EA53" s="45"/>
      <c r="EB53" s="45"/>
      <c r="EC53" s="45"/>
      <c r="ED53" s="45"/>
      <c r="EE53" s="45"/>
      <c r="EF53" s="45"/>
      <c r="EG53" s="45"/>
      <c r="EH53" s="45"/>
      <c r="EI53" s="45"/>
      <c r="EJ53" s="45"/>
      <c r="EK53" s="45"/>
      <c r="EL53" s="45"/>
      <c r="EM53" s="45"/>
      <c r="EN53" s="45"/>
      <c r="EO53" s="45"/>
      <c r="EP53" s="45"/>
      <c r="EQ53" s="45"/>
    </row>
    <row r="54" spans="1:147" ht="15" customHeight="1" x14ac:dyDescent="0.25">
      <c r="A54" s="101" t="s">
        <v>587</v>
      </c>
      <c r="B54" s="133"/>
      <c r="C54" s="96"/>
      <c r="D54" s="78"/>
      <c r="E54" s="78"/>
      <c r="F54" s="115"/>
      <c r="G54" s="115"/>
      <c r="H54" s="115"/>
      <c r="I54" s="96"/>
      <c r="J54" s="97" t="s">
        <v>353</v>
      </c>
      <c r="K54" s="3">
        <f>AVERAGE(K4:K53)</f>
        <v>5671.0862812752594</v>
      </c>
      <c r="L54" s="3">
        <f>AVERAGE(L2:L53)</f>
        <v>8227.8722253544802</v>
      </c>
      <c r="M54" s="3">
        <f>AVERAGE(M2:M53)</f>
        <v>246.22688712177313</v>
      </c>
      <c r="N54" s="94"/>
      <c r="O54" s="94"/>
      <c r="P54" s="94"/>
      <c r="Q54" s="94">
        <f>AVERAGE(Q4:Q53)</f>
        <v>2.1030964771498479</v>
      </c>
      <c r="R54" s="94">
        <f>AVERAGE(R4:R53)</f>
        <v>15465.397545702186</v>
      </c>
      <c r="S54" s="94"/>
      <c r="T54" s="94"/>
      <c r="U54" s="94">
        <f>AVERAGE(U4:U53)</f>
        <v>58556.836967269621</v>
      </c>
      <c r="V54" s="94"/>
      <c r="W54" s="94"/>
      <c r="X54" s="94"/>
      <c r="Y54" s="94"/>
      <c r="Z54" s="94"/>
      <c r="AA54" s="94">
        <f t="shared" ref="AA54:AH54" si="0">AVERAGE(AA4:AA53)</f>
        <v>35400.921050965779</v>
      </c>
      <c r="AB54" s="94"/>
      <c r="AC54" s="94"/>
      <c r="AD54" s="94">
        <f t="shared" si="0"/>
        <v>199774.80738544281</v>
      </c>
      <c r="AE54" s="94">
        <f t="shared" si="0"/>
        <v>98.165986429657821</v>
      </c>
      <c r="AF54" s="94">
        <f t="shared" si="0"/>
        <v>38861.003477198225</v>
      </c>
      <c r="AG54" s="94">
        <f t="shared" si="0"/>
        <v>19234.800872591277</v>
      </c>
      <c r="AH54" s="94">
        <f t="shared" si="0"/>
        <v>5.6023259753534473</v>
      </c>
      <c r="AI54" s="94"/>
      <c r="AJ54" s="94">
        <f>AVERAGE(AJ5:AJ53)</f>
        <v>0.1203329681645592</v>
      </c>
      <c r="AK54" s="94">
        <f t="shared" ref="AK54:AZ54" si="1">AVERAGE(AK4:AK53)</f>
        <v>0.71892746535702745</v>
      </c>
      <c r="AL54" s="94">
        <f t="shared" si="1"/>
        <v>4.1529199195809756</v>
      </c>
      <c r="AM54" s="94">
        <f t="shared" si="1"/>
        <v>0.63394854859086547</v>
      </c>
      <c r="AN54" s="94"/>
      <c r="AO54" s="94">
        <f t="shared" si="1"/>
        <v>16.869560006859018</v>
      </c>
      <c r="AP54" s="94">
        <f t="shared" si="1"/>
        <v>2.9712935173533537</v>
      </c>
      <c r="AQ54" s="94">
        <f t="shared" si="1"/>
        <v>0.18471829308304841</v>
      </c>
      <c r="AR54" s="94">
        <f t="shared" si="1"/>
        <v>0.8859735034257834</v>
      </c>
      <c r="AS54" s="94">
        <f t="shared" si="1"/>
        <v>12.552293488232507</v>
      </c>
      <c r="AT54" s="94">
        <f t="shared" si="1"/>
        <v>0.1164889209336981</v>
      </c>
      <c r="AU54" s="94">
        <f t="shared" si="1"/>
        <v>1.6878198420698445</v>
      </c>
      <c r="AV54" s="94">
        <f t="shared" si="1"/>
        <v>0.3065619172336258</v>
      </c>
      <c r="AW54" s="94">
        <f t="shared" si="1"/>
        <v>3.8182062541457742E-2</v>
      </c>
      <c r="AX54" s="94">
        <f t="shared" si="1"/>
        <v>0.67455279697456605</v>
      </c>
      <c r="AY54" s="94">
        <f t="shared" si="1"/>
        <v>4.0728535439932691E-2</v>
      </c>
      <c r="AZ54" s="94">
        <f t="shared" si="1"/>
        <v>3.8747333483896602</v>
      </c>
      <c r="BA54" s="94"/>
      <c r="BB54" s="94"/>
      <c r="BC54" s="94"/>
      <c r="BD54" s="94"/>
      <c r="BE54" s="94"/>
      <c r="BF54" s="94">
        <f t="shared" ref="BF54:BV54" si="2">AVERAGE(BF4:BF53)</f>
        <v>1.1411887658489881</v>
      </c>
      <c r="BG54" s="94"/>
      <c r="BH54" s="94"/>
      <c r="BI54" s="94"/>
      <c r="BJ54" s="94"/>
      <c r="BK54" s="94"/>
      <c r="BL54" s="94"/>
      <c r="BM54" s="94"/>
      <c r="BN54" s="94"/>
      <c r="BO54" s="94"/>
      <c r="BP54" s="94">
        <f t="shared" si="2"/>
        <v>8.9111617933812531E-2</v>
      </c>
      <c r="BQ54" s="94">
        <f t="shared" si="2"/>
        <v>0.5766142467001607</v>
      </c>
      <c r="BR54" s="94">
        <f t="shared" si="2"/>
        <v>70447.161182905445</v>
      </c>
      <c r="BS54" s="94"/>
      <c r="BT54" s="94">
        <f t="shared" si="2"/>
        <v>87.021400032404699</v>
      </c>
      <c r="BU54" s="94">
        <f t="shared" si="2"/>
        <v>16248.596032421823</v>
      </c>
      <c r="BV54" s="94">
        <f t="shared" si="2"/>
        <v>16400.502193651264</v>
      </c>
      <c r="BW54" s="94">
        <f>AVERAGE(BW4:BW52)</f>
        <v>155.10036489515235</v>
      </c>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94"/>
      <c r="EM54" s="94"/>
      <c r="EN54" s="94"/>
      <c r="EO54" s="94"/>
      <c r="EP54" s="94"/>
      <c r="EQ54" s="94"/>
    </row>
    <row r="55" spans="1:147" s="92" customFormat="1" ht="15" customHeight="1" x14ac:dyDescent="0.25">
      <c r="A55" s="106" t="s">
        <v>551</v>
      </c>
      <c r="B55" s="134" t="s">
        <v>892</v>
      </c>
      <c r="C55" s="106" t="s">
        <v>559</v>
      </c>
      <c r="D55" s="107" t="s">
        <v>539</v>
      </c>
      <c r="E55" s="107" t="s">
        <v>191</v>
      </c>
      <c r="F55" s="118" t="s">
        <v>48</v>
      </c>
      <c r="G55" s="118">
        <v>16</v>
      </c>
      <c r="H55" s="118">
        <v>256</v>
      </c>
      <c r="I55" s="107"/>
      <c r="J55" s="53" t="s">
        <v>233</v>
      </c>
      <c r="K55" s="45">
        <v>2260.8294036061025</v>
      </c>
      <c r="L55" s="45">
        <v>7555.5737982901846</v>
      </c>
      <c r="M55" s="45">
        <v>621.01907837826047</v>
      </c>
      <c r="N55" s="45"/>
      <c r="O55" s="45"/>
      <c r="P55" s="45"/>
      <c r="Q55" s="45">
        <v>5.0153520529951621</v>
      </c>
      <c r="R55" s="45"/>
      <c r="S55" s="45"/>
      <c r="T55" s="45"/>
      <c r="U55" s="45">
        <v>63167.268076837885</v>
      </c>
      <c r="V55" s="45"/>
      <c r="W55" s="45"/>
      <c r="X55" s="45"/>
      <c r="Y55" s="45"/>
      <c r="Z55" s="45"/>
      <c r="AA55" s="45"/>
      <c r="AB55" s="45"/>
      <c r="AC55" s="45"/>
      <c r="AD55" s="45"/>
      <c r="AE55" s="45">
        <v>97.651447368119022</v>
      </c>
      <c r="AF55" s="45">
        <v>46641.613869485394</v>
      </c>
      <c r="AG55" s="45">
        <v>38854.902346923671</v>
      </c>
      <c r="AH55" s="45">
        <v>1.7709312153214805</v>
      </c>
      <c r="AI55" s="45"/>
      <c r="AJ55" s="45">
        <v>0.11028463818882393</v>
      </c>
      <c r="AK55" s="45"/>
      <c r="AL55" s="45">
        <v>8.8790329258884224</v>
      </c>
      <c r="AM55" s="45">
        <v>0.28502925337101698</v>
      </c>
      <c r="AN55" s="45"/>
      <c r="AO55" s="45">
        <v>14.720151346593035</v>
      </c>
      <c r="AP55" s="45">
        <v>0.10789033629334835</v>
      </c>
      <c r="AQ55" s="45">
        <v>0.18240216795204123</v>
      </c>
      <c r="AR55" s="45">
        <v>2.5606431172924622</v>
      </c>
      <c r="AS55" s="45">
        <v>7.4188977730227714</v>
      </c>
      <c r="AT55" s="45">
        <v>8.5461410640863392E-2</v>
      </c>
      <c r="AU55" s="45">
        <v>7.5627844578969778</v>
      </c>
      <c r="AV55" s="45">
        <v>0.40162028751135409</v>
      </c>
      <c r="AW55" s="45"/>
      <c r="AX55" s="45">
        <v>0.68154066234310429</v>
      </c>
      <c r="AY55" s="45">
        <v>1.7009775366066727E-2</v>
      </c>
      <c r="AZ55" s="45">
        <v>0.37293623111696889</v>
      </c>
      <c r="BA55" s="45"/>
      <c r="BB55" s="45"/>
      <c r="BC55" s="45"/>
      <c r="BD55" s="45"/>
      <c r="BE55" s="45"/>
      <c r="BF55" s="45"/>
      <c r="BG55" s="45"/>
      <c r="BH55" s="45"/>
      <c r="BI55" s="45"/>
      <c r="BJ55" s="45"/>
      <c r="BK55" s="45"/>
      <c r="BL55" s="45"/>
      <c r="BM55" s="45"/>
      <c r="BN55" s="45"/>
      <c r="BO55" s="45"/>
      <c r="BP55" s="45"/>
      <c r="BQ55" s="45">
        <v>0.26998404472589133</v>
      </c>
      <c r="BR55" s="45">
        <v>12495.7300028515</v>
      </c>
      <c r="BS55" s="45"/>
      <c r="BT55" s="45">
        <v>84.796441517965476</v>
      </c>
      <c r="BU55" s="45"/>
      <c r="BV55" s="45">
        <v>227619.4104098079</v>
      </c>
      <c r="BW55" s="45">
        <v>29.894427365091765</v>
      </c>
      <c r="BX55" s="45"/>
      <c r="BY55" s="45">
        <v>21838.769049740571</v>
      </c>
      <c r="BZ55" s="45">
        <v>1274.2010953730974</v>
      </c>
      <c r="CA55" s="45">
        <v>97.190208846469176</v>
      </c>
      <c r="CB55" s="45">
        <v>110128.97202830709</v>
      </c>
      <c r="CC55" s="45">
        <v>306496.14366147824</v>
      </c>
      <c r="CD55" s="45">
        <v>1000.2606180633439</v>
      </c>
      <c r="CE55" s="45">
        <v>131825.51211422906</v>
      </c>
      <c r="CF55" s="45">
        <v>5210.6547809466138</v>
      </c>
      <c r="CG55" s="45"/>
      <c r="CH55" s="45">
        <v>25.570626302846343</v>
      </c>
      <c r="CI55" s="45">
        <v>147.9249884175895</v>
      </c>
      <c r="CJ55" s="45">
        <v>659.80359696884932</v>
      </c>
      <c r="CK55" s="45"/>
      <c r="CL55" s="45"/>
      <c r="CM55" s="45"/>
      <c r="CN55" s="45"/>
      <c r="CO55" s="45"/>
      <c r="CP55" s="45"/>
      <c r="CQ55" s="45"/>
      <c r="CR55" s="45"/>
      <c r="CS55" s="45"/>
      <c r="CT55" s="45"/>
      <c r="CU55" s="45"/>
      <c r="CV55" s="45"/>
      <c r="CW55" s="45"/>
      <c r="CX55" s="45"/>
      <c r="CY55" s="45"/>
      <c r="CZ55" s="45"/>
      <c r="DA55" s="45">
        <v>19.598884865940587</v>
      </c>
      <c r="DB55" s="45">
        <v>591424096.71111107</v>
      </c>
      <c r="DC55" s="45"/>
      <c r="DD55" s="45">
        <v>24760217.742024966</v>
      </c>
      <c r="DE55" s="45"/>
      <c r="DF55" s="45">
        <v>568788615.1212554</v>
      </c>
      <c r="DG55" s="45">
        <v>21749913.386962552</v>
      </c>
      <c r="DH55" s="45"/>
      <c r="DI55" s="45">
        <v>1490925718.5464633</v>
      </c>
      <c r="DJ55" s="45">
        <v>131793282.30790569</v>
      </c>
      <c r="DK55" s="45">
        <v>108387164.67128988</v>
      </c>
      <c r="DL55" s="45">
        <v>344458062.46879333</v>
      </c>
      <c r="DM55" s="45">
        <v>378520881.35367543</v>
      </c>
      <c r="DN55" s="45">
        <v>47771346.907073513</v>
      </c>
      <c r="DO55" s="45">
        <v>411285728.39944524</v>
      </c>
      <c r="DP55" s="45">
        <v>100895063.70041609</v>
      </c>
      <c r="DQ55" s="45"/>
      <c r="DR55" s="45">
        <v>116837701.23717059</v>
      </c>
      <c r="DS55" s="45">
        <v>22005393.575589459</v>
      </c>
      <c r="DT55" s="45">
        <v>384592454.30235785</v>
      </c>
      <c r="DU55" s="45"/>
      <c r="DV55" s="45"/>
      <c r="DW55" s="45"/>
      <c r="DX55" s="45"/>
      <c r="DY55" s="45"/>
      <c r="DZ55" s="45"/>
      <c r="EA55" s="45"/>
      <c r="EB55" s="45"/>
      <c r="EC55" s="45"/>
      <c r="ED55" s="45"/>
      <c r="EE55" s="45"/>
      <c r="EF55" s="45"/>
      <c r="EG55" s="45"/>
      <c r="EH55" s="45"/>
      <c r="EI55" s="45"/>
      <c r="EJ55" s="45"/>
      <c r="EK55" s="45">
        <v>26459336.255201109</v>
      </c>
      <c r="EL55" s="45">
        <v>7.1111069838283782</v>
      </c>
      <c r="EM55" s="45">
        <v>13.85041137991854</v>
      </c>
      <c r="EN55" s="45">
        <v>6.5982401049948836</v>
      </c>
      <c r="EO55" s="45"/>
      <c r="EP55" s="45"/>
      <c r="EQ55" s="45"/>
    </row>
    <row r="56" spans="1:147" s="92" customFormat="1" ht="15" customHeight="1" x14ac:dyDescent="0.25">
      <c r="A56" s="106" t="s">
        <v>552</v>
      </c>
      <c r="B56" s="134" t="s">
        <v>589</v>
      </c>
      <c r="C56" s="106" t="s">
        <v>560</v>
      </c>
      <c r="D56" s="107" t="s">
        <v>539</v>
      </c>
      <c r="E56" s="107" t="s">
        <v>191</v>
      </c>
      <c r="F56" s="118" t="s">
        <v>31</v>
      </c>
      <c r="G56" s="118">
        <v>16</v>
      </c>
      <c r="H56" s="118">
        <v>256</v>
      </c>
      <c r="I56" s="107"/>
      <c r="J56" s="53" t="s">
        <v>233</v>
      </c>
      <c r="K56" s="45">
        <v>4430.3411927877951</v>
      </c>
      <c r="L56" s="45">
        <v>4905.116924734315</v>
      </c>
      <c r="M56" s="45">
        <v>130.00250904980891</v>
      </c>
      <c r="N56" s="45"/>
      <c r="O56" s="45"/>
      <c r="P56" s="45"/>
      <c r="Q56" s="45"/>
      <c r="R56" s="45">
        <v>5119.818774181047</v>
      </c>
      <c r="S56" s="45"/>
      <c r="T56" s="45"/>
      <c r="U56" s="45"/>
      <c r="V56" s="45"/>
      <c r="W56" s="45"/>
      <c r="X56" s="45"/>
      <c r="Y56" s="45"/>
      <c r="Z56" s="45"/>
      <c r="AA56" s="45">
        <v>10072.381062687353</v>
      </c>
      <c r="AB56" s="45"/>
      <c r="AC56" s="45"/>
      <c r="AD56" s="45"/>
      <c r="AE56" s="45">
        <v>99.282126404374438</v>
      </c>
      <c r="AF56" s="45">
        <v>45570.848018003868</v>
      </c>
      <c r="AG56" s="45">
        <v>13409.010070918323</v>
      </c>
      <c r="AH56" s="45">
        <v>0.58272182318036392</v>
      </c>
      <c r="AI56" s="45"/>
      <c r="AJ56" s="45">
        <v>5.4253935628257081E-2</v>
      </c>
      <c r="AK56" s="45"/>
      <c r="AL56" s="45">
        <v>2.8497275175245411</v>
      </c>
      <c r="AM56" s="45">
        <v>0.81748041843566144</v>
      </c>
      <c r="AN56" s="45"/>
      <c r="AO56" s="45">
        <v>2.7534573577420538</v>
      </c>
      <c r="AP56" s="45">
        <v>2.1967490669963601</v>
      </c>
      <c r="AQ56" s="45">
        <v>9.0930958010275023E-2</v>
      </c>
      <c r="AR56" s="45">
        <v>0.35864437549642891</v>
      </c>
      <c r="AS56" s="45">
        <v>5.6041143743006803</v>
      </c>
      <c r="AT56" s="45">
        <v>5.4904652165016846E-2</v>
      </c>
      <c r="AU56" s="45">
        <v>0.37764606364490366</v>
      </c>
      <c r="AV56" s="45">
        <v>0.10351419159504757</v>
      </c>
      <c r="AW56" s="45"/>
      <c r="AX56" s="45">
        <v>0.26438737050391747</v>
      </c>
      <c r="AY56" s="45">
        <v>4.2388871479025647E-2</v>
      </c>
      <c r="AZ56" s="45">
        <v>0.37395669193280867</v>
      </c>
      <c r="BA56" s="45"/>
      <c r="BB56" s="45"/>
      <c r="BC56" s="45"/>
      <c r="BD56" s="45"/>
      <c r="BE56" s="45"/>
      <c r="BF56" s="45"/>
      <c r="BG56" s="45"/>
      <c r="BH56" s="45"/>
      <c r="BI56" s="45"/>
      <c r="BJ56" s="45"/>
      <c r="BK56" s="45"/>
      <c r="BL56" s="45"/>
      <c r="BM56" s="45"/>
      <c r="BN56" s="45"/>
      <c r="BO56" s="45"/>
      <c r="BP56" s="45">
        <v>5.9895368255451234E-2</v>
      </c>
      <c r="BQ56" s="45">
        <v>0.33057747719021319</v>
      </c>
      <c r="BR56" s="45">
        <v>20588.920331932084</v>
      </c>
      <c r="BS56" s="45"/>
      <c r="BT56" s="45">
        <v>99.425899622135248</v>
      </c>
      <c r="BU56" s="45"/>
      <c r="BV56" s="45">
        <v>1708.3236009499788</v>
      </c>
      <c r="BW56" s="45">
        <v>113.03235486289391</v>
      </c>
      <c r="BX56" s="45"/>
      <c r="BY56" s="45">
        <v>11149.628324369341</v>
      </c>
      <c r="BZ56" s="45">
        <v>17701.829411316096</v>
      </c>
      <c r="CA56" s="45">
        <v>118.33865255444672</v>
      </c>
      <c r="CB56" s="45">
        <v>61.473233725459195</v>
      </c>
      <c r="CC56" s="45">
        <v>82618.745138801722</v>
      </c>
      <c r="CD56" s="45">
        <v>119.50237747259987</v>
      </c>
      <c r="CE56" s="45">
        <v>29718.44654650192</v>
      </c>
      <c r="CF56" s="45">
        <v>1736.9072594619045</v>
      </c>
      <c r="CG56" s="45"/>
      <c r="CH56" s="45">
        <v>26.111959034046649</v>
      </c>
      <c r="CI56" s="45">
        <v>117.14101698658266</v>
      </c>
      <c r="CJ56" s="45">
        <v>2472.0587138550272</v>
      </c>
      <c r="CK56" s="45"/>
      <c r="CL56" s="45"/>
      <c r="CM56" s="45"/>
      <c r="CN56" s="45"/>
      <c r="CO56" s="45"/>
      <c r="CP56" s="45"/>
      <c r="CQ56" s="45"/>
      <c r="CR56" s="45"/>
      <c r="CS56" s="45"/>
      <c r="CT56" s="45"/>
      <c r="CU56" s="45"/>
      <c r="CV56" s="45"/>
      <c r="CW56" s="45"/>
      <c r="CX56" s="45"/>
      <c r="CY56" s="45"/>
      <c r="CZ56" s="45">
        <v>13.224867122522568</v>
      </c>
      <c r="DA56" s="45">
        <v>20.728229846997387</v>
      </c>
      <c r="DB56" s="45">
        <v>405382409.1286822</v>
      </c>
      <c r="DC56" s="45"/>
      <c r="DD56" s="45">
        <v>22767454.091539528</v>
      </c>
      <c r="DE56" s="45"/>
      <c r="DF56" s="45">
        <v>153499219.3488372</v>
      </c>
      <c r="DG56" s="45">
        <v>23847491.46185853</v>
      </c>
      <c r="DH56" s="45"/>
      <c r="DI56" s="45">
        <v>984617868.95977807</v>
      </c>
      <c r="DJ56" s="45">
        <v>225714846.35783634</v>
      </c>
      <c r="DK56" s="45">
        <v>82334820.837725386</v>
      </c>
      <c r="DL56" s="45">
        <v>172651904.88765603</v>
      </c>
      <c r="DM56" s="45">
        <v>372095995.73925102</v>
      </c>
      <c r="DN56" s="45">
        <v>45597688.898751736</v>
      </c>
      <c r="DO56" s="45">
        <v>312939626.51872396</v>
      </c>
      <c r="DP56" s="45">
        <v>88858788.74895978</v>
      </c>
      <c r="DQ56" s="45"/>
      <c r="DR56" s="45">
        <v>105754356.99306519</v>
      </c>
      <c r="DS56" s="45">
        <v>20390240.221914008</v>
      </c>
      <c r="DT56" s="45">
        <v>486041952.69464546</v>
      </c>
      <c r="DU56" s="45"/>
      <c r="DV56" s="45"/>
      <c r="DW56" s="45"/>
      <c r="DX56" s="45"/>
      <c r="DY56" s="45"/>
      <c r="DZ56" s="45"/>
      <c r="EA56" s="45"/>
      <c r="EB56" s="45"/>
      <c r="EC56" s="45"/>
      <c r="ED56" s="45"/>
      <c r="EE56" s="45"/>
      <c r="EF56" s="45"/>
      <c r="EG56" s="45"/>
      <c r="EH56" s="45"/>
      <c r="EI56" s="45"/>
      <c r="EJ56" s="45">
        <v>62483565.359223299</v>
      </c>
      <c r="EK56" s="45">
        <v>27197042.330097087</v>
      </c>
      <c r="EL56" s="45">
        <v>4.283203326201531</v>
      </c>
      <c r="EM56" s="45">
        <v>8.243826312825691</v>
      </c>
      <c r="EN56" s="45">
        <v>3.9592203243297024</v>
      </c>
      <c r="EO56" s="45"/>
      <c r="EP56" s="45"/>
      <c r="EQ56" s="45"/>
    </row>
    <row r="57" spans="1:147" s="92" customFormat="1" ht="15" customHeight="1" x14ac:dyDescent="0.25">
      <c r="A57" s="106" t="s">
        <v>553</v>
      </c>
      <c r="B57" s="134" t="s">
        <v>590</v>
      </c>
      <c r="C57" s="106" t="s">
        <v>561</v>
      </c>
      <c r="D57" s="107" t="s">
        <v>198</v>
      </c>
      <c r="E57" s="107" t="s">
        <v>191</v>
      </c>
      <c r="F57" s="118" t="s">
        <v>47</v>
      </c>
      <c r="G57" s="118">
        <v>16</v>
      </c>
      <c r="H57" s="118">
        <v>256</v>
      </c>
      <c r="I57" s="107"/>
      <c r="J57" s="53" t="s">
        <v>233</v>
      </c>
      <c r="K57" s="45">
        <v>2788.2427184466019</v>
      </c>
      <c r="L57" s="45">
        <v>8281.4693298885213</v>
      </c>
      <c r="M57" s="45">
        <v>332.94718914651446</v>
      </c>
      <c r="N57" s="45"/>
      <c r="O57" s="45"/>
      <c r="P57" s="45"/>
      <c r="Q57" s="45"/>
      <c r="R57" s="45"/>
      <c r="S57" s="45"/>
      <c r="T57" s="45"/>
      <c r="U57" s="45">
        <v>45957.839822538437</v>
      </c>
      <c r="V57" s="45"/>
      <c r="W57" s="45"/>
      <c r="X57" s="45"/>
      <c r="Y57" s="45"/>
      <c r="Z57" s="45"/>
      <c r="AA57" s="45"/>
      <c r="AB57" s="45"/>
      <c r="AC57" s="45"/>
      <c r="AD57" s="45"/>
      <c r="AE57" s="45">
        <v>99.011015578999491</v>
      </c>
      <c r="AF57" s="45">
        <v>40919.173179683246</v>
      </c>
      <c r="AG57" s="45">
        <v>23730.162941210951</v>
      </c>
      <c r="AH57" s="45">
        <v>0.31850078562238238</v>
      </c>
      <c r="AI57" s="45"/>
      <c r="AJ57" s="45">
        <v>0.20594587671014633</v>
      </c>
      <c r="AK57" s="45"/>
      <c r="AL57" s="45">
        <v>3.774480878741409</v>
      </c>
      <c r="AM57" s="45">
        <v>7.2551768921818582E-2</v>
      </c>
      <c r="AN57" s="45"/>
      <c r="AO57" s="45">
        <v>13.753430669974597</v>
      </c>
      <c r="AP57" s="45">
        <v>0.96026354018079396</v>
      </c>
      <c r="AQ57" s="45">
        <v>0.24738941190856781</v>
      </c>
      <c r="AR57" s="45">
        <v>0.55531680840323405</v>
      </c>
      <c r="AS57" s="45">
        <v>6.1980382987952618</v>
      </c>
      <c r="AT57" s="45">
        <v>2.7849034861483213E-2</v>
      </c>
      <c r="AU57" s="45"/>
      <c r="AV57" s="45">
        <v>0.17415415381291399</v>
      </c>
      <c r="AW57" s="45">
        <v>1.8514442310210391E-2</v>
      </c>
      <c r="AX57" s="45">
        <v>0.39358867971201017</v>
      </c>
      <c r="AY57" s="45">
        <v>3.038078659893681E-2</v>
      </c>
      <c r="AZ57" s="45"/>
      <c r="BA57" s="45"/>
      <c r="BB57" s="45"/>
      <c r="BC57" s="45"/>
      <c r="BD57" s="45"/>
      <c r="BE57" s="45"/>
      <c r="BF57" s="45">
        <v>1.3880232613457035</v>
      </c>
      <c r="BG57" s="45"/>
      <c r="BH57" s="45"/>
      <c r="BI57" s="45"/>
      <c r="BJ57" s="45"/>
      <c r="BK57" s="45"/>
      <c r="BL57" s="45"/>
      <c r="BM57" s="45"/>
      <c r="BN57" s="45"/>
      <c r="BO57" s="45"/>
      <c r="BP57" s="45">
        <v>5.2010181232072523E-2</v>
      </c>
      <c r="BQ57" s="45">
        <v>0.33007519348347275</v>
      </c>
      <c r="BR57" s="45">
        <v>2141.098896537424</v>
      </c>
      <c r="BS57" s="45"/>
      <c r="BT57" s="45">
        <v>105.28623946987415</v>
      </c>
      <c r="BU57" s="45"/>
      <c r="BV57" s="45">
        <v>26104.318383836187</v>
      </c>
      <c r="BW57" s="45">
        <v>19.524800641413322</v>
      </c>
      <c r="BX57" s="45"/>
      <c r="BY57" s="45">
        <v>61248.381024251001</v>
      </c>
      <c r="BZ57" s="45">
        <v>5431.6365019355762</v>
      </c>
      <c r="CA57" s="45">
        <v>6.8831456859722824</v>
      </c>
      <c r="CB57" s="45">
        <v>875.93721442315245</v>
      </c>
      <c r="CC57" s="45">
        <v>244495.03619693825</v>
      </c>
      <c r="CD57" s="45">
        <v>143.65509820573519</v>
      </c>
      <c r="CE57" s="45"/>
      <c r="CF57" s="45">
        <v>4774.8883271642362</v>
      </c>
      <c r="CG57" s="45">
        <v>1038.3999557403636</v>
      </c>
      <c r="CH57" s="45">
        <v>25.753207535468604</v>
      </c>
      <c r="CI57" s="45">
        <v>120.64307078050064</v>
      </c>
      <c r="CJ57" s="45"/>
      <c r="CK57" s="45"/>
      <c r="CL57" s="45"/>
      <c r="CM57" s="45"/>
      <c r="CN57" s="45"/>
      <c r="CO57" s="45"/>
      <c r="CP57" s="45">
        <v>94769.443754857231</v>
      </c>
      <c r="CQ57" s="45"/>
      <c r="CR57" s="45"/>
      <c r="CS57" s="45"/>
      <c r="CT57" s="45"/>
      <c r="CU57" s="45"/>
      <c r="CV57" s="45"/>
      <c r="CW57" s="45"/>
      <c r="CX57" s="45"/>
      <c r="CY57" s="45"/>
      <c r="CZ57" s="45">
        <v>13.297915930398709</v>
      </c>
      <c r="DA57" s="45">
        <v>1.1795805888736435</v>
      </c>
      <c r="DB57" s="45">
        <v>984451177.09847438</v>
      </c>
      <c r="DC57" s="45"/>
      <c r="DD57" s="45">
        <v>28724418.574202497</v>
      </c>
      <c r="DE57" s="45"/>
      <c r="DF57" s="45">
        <v>339405045.75999999</v>
      </c>
      <c r="DG57" s="45">
        <v>18106762.829403605</v>
      </c>
      <c r="DH57" s="45"/>
      <c r="DI57" s="45">
        <v>2706256144.6879334</v>
      </c>
      <c r="DJ57" s="45">
        <v>156999702.72399446</v>
      </c>
      <c r="DK57" s="45">
        <v>78422101.214979202</v>
      </c>
      <c r="DL57" s="45">
        <v>257326115.50624132</v>
      </c>
      <c r="DM57" s="45">
        <v>400391669.3481276</v>
      </c>
      <c r="DN57" s="45">
        <v>44859977.142857142</v>
      </c>
      <c r="DO57" s="45"/>
      <c r="DP57" s="45">
        <v>105732030.66851595</v>
      </c>
      <c r="DQ57" s="45">
        <v>101452142.42441054</v>
      </c>
      <c r="DR57" s="45">
        <v>114997597.3814147</v>
      </c>
      <c r="DS57" s="45">
        <v>22670439.678224687</v>
      </c>
      <c r="DT57" s="45"/>
      <c r="DU57" s="45"/>
      <c r="DV57" s="45"/>
      <c r="DW57" s="45"/>
      <c r="DX57" s="45"/>
      <c r="DY57" s="45"/>
      <c r="DZ57" s="45">
        <v>154011143.33524355</v>
      </c>
      <c r="EA57" s="45"/>
      <c r="EB57" s="45"/>
      <c r="EC57" s="45"/>
      <c r="ED57" s="45"/>
      <c r="EE57" s="45"/>
      <c r="EF57" s="45"/>
      <c r="EG57" s="45"/>
      <c r="EH57" s="45"/>
      <c r="EI57" s="45"/>
      <c r="EJ57" s="45">
        <v>70276265.009708732</v>
      </c>
      <c r="EK57" s="45">
        <v>25076302.823855758</v>
      </c>
      <c r="EL57" s="45">
        <v>2.3833928074956408</v>
      </c>
      <c r="EM57" s="45">
        <v>4.9867435943275087</v>
      </c>
      <c r="EN57" s="45">
        <v>2.6015626618235173</v>
      </c>
      <c r="EO57" s="45"/>
      <c r="EP57" s="45"/>
      <c r="EQ57" s="45"/>
    </row>
    <row r="58" spans="1:147" s="92" customFormat="1" ht="15" customHeight="1" x14ac:dyDescent="0.25">
      <c r="A58" s="106" t="s">
        <v>554</v>
      </c>
      <c r="B58" s="134" t="s">
        <v>588</v>
      </c>
      <c r="C58" s="106" t="s">
        <v>562</v>
      </c>
      <c r="D58" s="107" t="s">
        <v>533</v>
      </c>
      <c r="E58" s="107" t="s">
        <v>191</v>
      </c>
      <c r="F58" s="118" t="s">
        <v>47</v>
      </c>
      <c r="G58" s="118">
        <v>16</v>
      </c>
      <c r="H58" s="118">
        <v>256</v>
      </c>
      <c r="I58" s="107"/>
      <c r="J58" s="53" t="s">
        <v>233</v>
      </c>
      <c r="K58" s="45">
        <v>2826.367545076283</v>
      </c>
      <c r="L58" s="45">
        <v>6063.4764957446796</v>
      </c>
      <c r="M58" s="45">
        <v>268.87158862454555</v>
      </c>
      <c r="N58" s="45"/>
      <c r="O58" s="45"/>
      <c r="P58" s="45"/>
      <c r="Q58" s="45"/>
      <c r="R58" s="45"/>
      <c r="S58" s="45"/>
      <c r="T58" s="45"/>
      <c r="U58" s="45">
        <v>21988.730894860637</v>
      </c>
      <c r="V58" s="45"/>
      <c r="W58" s="45"/>
      <c r="X58" s="45"/>
      <c r="Y58" s="45"/>
      <c r="Z58" s="45"/>
      <c r="AA58" s="45"/>
      <c r="AB58" s="45"/>
      <c r="AC58" s="45"/>
      <c r="AD58" s="45"/>
      <c r="AE58" s="45">
        <v>98.828674610756082</v>
      </c>
      <c r="AF58" s="45">
        <v>44336.110048669958</v>
      </c>
      <c r="AG58" s="45">
        <v>16299.093976755437</v>
      </c>
      <c r="AH58" s="45">
        <v>7.8731922408018811</v>
      </c>
      <c r="AI58" s="45"/>
      <c r="AJ58" s="45">
        <v>0.23531300976625752</v>
      </c>
      <c r="AK58" s="45"/>
      <c r="AL58" s="45">
        <v>1.1116234668125853</v>
      </c>
      <c r="AM58" s="45">
        <v>7.9860070887648002E-2</v>
      </c>
      <c r="AN58" s="45"/>
      <c r="AO58" s="45">
        <v>3.1640768872848577</v>
      </c>
      <c r="AP58" s="45">
        <v>1.8373308344833958E-2</v>
      </c>
      <c r="AQ58" s="45">
        <v>0.27696607702181508</v>
      </c>
      <c r="AR58" s="45">
        <v>0.62391811550673837</v>
      </c>
      <c r="AS58" s="45">
        <v>6.6975414026733153</v>
      </c>
      <c r="AT58" s="45">
        <v>2.9443732889723906E-2</v>
      </c>
      <c r="AU58" s="45">
        <v>8.0952211407842076E-2</v>
      </c>
      <c r="AV58" s="45">
        <v>0.21354684147816269</v>
      </c>
      <c r="AW58" s="45">
        <v>5.4968917900829004E-3</v>
      </c>
      <c r="AX58" s="45"/>
      <c r="AY58" s="45">
        <v>3.1176664475131229E-2</v>
      </c>
      <c r="AZ58" s="45">
        <v>0.24122817485275205</v>
      </c>
      <c r="BA58" s="45"/>
      <c r="BB58" s="45"/>
      <c r="BC58" s="45"/>
      <c r="BD58" s="45"/>
      <c r="BE58" s="45"/>
      <c r="BF58" s="45">
        <v>0.6573507559840529</v>
      </c>
      <c r="BG58" s="45"/>
      <c r="BH58" s="45"/>
      <c r="BI58" s="45"/>
      <c r="BJ58" s="45"/>
      <c r="BK58" s="45"/>
      <c r="BL58" s="45"/>
      <c r="BM58" s="45"/>
      <c r="BN58" s="45"/>
      <c r="BO58" s="45"/>
      <c r="BP58" s="45">
        <v>5.7653267388998064E-2</v>
      </c>
      <c r="BQ58" s="45">
        <v>0.17245633110441214</v>
      </c>
      <c r="BR58" s="45">
        <v>5636.7402740555672</v>
      </c>
      <c r="BS58" s="45"/>
      <c r="BT58" s="45">
        <v>105.27874758669114</v>
      </c>
      <c r="BU58" s="45"/>
      <c r="BV58" s="45">
        <v>7.8290107733192054</v>
      </c>
      <c r="BW58" s="45">
        <v>19.120116409066163</v>
      </c>
      <c r="BX58" s="45"/>
      <c r="BY58" s="45">
        <v>11915.428131602221</v>
      </c>
      <c r="BZ58" s="45">
        <v>234.74207871207807</v>
      </c>
      <c r="CA58" s="45">
        <v>6.8931908994755231</v>
      </c>
      <c r="CB58" s="45">
        <v>66.947060027712737</v>
      </c>
      <c r="CC58" s="45">
        <v>580450.23752925778</v>
      </c>
      <c r="CD58" s="45">
        <v>155.29200788554425</v>
      </c>
      <c r="CE58" s="45">
        <v>3770.2938645136305</v>
      </c>
      <c r="CF58" s="45">
        <v>5142.1374388326267</v>
      </c>
      <c r="CG58" s="45">
        <v>1.0550906856986018</v>
      </c>
      <c r="CH58" s="45"/>
      <c r="CI58" s="45">
        <v>133.42491915286698</v>
      </c>
      <c r="CJ58" s="45">
        <v>2722.9171493090967</v>
      </c>
      <c r="CK58" s="45"/>
      <c r="CL58" s="45"/>
      <c r="CM58" s="45"/>
      <c r="CN58" s="45"/>
      <c r="CO58" s="45"/>
      <c r="CP58" s="45">
        <v>49190.735176391478</v>
      </c>
      <c r="CQ58" s="45"/>
      <c r="CR58" s="45"/>
      <c r="CS58" s="45"/>
      <c r="CT58" s="45"/>
      <c r="CU58" s="45"/>
      <c r="CV58" s="45"/>
      <c r="CW58" s="45"/>
      <c r="CX58" s="45"/>
      <c r="CY58" s="45"/>
      <c r="CZ58" s="45">
        <v>13.29753172422812</v>
      </c>
      <c r="DA58" s="45">
        <v>9.914565214211537</v>
      </c>
      <c r="DB58" s="45">
        <v>786605474.97364771</v>
      </c>
      <c r="DC58" s="45"/>
      <c r="DD58" s="45">
        <v>29390691.77253814</v>
      </c>
      <c r="DE58" s="45"/>
      <c r="DF58" s="45">
        <v>428005833.32038838</v>
      </c>
      <c r="DG58" s="45">
        <v>64874317.048543692</v>
      </c>
      <c r="DH58" s="45"/>
      <c r="DI58" s="45">
        <v>1115491178.4589708</v>
      </c>
      <c r="DJ58" s="45">
        <v>128437488.02219141</v>
      </c>
      <c r="DK58" s="45">
        <v>81777776.199722603</v>
      </c>
      <c r="DL58" s="45">
        <v>281590393.43134534</v>
      </c>
      <c r="DM58" s="45">
        <v>428728035.95006937</v>
      </c>
      <c r="DN58" s="45">
        <v>45443438.424410544</v>
      </c>
      <c r="DO58" s="45">
        <v>96295289.786407769</v>
      </c>
      <c r="DP58" s="45">
        <v>110305376.57697642</v>
      </c>
      <c r="DQ58" s="45">
        <v>106709276.04993065</v>
      </c>
      <c r="DR58" s="45"/>
      <c r="DS58" s="45">
        <v>25451004.449375868</v>
      </c>
      <c r="DT58" s="45">
        <v>292615557.05775076</v>
      </c>
      <c r="DU58" s="45"/>
      <c r="DV58" s="45"/>
      <c r="DW58" s="45"/>
      <c r="DX58" s="45"/>
      <c r="DY58" s="45"/>
      <c r="DZ58" s="45">
        <v>124429793.46463245</v>
      </c>
      <c r="EA58" s="45"/>
      <c r="EB58" s="45"/>
      <c r="EC58" s="45"/>
      <c r="ED58" s="45"/>
      <c r="EE58" s="45"/>
      <c r="EF58" s="45"/>
      <c r="EG58" s="45"/>
      <c r="EH58" s="45"/>
      <c r="EI58" s="45"/>
      <c r="EJ58" s="45">
        <v>68352389.148404986</v>
      </c>
      <c r="EK58" s="45">
        <v>28126891.140083216</v>
      </c>
      <c r="EL58" s="45">
        <v>2.1387431092567941</v>
      </c>
      <c r="EM58" s="45">
        <v>4.1674913865888099</v>
      </c>
      <c r="EN58" s="45">
        <v>2.0286583537212586</v>
      </c>
      <c r="EO58" s="45"/>
      <c r="EP58" s="45"/>
      <c r="EQ58" s="45"/>
    </row>
    <row r="59" spans="1:147" s="92" customFormat="1" ht="15" customHeight="1" x14ac:dyDescent="0.25">
      <c r="A59" s="106" t="s">
        <v>555</v>
      </c>
      <c r="B59" s="134" t="s">
        <v>591</v>
      </c>
      <c r="C59" s="106" t="s">
        <v>563</v>
      </c>
      <c r="D59" s="107" t="s">
        <v>208</v>
      </c>
      <c r="E59" s="107" t="s">
        <v>191</v>
      </c>
      <c r="F59" s="118" t="s">
        <v>196</v>
      </c>
      <c r="G59" s="118">
        <v>32</v>
      </c>
      <c r="H59" s="118">
        <v>256</v>
      </c>
      <c r="I59" s="107"/>
      <c r="J59" s="53" t="s">
        <v>233</v>
      </c>
      <c r="K59" s="45">
        <v>8650.5187760778863</v>
      </c>
      <c r="L59" s="45">
        <v>6641.0035855829428</v>
      </c>
      <c r="M59" s="45">
        <v>36.891627037579497</v>
      </c>
      <c r="N59" s="45"/>
      <c r="O59" s="45"/>
      <c r="P59" s="45"/>
      <c r="Q59" s="45"/>
      <c r="R59" s="45">
        <v>28641.879101606766</v>
      </c>
      <c r="S59" s="45"/>
      <c r="T59" s="45"/>
      <c r="U59" s="45">
        <v>35294.141930119964</v>
      </c>
      <c r="V59" s="45"/>
      <c r="W59" s="45"/>
      <c r="X59" s="45"/>
      <c r="Y59" s="45"/>
      <c r="Z59" s="45"/>
      <c r="AA59" s="45"/>
      <c r="AB59" s="45"/>
      <c r="AC59" s="45"/>
      <c r="AD59" s="45"/>
      <c r="AE59" s="45">
        <v>99.101018815947683</v>
      </c>
      <c r="AF59" s="45">
        <v>36049.53225236958</v>
      </c>
      <c r="AG59" s="45">
        <v>14867.942784030522</v>
      </c>
      <c r="AH59" s="45">
        <v>6.8309120317936287</v>
      </c>
      <c r="AI59" s="45"/>
      <c r="AJ59" s="45">
        <v>4.2755634986556997E-2</v>
      </c>
      <c r="AK59" s="45"/>
      <c r="AL59" s="45">
        <v>2.146433895031858</v>
      </c>
      <c r="AM59" s="45">
        <v>0.63728797677420979</v>
      </c>
      <c r="AN59" s="45"/>
      <c r="AO59" s="45">
        <v>4.923223405649539</v>
      </c>
      <c r="AP59" s="45">
        <v>0.97822988297933966</v>
      </c>
      <c r="AQ59" s="45">
        <v>0.10910682951379387</v>
      </c>
      <c r="AR59" s="45">
        <v>0.41244459112043036</v>
      </c>
      <c r="AS59" s="45">
        <v>4.5465793806723651</v>
      </c>
      <c r="AT59" s="45">
        <v>5.6455423852385909E-2</v>
      </c>
      <c r="AU59" s="45">
        <v>1.3102103689962952</v>
      </c>
      <c r="AV59" s="45">
        <v>6.8666989666642267E-2</v>
      </c>
      <c r="AW59" s="45">
        <v>3.6368469171344326E-3</v>
      </c>
      <c r="AX59" s="45">
        <v>0.49525582295802018</v>
      </c>
      <c r="AY59" s="45">
        <v>3.0875299099008484E-2</v>
      </c>
      <c r="AZ59" s="45">
        <v>0.20967675238723468</v>
      </c>
      <c r="BA59" s="45"/>
      <c r="BB59" s="45"/>
      <c r="BC59" s="45"/>
      <c r="BD59" s="45"/>
      <c r="BE59" s="45"/>
      <c r="BF59" s="45"/>
      <c r="BG59" s="45"/>
      <c r="BH59" s="45"/>
      <c r="BI59" s="45"/>
      <c r="BJ59" s="45"/>
      <c r="BK59" s="45"/>
      <c r="BL59" s="45"/>
      <c r="BM59" s="45"/>
      <c r="BN59" s="45"/>
      <c r="BO59" s="45"/>
      <c r="BP59" s="45">
        <v>5.136353920964512E-2</v>
      </c>
      <c r="BQ59" s="45">
        <v>0.4211100951052959</v>
      </c>
      <c r="BR59" s="45">
        <v>15556.875645884022</v>
      </c>
      <c r="BS59" s="45"/>
      <c r="BT59" s="45">
        <v>99.70484198831214</v>
      </c>
      <c r="BU59" s="45"/>
      <c r="BV59" s="45">
        <v>0</v>
      </c>
      <c r="BW59" s="45">
        <v>145.56963899116354</v>
      </c>
      <c r="BX59" s="45"/>
      <c r="BY59" s="45">
        <v>10066.632489278887</v>
      </c>
      <c r="BZ59" s="45">
        <v>1785.671915775167</v>
      </c>
      <c r="CA59" s="45">
        <v>25.40575223366735</v>
      </c>
      <c r="CB59" s="45">
        <v>47.169485200452378</v>
      </c>
      <c r="CC59" s="45">
        <v>104658.75649941045</v>
      </c>
      <c r="CD59" s="45">
        <v>123.34612694998471</v>
      </c>
      <c r="CE59" s="45">
        <v>63251.65845598701</v>
      </c>
      <c r="CF59" s="45">
        <v>4596.3240836808473</v>
      </c>
      <c r="CG59" s="45">
        <v>0.95596541787116496</v>
      </c>
      <c r="CH59" s="45">
        <v>54.405602420598832</v>
      </c>
      <c r="CI59" s="45">
        <v>126.76869911752665</v>
      </c>
      <c r="CJ59" s="45">
        <v>174.35923119657795</v>
      </c>
      <c r="CK59" s="45"/>
      <c r="CL59" s="45"/>
      <c r="CM59" s="45"/>
      <c r="CN59" s="45"/>
      <c r="CO59" s="45"/>
      <c r="CP59" s="45"/>
      <c r="CQ59" s="45"/>
      <c r="CR59" s="45"/>
      <c r="CS59" s="45"/>
      <c r="CT59" s="45"/>
      <c r="CU59" s="45"/>
      <c r="CV59" s="45"/>
      <c r="CW59" s="45"/>
      <c r="CX59" s="45"/>
      <c r="CY59" s="45"/>
      <c r="CZ59" s="45">
        <v>13.321697074241362</v>
      </c>
      <c r="DA59" s="45">
        <v>23.791242003422646</v>
      </c>
      <c r="DB59" s="45">
        <v>1258540395.1710708</v>
      </c>
      <c r="DC59" s="45"/>
      <c r="DD59" s="45">
        <v>23604439.054242004</v>
      </c>
      <c r="DE59" s="45"/>
      <c r="DF59" s="45">
        <v>800069589.2739917</v>
      </c>
      <c r="DG59" s="45">
        <v>79631059.493741304</v>
      </c>
      <c r="DH59" s="45"/>
      <c r="DI59" s="45">
        <v>935994648.56745481</v>
      </c>
      <c r="DJ59" s="45">
        <v>128485897.25730181</v>
      </c>
      <c r="DK59" s="45">
        <v>89215551.376912385</v>
      </c>
      <c r="DL59" s="45">
        <v>186298954.77051461</v>
      </c>
      <c r="DM59" s="45">
        <v>370887120.28929067</v>
      </c>
      <c r="DN59" s="45">
        <v>47015887.577190541</v>
      </c>
      <c r="DO59" s="45">
        <v>326704639.28789985</v>
      </c>
      <c r="DP59" s="45">
        <v>104832505.59109876</v>
      </c>
      <c r="DQ59" s="45">
        <v>100398468.80667594</v>
      </c>
      <c r="DR59" s="45">
        <v>1692646951.1655076</v>
      </c>
      <c r="DS59" s="45">
        <v>22421452.728789985</v>
      </c>
      <c r="DT59" s="45">
        <v>395479754.94853961</v>
      </c>
      <c r="DU59" s="45"/>
      <c r="DV59" s="45"/>
      <c r="DW59" s="45"/>
      <c r="DX59" s="45"/>
      <c r="DY59" s="45"/>
      <c r="DZ59" s="45"/>
      <c r="EA59" s="45"/>
      <c r="EB59" s="45"/>
      <c r="EC59" s="45"/>
      <c r="ED59" s="45"/>
      <c r="EE59" s="45"/>
      <c r="EF59" s="45"/>
      <c r="EG59" s="45"/>
      <c r="EH59" s="45"/>
      <c r="EI59" s="45"/>
      <c r="EJ59" s="45">
        <v>65553477.78581363</v>
      </c>
      <c r="EK59" s="45">
        <v>27514666.369958274</v>
      </c>
      <c r="EL59" s="45">
        <v>5.2444312189423146</v>
      </c>
      <c r="EM59" s="45">
        <v>11.548110238786066</v>
      </c>
      <c r="EN59" s="45">
        <v>6.303476420544702</v>
      </c>
      <c r="EO59" s="45"/>
      <c r="EP59" s="45"/>
      <c r="EQ59" s="45"/>
    </row>
    <row r="60" spans="1:147" s="92" customFormat="1" ht="15" customHeight="1" x14ac:dyDescent="0.25">
      <c r="A60" s="106" t="s">
        <v>556</v>
      </c>
      <c r="B60" s="134" t="s">
        <v>592</v>
      </c>
      <c r="C60" s="106" t="s">
        <v>565</v>
      </c>
      <c r="D60" s="107" t="s">
        <v>595</v>
      </c>
      <c r="E60" s="107" t="s">
        <v>191</v>
      </c>
      <c r="F60" s="118" t="s">
        <v>597</v>
      </c>
      <c r="G60" s="118">
        <v>64</v>
      </c>
      <c r="H60" s="118" t="s">
        <v>231</v>
      </c>
      <c r="I60" s="107"/>
      <c r="J60" s="53" t="s">
        <v>233</v>
      </c>
      <c r="K60" s="45">
        <v>47979.531206657419</v>
      </c>
      <c r="L60" s="45">
        <v>5430.2760614277122</v>
      </c>
      <c r="M60" s="45">
        <v>77.879712607216945</v>
      </c>
      <c r="N60" s="45"/>
      <c r="O60" s="45"/>
      <c r="P60" s="45"/>
      <c r="Q60" s="45">
        <v>0.36356263489504315</v>
      </c>
      <c r="R60" s="45">
        <v>5747.9249497976589</v>
      </c>
      <c r="S60" s="45"/>
      <c r="T60" s="45"/>
      <c r="U60" s="45"/>
      <c r="V60" s="45"/>
      <c r="W60" s="45"/>
      <c r="X60" s="45"/>
      <c r="Y60" s="45"/>
      <c r="Z60" s="45"/>
      <c r="AA60" s="45">
        <v>170401.88642931008</v>
      </c>
      <c r="AB60" s="45"/>
      <c r="AC60" s="45"/>
      <c r="AD60" s="45"/>
      <c r="AE60" s="45">
        <v>97.469917377286379</v>
      </c>
      <c r="AF60" s="45">
        <v>20064.907640818077</v>
      </c>
      <c r="AG60" s="45">
        <v>10174.924334903244</v>
      </c>
      <c r="AH60" s="45"/>
      <c r="AI60" s="45"/>
      <c r="AJ60" s="45">
        <v>0.30576755464156941</v>
      </c>
      <c r="AK60" s="45"/>
      <c r="AL60" s="45"/>
      <c r="AM60" s="45">
        <v>0.80091642240544858</v>
      </c>
      <c r="AN60" s="45"/>
      <c r="AO60" s="45">
        <v>6.5951937193309993</v>
      </c>
      <c r="AP60" s="45">
        <v>5.0766150401867218</v>
      </c>
      <c r="AQ60" s="45">
        <v>0.36090921950132526</v>
      </c>
      <c r="AR60" s="45">
        <v>1.041790997530855</v>
      </c>
      <c r="AS60" s="45">
        <v>14.228271484315396</v>
      </c>
      <c r="AT60" s="45">
        <v>4.3967946033815992E-2</v>
      </c>
      <c r="AU60" s="45">
        <v>0.33227447069653837</v>
      </c>
      <c r="AV60" s="45">
        <v>1.2749642509160131</v>
      </c>
      <c r="AW60" s="45"/>
      <c r="AX60" s="45">
        <v>0.36403679479661794</v>
      </c>
      <c r="AY60" s="45">
        <v>4.1673709681170477E-2</v>
      </c>
      <c r="AZ60" s="45">
        <v>0.20779522579040272</v>
      </c>
      <c r="BA60" s="45"/>
      <c r="BB60" s="45"/>
      <c r="BC60" s="45"/>
      <c r="BD60" s="45"/>
      <c r="BE60" s="45"/>
      <c r="BF60" s="45"/>
      <c r="BG60" s="45"/>
      <c r="BH60" s="45"/>
      <c r="BI60" s="45"/>
      <c r="BJ60" s="45"/>
      <c r="BK60" s="45"/>
      <c r="BL60" s="45"/>
      <c r="BM60" s="45"/>
      <c r="BN60" s="45"/>
      <c r="BO60" s="45"/>
      <c r="BP60" s="45">
        <v>7.3989659359590995E-2</v>
      </c>
      <c r="BQ60" s="45">
        <v>0.6385651145030089</v>
      </c>
      <c r="BR60" s="45"/>
      <c r="BS60" s="45"/>
      <c r="BT60" s="45">
        <v>99.419145646520278</v>
      </c>
      <c r="BU60" s="45"/>
      <c r="BV60" s="45"/>
      <c r="BW60" s="45">
        <v>151.79092142349327</v>
      </c>
      <c r="BX60" s="45"/>
      <c r="BY60" s="45">
        <v>46114.578006680138</v>
      </c>
      <c r="BZ60" s="45">
        <v>1005898.5880799493</v>
      </c>
      <c r="CA60" s="45">
        <v>26.613519176067793</v>
      </c>
      <c r="CB60" s="45">
        <v>41.237202391535583</v>
      </c>
      <c r="CC60" s="45">
        <v>616578.7675384247</v>
      </c>
      <c r="CD60" s="45">
        <v>167.83154720322071</v>
      </c>
      <c r="CE60" s="45">
        <v>21655.049474835305</v>
      </c>
      <c r="CF60" s="45">
        <v>5967.2893337369815</v>
      </c>
      <c r="CG60" s="45"/>
      <c r="CH60" s="45">
        <v>29.977494384461014</v>
      </c>
      <c r="CI60" s="45">
        <v>134.03997638879252</v>
      </c>
      <c r="CJ60" s="45">
        <v>1128.9441075797952</v>
      </c>
      <c r="CK60" s="45"/>
      <c r="CL60" s="45"/>
      <c r="CM60" s="45"/>
      <c r="CN60" s="45"/>
      <c r="CO60" s="45"/>
      <c r="CP60" s="45"/>
      <c r="CQ60" s="45"/>
      <c r="CR60" s="45"/>
      <c r="CS60" s="45"/>
      <c r="CT60" s="45"/>
      <c r="CU60" s="45"/>
      <c r="CV60" s="45"/>
      <c r="CW60" s="45"/>
      <c r="CX60" s="45"/>
      <c r="CY60" s="45"/>
      <c r="CZ60" s="45">
        <v>13.201502034537684</v>
      </c>
      <c r="DA60" s="45">
        <v>11.894837136013871</v>
      </c>
      <c r="DB60" s="45"/>
      <c r="DC60" s="45"/>
      <c r="DD60" s="45">
        <v>26130190.557558946</v>
      </c>
      <c r="DE60" s="45"/>
      <c r="DF60" s="45"/>
      <c r="DG60" s="45">
        <v>28019446.413314842</v>
      </c>
      <c r="DH60" s="45"/>
      <c r="DI60" s="45">
        <v>623882090.14634144</v>
      </c>
      <c r="DJ60" s="45">
        <v>344641286.03606105</v>
      </c>
      <c r="DK60" s="45">
        <v>73158491.25104022</v>
      </c>
      <c r="DL60" s="45">
        <v>234114424.36615813</v>
      </c>
      <c r="DM60" s="45">
        <v>386259600.15533978</v>
      </c>
      <c r="DN60" s="45">
        <v>46061406.091539532</v>
      </c>
      <c r="DO60" s="45">
        <v>87785449.276005551</v>
      </c>
      <c r="DP60" s="45">
        <v>95418853.725381419</v>
      </c>
      <c r="DQ60" s="45"/>
      <c r="DR60" s="45">
        <v>114953683.26213592</v>
      </c>
      <c r="DS60" s="45">
        <v>22352650.296809986</v>
      </c>
      <c r="DT60" s="45">
        <v>332366267.73333335</v>
      </c>
      <c r="DU60" s="45"/>
      <c r="DV60" s="45"/>
      <c r="DW60" s="45"/>
      <c r="DX60" s="45"/>
      <c r="DY60" s="45"/>
      <c r="DZ60" s="45"/>
      <c r="EA60" s="45"/>
      <c r="EB60" s="45"/>
      <c r="EC60" s="45"/>
      <c r="ED60" s="45"/>
      <c r="EE60" s="45"/>
      <c r="EF60" s="45"/>
      <c r="EG60" s="45"/>
      <c r="EH60" s="45"/>
      <c r="EI60" s="45"/>
      <c r="EJ60" s="45">
        <v>67641241.742024958</v>
      </c>
      <c r="EK60" s="45">
        <v>28085010.818307906</v>
      </c>
      <c r="EL60" s="45">
        <v>2.5141371830643524</v>
      </c>
      <c r="EM60" s="45">
        <v>4.7513531684671637</v>
      </c>
      <c r="EN60" s="45">
        <v>2.3165430522795147</v>
      </c>
      <c r="EO60" s="45"/>
      <c r="EP60" s="45"/>
      <c r="EQ60" s="45"/>
    </row>
    <row r="61" spans="1:147" s="92" customFormat="1" ht="15" customHeight="1" x14ac:dyDescent="0.25">
      <c r="A61" s="102" t="s">
        <v>557</v>
      </c>
      <c r="B61" s="135" t="s">
        <v>593</v>
      </c>
      <c r="C61" s="102" t="s">
        <v>566</v>
      </c>
      <c r="D61" s="103" t="s">
        <v>596</v>
      </c>
      <c r="E61" s="103" t="s">
        <v>191</v>
      </c>
      <c r="F61" s="119" t="s">
        <v>196</v>
      </c>
      <c r="G61" s="119">
        <v>32</v>
      </c>
      <c r="H61" s="119">
        <v>256</v>
      </c>
      <c r="I61" s="103"/>
      <c r="J61" s="103" t="s">
        <v>531</v>
      </c>
      <c r="K61" s="45"/>
      <c r="L61" s="45"/>
      <c r="M61" s="45"/>
      <c r="N61" s="45"/>
      <c r="O61" s="45"/>
      <c r="P61" s="45"/>
      <c r="Q61" s="45"/>
      <c r="R61" s="45"/>
      <c r="S61" s="45"/>
      <c r="T61" s="45"/>
      <c r="U61" s="45"/>
      <c r="V61" s="45"/>
      <c r="W61" s="45"/>
      <c r="X61" s="45"/>
      <c r="Y61" s="45"/>
      <c r="Z61" s="45"/>
      <c r="AA61" s="45"/>
      <c r="AB61" s="45"/>
      <c r="AC61" s="45"/>
      <c r="AD61" s="45"/>
      <c r="AE61" s="45"/>
      <c r="AF61" s="45"/>
      <c r="AG61" s="45"/>
      <c r="AH61" s="45"/>
      <c r="AI61" s="45"/>
      <c r="AJ61" s="45"/>
      <c r="AK61" s="45"/>
      <c r="AL61" s="45"/>
      <c r="AM61" s="45"/>
      <c r="AN61" s="45"/>
      <c r="AO61" s="45"/>
      <c r="AP61" s="45"/>
      <c r="AQ61" s="45"/>
      <c r="AR61" s="45"/>
      <c r="AS61" s="45"/>
      <c r="AT61" s="45"/>
      <c r="AU61" s="45"/>
      <c r="AV61" s="45"/>
      <c r="AW61" s="45"/>
      <c r="AX61" s="45"/>
      <c r="AY61" s="45"/>
      <c r="AZ61" s="45"/>
      <c r="BA61" s="45"/>
      <c r="BB61" s="45"/>
      <c r="BC61" s="45"/>
      <c r="BD61" s="45"/>
      <c r="BE61" s="45"/>
      <c r="BF61" s="45"/>
      <c r="BG61" s="45"/>
      <c r="BH61" s="45"/>
      <c r="BI61" s="45"/>
      <c r="BJ61" s="45"/>
      <c r="BK61" s="45"/>
      <c r="BL61" s="45"/>
      <c r="BM61" s="45"/>
      <c r="BN61" s="45"/>
      <c r="BO61" s="45"/>
      <c r="BP61" s="45"/>
      <c r="BQ61" s="45"/>
      <c r="BR61" s="45"/>
      <c r="BS61" s="45"/>
      <c r="BT61" s="45"/>
      <c r="BU61" s="45"/>
      <c r="BV61" s="45"/>
      <c r="BW61" s="45"/>
      <c r="BX61" s="45"/>
      <c r="BY61" s="45"/>
      <c r="BZ61" s="45"/>
      <c r="CA61" s="45"/>
      <c r="CB61" s="45"/>
      <c r="CC61" s="45"/>
      <c r="CD61" s="45"/>
      <c r="CE61" s="45"/>
      <c r="CF61" s="45"/>
      <c r="CG61" s="45"/>
      <c r="CH61" s="45"/>
      <c r="CI61" s="45"/>
      <c r="CJ61" s="45"/>
      <c r="CK61" s="45"/>
      <c r="CL61" s="45"/>
      <c r="CM61" s="45"/>
      <c r="CN61" s="45"/>
      <c r="CO61" s="45"/>
      <c r="CP61" s="45"/>
      <c r="CQ61" s="45"/>
      <c r="CR61" s="45"/>
      <c r="CS61" s="45"/>
      <c r="CT61" s="45"/>
      <c r="CU61" s="45"/>
      <c r="CV61" s="45"/>
      <c r="CW61" s="45"/>
      <c r="CX61" s="45"/>
      <c r="CY61" s="45"/>
      <c r="CZ61" s="45"/>
      <c r="DA61" s="45"/>
      <c r="DB61" s="45"/>
      <c r="DC61" s="45"/>
      <c r="DD61" s="45"/>
      <c r="DE61" s="45"/>
      <c r="DF61" s="45"/>
      <c r="DG61" s="45"/>
      <c r="DH61" s="45"/>
      <c r="DI61" s="45"/>
      <c r="DJ61" s="45"/>
      <c r="DK61" s="45"/>
      <c r="DL61" s="45"/>
      <c r="DM61" s="45"/>
      <c r="DN61" s="45"/>
      <c r="DO61" s="45"/>
      <c r="DP61" s="45"/>
      <c r="DQ61" s="45"/>
      <c r="DR61" s="45"/>
      <c r="DS61" s="45"/>
      <c r="DT61" s="45"/>
      <c r="DU61" s="45"/>
      <c r="DV61" s="45"/>
      <c r="DW61" s="45"/>
      <c r="DX61" s="45"/>
      <c r="DY61" s="45"/>
      <c r="DZ61" s="45"/>
      <c r="EA61" s="45"/>
      <c r="EB61" s="45"/>
      <c r="EC61" s="45"/>
      <c r="ED61" s="45"/>
      <c r="EE61" s="45"/>
      <c r="EF61" s="45"/>
      <c r="EG61" s="45"/>
      <c r="EH61" s="45"/>
      <c r="EI61" s="45"/>
      <c r="EJ61" s="45"/>
      <c r="EK61" s="45"/>
      <c r="EL61" s="45"/>
      <c r="EM61" s="45"/>
      <c r="EN61" s="45"/>
      <c r="EO61" s="45"/>
      <c r="EP61" s="45"/>
      <c r="EQ61" s="45"/>
    </row>
    <row r="62" spans="1:147" s="92" customFormat="1" ht="15" customHeight="1" x14ac:dyDescent="0.25">
      <c r="A62" s="106" t="s">
        <v>558</v>
      </c>
      <c r="B62" s="134" t="s">
        <v>594</v>
      </c>
      <c r="C62" s="106" t="s">
        <v>567</v>
      </c>
      <c r="D62" s="107" t="s">
        <v>539</v>
      </c>
      <c r="E62" s="107" t="s">
        <v>191</v>
      </c>
      <c r="F62" s="118" t="s">
        <v>47</v>
      </c>
      <c r="G62" s="118">
        <v>16</v>
      </c>
      <c r="H62" s="118">
        <v>256</v>
      </c>
      <c r="I62" s="107"/>
      <c r="J62" s="53" t="s">
        <v>233</v>
      </c>
      <c r="K62" s="45">
        <v>3010.2912621359224</v>
      </c>
      <c r="L62" s="45">
        <v>6871.6656568617209</v>
      </c>
      <c r="M62" s="45">
        <v>380.57431306387167</v>
      </c>
      <c r="N62" s="45"/>
      <c r="O62" s="45"/>
      <c r="P62" s="45"/>
      <c r="Q62" s="45"/>
      <c r="R62" s="45"/>
      <c r="S62" s="45"/>
      <c r="T62" s="45"/>
      <c r="U62" s="45">
        <v>42299.624854324196</v>
      </c>
      <c r="V62" s="45"/>
      <c r="W62" s="45"/>
      <c r="X62" s="45"/>
      <c r="Y62" s="45"/>
      <c r="Z62" s="45"/>
      <c r="AA62" s="45">
        <v>1369.1498218675222</v>
      </c>
      <c r="AB62" s="45"/>
      <c r="AC62" s="45"/>
      <c r="AD62" s="45"/>
      <c r="AE62" s="45">
        <v>98.225907533799329</v>
      </c>
      <c r="AF62" s="45">
        <v>43341.426605189066</v>
      </c>
      <c r="AG62" s="45">
        <v>23254.945464142776</v>
      </c>
      <c r="AH62" s="45">
        <v>6.3490825460877147</v>
      </c>
      <c r="AI62" s="45"/>
      <c r="AJ62" s="45">
        <v>0.18350806374838338</v>
      </c>
      <c r="AK62" s="45"/>
      <c r="AL62" s="45">
        <v>3.6182487024662566</v>
      </c>
      <c r="AM62" s="45">
        <v>8.3893803277811957E-2</v>
      </c>
      <c r="AN62" s="45"/>
      <c r="AO62" s="45">
        <v>16.638632262665801</v>
      </c>
      <c r="AP62" s="45">
        <v>6.2905557695456693E-2</v>
      </c>
      <c r="AQ62" s="45">
        <v>0.25456159283066115</v>
      </c>
      <c r="AR62" s="45">
        <v>7.231377094476227</v>
      </c>
      <c r="AS62" s="45">
        <v>7.348235003717984</v>
      </c>
      <c r="AT62" s="45">
        <v>7.5057261930413385E-2</v>
      </c>
      <c r="AU62" s="45">
        <v>0.13049957899879694</v>
      </c>
      <c r="AV62" s="45">
        <v>0.16349460899639523</v>
      </c>
      <c r="AW62" s="45">
        <v>9.540509157186159E-3</v>
      </c>
      <c r="AX62" s="45">
        <v>0.75243166566348318</v>
      </c>
      <c r="AY62" s="45">
        <v>3.648249291476853E-2</v>
      </c>
      <c r="AZ62" s="45">
        <v>0.29788926337624549</v>
      </c>
      <c r="BA62" s="45"/>
      <c r="BB62" s="45"/>
      <c r="BC62" s="45"/>
      <c r="BD62" s="45"/>
      <c r="BE62" s="45"/>
      <c r="BF62" s="45">
        <v>2.0029779725709229</v>
      </c>
      <c r="BG62" s="45"/>
      <c r="BH62" s="45"/>
      <c r="BI62" s="45"/>
      <c r="BJ62" s="45"/>
      <c r="BK62" s="45"/>
      <c r="BL62" s="45"/>
      <c r="BM62" s="45"/>
      <c r="BN62" s="45"/>
      <c r="BO62" s="45"/>
      <c r="BP62" s="45">
        <v>6.4504299572651635E-2</v>
      </c>
      <c r="BQ62" s="45">
        <v>0.36707781439371789</v>
      </c>
      <c r="BR62" s="45">
        <v>11026.112141414587</v>
      </c>
      <c r="BS62" s="45"/>
      <c r="BT62" s="45">
        <v>105.2614684336734</v>
      </c>
      <c r="BU62" s="45"/>
      <c r="BV62" s="45">
        <v>13241.276664109893</v>
      </c>
      <c r="BW62" s="45">
        <v>25.517167342287742</v>
      </c>
      <c r="BX62" s="45"/>
      <c r="BY62" s="45">
        <v>28456.201378566118</v>
      </c>
      <c r="BZ62" s="45">
        <v>996.78450328410702</v>
      </c>
      <c r="CA62" s="45">
        <v>270.97532570143017</v>
      </c>
      <c r="CB62" s="45">
        <v>10854.293867643299</v>
      </c>
      <c r="CC62" s="45">
        <v>389589.11311482388</v>
      </c>
      <c r="CD62" s="45">
        <v>313.02566268190964</v>
      </c>
      <c r="CE62" s="45">
        <v>2979.3682822626906</v>
      </c>
      <c r="CF62" s="45">
        <v>5250.5671211304525</v>
      </c>
      <c r="CG62" s="45">
        <v>1.9287006918217973</v>
      </c>
      <c r="CH62" s="45">
        <v>21.547691251750159</v>
      </c>
      <c r="CI62" s="45">
        <v>144.41463864611652</v>
      </c>
      <c r="CJ62" s="45">
        <v>224.34796118786173</v>
      </c>
      <c r="CK62" s="45"/>
      <c r="CL62" s="45"/>
      <c r="CM62" s="45"/>
      <c r="CN62" s="45"/>
      <c r="CO62" s="45"/>
      <c r="CP62" s="45">
        <v>155258.65021004222</v>
      </c>
      <c r="CQ62" s="45"/>
      <c r="CR62" s="45"/>
      <c r="CS62" s="45"/>
      <c r="CT62" s="45"/>
      <c r="CU62" s="45"/>
      <c r="CV62" s="45"/>
      <c r="CW62" s="45"/>
      <c r="CX62" s="45"/>
      <c r="CY62" s="45"/>
      <c r="CZ62" s="45">
        <v>13.377920294128867</v>
      </c>
      <c r="DA62" s="45">
        <v>7.6329703426372593</v>
      </c>
      <c r="DB62" s="45">
        <v>582006584.81795514</v>
      </c>
      <c r="DC62" s="45"/>
      <c r="DD62" s="45">
        <v>28364288.710124828</v>
      </c>
      <c r="DE62" s="45"/>
      <c r="DF62" s="45">
        <v>440436108.24965328</v>
      </c>
      <c r="DG62" s="45">
        <v>23286964.371705964</v>
      </c>
      <c r="DH62" s="45"/>
      <c r="DI62" s="45">
        <v>2139275917.3148406</v>
      </c>
      <c r="DJ62" s="45">
        <v>148394404.39389735</v>
      </c>
      <c r="DK62" s="45">
        <v>104933407.24549237</v>
      </c>
      <c r="DL62" s="45">
        <v>311662981.14840502</v>
      </c>
      <c r="DM62" s="45">
        <v>410029557.3481276</v>
      </c>
      <c r="DN62" s="45">
        <v>48149684.371705964</v>
      </c>
      <c r="DO62" s="45">
        <v>71159154.685159504</v>
      </c>
      <c r="DP62" s="45">
        <v>103239685.68099861</v>
      </c>
      <c r="DQ62" s="45">
        <v>100177877.3925104</v>
      </c>
      <c r="DR62" s="45">
        <v>116040873.00970873</v>
      </c>
      <c r="DS62" s="45">
        <v>22732436.416088767</v>
      </c>
      <c r="DT62" s="45">
        <v>908914046.04715669</v>
      </c>
      <c r="DU62" s="45"/>
      <c r="DV62" s="45"/>
      <c r="DW62" s="45"/>
      <c r="DX62" s="45"/>
      <c r="DY62" s="45"/>
      <c r="DZ62" s="45">
        <v>115704496.47659574</v>
      </c>
      <c r="EA62" s="45"/>
      <c r="EB62" s="45"/>
      <c r="EC62" s="45"/>
      <c r="ED62" s="45"/>
      <c r="EE62" s="45"/>
      <c r="EF62" s="45"/>
      <c r="EG62" s="45"/>
      <c r="EH62" s="45"/>
      <c r="EI62" s="45"/>
      <c r="EJ62" s="45">
        <v>65352009.955555558</v>
      </c>
      <c r="EK62" s="45">
        <v>26422597.237170596</v>
      </c>
      <c r="EL62" s="45">
        <v>2.7123848982233314</v>
      </c>
      <c r="EM62" s="45">
        <v>6.0539762337049652</v>
      </c>
      <c r="EN62" s="45">
        <v>3.328243670931966</v>
      </c>
      <c r="EO62" s="45"/>
      <c r="EP62" s="45"/>
      <c r="EQ62" s="45"/>
    </row>
    <row r="63" spans="1:147" s="92" customFormat="1" ht="15" customHeight="1" x14ac:dyDescent="0.25">
      <c r="A63" s="106" t="s">
        <v>731</v>
      </c>
      <c r="B63" s="136" t="s">
        <v>893</v>
      </c>
      <c r="C63" s="108" t="s">
        <v>732</v>
      </c>
      <c r="D63" s="107" t="s">
        <v>601</v>
      </c>
      <c r="E63" s="107" t="s">
        <v>191</v>
      </c>
      <c r="F63" s="118" t="s">
        <v>196</v>
      </c>
      <c r="G63" s="118">
        <v>32</v>
      </c>
      <c r="H63" s="118">
        <v>512</v>
      </c>
      <c r="I63" s="106"/>
      <c r="J63" s="53" t="s">
        <v>233</v>
      </c>
      <c r="K63" s="45">
        <v>11182.722841225626</v>
      </c>
      <c r="L63" s="45">
        <v>4882.5430778328182</v>
      </c>
      <c r="M63" s="45">
        <v>98.132954959420275</v>
      </c>
      <c r="N63" s="45"/>
      <c r="O63" s="45"/>
      <c r="P63" s="45"/>
      <c r="Q63" s="45"/>
      <c r="R63" s="45">
        <v>5443.62166037104</v>
      </c>
      <c r="S63" s="45"/>
      <c r="T63" s="45"/>
      <c r="U63" s="45"/>
      <c r="V63" s="45"/>
      <c r="W63" s="45"/>
      <c r="X63" s="45"/>
      <c r="Y63" s="45"/>
      <c r="Z63" s="45"/>
      <c r="AA63" s="45"/>
      <c r="AB63" s="45"/>
      <c r="AC63" s="45"/>
      <c r="AD63" s="45">
        <v>11345.818800810834</v>
      </c>
      <c r="AE63" s="45">
        <v>97.824245263506867</v>
      </c>
      <c r="AF63" s="45">
        <v>26319.77736574371</v>
      </c>
      <c r="AG63" s="45">
        <v>16348.38368310224</v>
      </c>
      <c r="AH63" s="45">
        <v>6.2068020823659316</v>
      </c>
      <c r="AI63" s="45"/>
      <c r="AJ63" s="45">
        <v>4.6252950153282624E-2</v>
      </c>
      <c r="AK63" s="45"/>
      <c r="AL63" s="45">
        <v>0.92360887252702117</v>
      </c>
      <c r="AM63" s="45">
        <v>0.70507995409218338</v>
      </c>
      <c r="AN63" s="45"/>
      <c r="AO63" s="45">
        <v>14.871854276279491</v>
      </c>
      <c r="AP63" s="45">
        <v>0.96557529549899113</v>
      </c>
      <c r="AQ63" s="45">
        <v>9.9896349096985346E-2</v>
      </c>
      <c r="AR63" s="45">
        <v>0.40492889928128223</v>
      </c>
      <c r="AS63" s="45">
        <v>5.6697452741389327</v>
      </c>
      <c r="AT63" s="45">
        <v>5.7690212124283304E-2</v>
      </c>
      <c r="AU63" s="45">
        <v>0.63120602575213935</v>
      </c>
      <c r="AV63" s="45">
        <v>0.12491939755970796</v>
      </c>
      <c r="AW63" s="45">
        <v>1.2455765581149964E-2</v>
      </c>
      <c r="AX63" s="45">
        <v>0.33614819714157218</v>
      </c>
      <c r="AY63" s="45">
        <v>3.3322872318560737E-2</v>
      </c>
      <c r="AZ63" s="45">
        <v>0.24382598850279025</v>
      </c>
      <c r="BA63" s="45"/>
      <c r="BB63" s="45"/>
      <c r="BC63" s="45"/>
      <c r="BD63" s="45"/>
      <c r="BE63" s="45"/>
      <c r="BF63" s="45">
        <v>0.32928448127055993</v>
      </c>
      <c r="BG63" s="45"/>
      <c r="BH63" s="45"/>
      <c r="BI63" s="45"/>
      <c r="BJ63" s="45"/>
      <c r="BK63" s="45"/>
      <c r="BL63" s="45"/>
      <c r="BM63" s="45"/>
      <c r="BN63" s="45"/>
      <c r="BO63" s="45"/>
      <c r="BP63" s="45">
        <v>5.3186455804809782E-2</v>
      </c>
      <c r="BQ63" s="45">
        <v>0.37402146198830566</v>
      </c>
      <c r="BR63" s="45">
        <v>2923.4134990212606</v>
      </c>
      <c r="BS63" s="45"/>
      <c r="BT63" s="45">
        <v>105.95195247412974</v>
      </c>
      <c r="BU63" s="45"/>
      <c r="BV63" s="45">
        <v>0</v>
      </c>
      <c r="BW63" s="45">
        <v>167.96463450334792</v>
      </c>
      <c r="BX63" s="45"/>
      <c r="BY63" s="45">
        <v>12519.815780980409</v>
      </c>
      <c r="BZ63" s="45">
        <v>1569.3304921644158</v>
      </c>
      <c r="CA63" s="45">
        <v>6.9794513170970136</v>
      </c>
      <c r="CB63" s="45">
        <v>36.853816311712045</v>
      </c>
      <c r="CC63" s="45">
        <v>283177.08870669972</v>
      </c>
      <c r="CD63" s="45">
        <v>110.09672605810005</v>
      </c>
      <c r="CE63" s="45">
        <v>23122.347535746405</v>
      </c>
      <c r="CF63" s="45">
        <v>2805.9297107936573</v>
      </c>
      <c r="CG63" s="45">
        <v>11.739595167875747</v>
      </c>
      <c r="CH63" s="45">
        <v>27.168761154756755</v>
      </c>
      <c r="CI63" s="45">
        <v>112.83944153194263</v>
      </c>
      <c r="CJ63" s="45">
        <v>363.48517865854473</v>
      </c>
      <c r="CK63" s="45"/>
      <c r="CL63" s="45"/>
      <c r="CM63" s="45"/>
      <c r="CN63" s="45"/>
      <c r="CO63" s="45"/>
      <c r="CP63" s="45">
        <v>16845.330913510101</v>
      </c>
      <c r="CQ63" s="45"/>
      <c r="CR63" s="45"/>
      <c r="CS63" s="45"/>
      <c r="CT63" s="45"/>
      <c r="CU63" s="45"/>
      <c r="CV63" s="45"/>
      <c r="CW63" s="45"/>
      <c r="CX63" s="45"/>
      <c r="CY63" s="45"/>
      <c r="CZ63" s="45">
        <v>13.313188089918498</v>
      </c>
      <c r="DA63" s="45">
        <v>23.670559036199577</v>
      </c>
      <c r="DB63" s="45">
        <v>1621376767.2869081</v>
      </c>
      <c r="DC63" s="45"/>
      <c r="DD63" s="45">
        <v>23512574.573816154</v>
      </c>
      <c r="DE63" s="45"/>
      <c r="DF63" s="45">
        <v>254633499.09749302</v>
      </c>
      <c r="DG63" s="45">
        <v>70326460.256267413</v>
      </c>
      <c r="DH63" s="45"/>
      <c r="DI63" s="45">
        <v>1550721862.5961003</v>
      </c>
      <c r="DJ63" s="45">
        <v>118002759.3091922</v>
      </c>
      <c r="DK63" s="45">
        <v>72557331.253481895</v>
      </c>
      <c r="DL63" s="45">
        <v>154911809.60445681</v>
      </c>
      <c r="DM63" s="45">
        <v>374777085.86072421</v>
      </c>
      <c r="DN63" s="45">
        <v>47493667.654596098</v>
      </c>
      <c r="DO63" s="45">
        <v>212315458.31754875</v>
      </c>
      <c r="DP63" s="45">
        <v>105082081.33704735</v>
      </c>
      <c r="DQ63" s="45">
        <v>98279395.476323113</v>
      </c>
      <c r="DR63" s="45">
        <v>115971679.55431755</v>
      </c>
      <c r="DS63" s="45">
        <v>22174414.796657383</v>
      </c>
      <c r="DT63" s="45">
        <v>695284619.05292475</v>
      </c>
      <c r="DU63" s="45"/>
      <c r="DV63" s="45"/>
      <c r="DW63" s="45"/>
      <c r="DX63" s="45"/>
      <c r="DY63" s="45"/>
      <c r="DZ63" s="45">
        <v>93131525.224489793</v>
      </c>
      <c r="EA63" s="45"/>
      <c r="EB63" s="45"/>
      <c r="EC63" s="45"/>
      <c r="ED63" s="45"/>
      <c r="EE63" s="45"/>
      <c r="EF63" s="45"/>
      <c r="EG63" s="45"/>
      <c r="EH63" s="45"/>
      <c r="EI63" s="45"/>
      <c r="EJ63" s="45">
        <v>65651834.651810586</v>
      </c>
      <c r="EK63" s="45">
        <v>27260614.239554316</v>
      </c>
      <c r="EL63" s="45">
        <v>6.2656468131875815</v>
      </c>
      <c r="EM63" s="45">
        <v>11.178085063329402</v>
      </c>
      <c r="EN63" s="45">
        <v>4.9129109911575837</v>
      </c>
      <c r="EO63" s="45"/>
      <c r="EP63" s="45"/>
      <c r="EQ63" s="45"/>
    </row>
    <row r="64" spans="1:147" s="92" customFormat="1" ht="15" customHeight="1" x14ac:dyDescent="0.25">
      <c r="A64" s="106" t="s">
        <v>733</v>
      </c>
      <c r="B64" s="136" t="s">
        <v>894</v>
      </c>
      <c r="C64" s="108" t="s">
        <v>734</v>
      </c>
      <c r="D64" s="107" t="s">
        <v>537</v>
      </c>
      <c r="E64" s="107" t="s">
        <v>191</v>
      </c>
      <c r="F64" s="118" t="s">
        <v>48</v>
      </c>
      <c r="G64" s="118">
        <v>16</v>
      </c>
      <c r="H64" s="118">
        <v>512</v>
      </c>
      <c r="I64" s="106"/>
      <c r="J64" s="53" t="s">
        <v>233</v>
      </c>
      <c r="K64" s="45">
        <v>3119.3273231622748</v>
      </c>
      <c r="L64" s="45">
        <v>6707.0521603122861</v>
      </c>
      <c r="M64" s="45">
        <v>218.57036271182349</v>
      </c>
      <c r="N64" s="45"/>
      <c r="O64" s="45"/>
      <c r="P64" s="45"/>
      <c r="Q64" s="45"/>
      <c r="R64" s="45">
        <v>8731.5790549349458</v>
      </c>
      <c r="S64" s="45"/>
      <c r="T64" s="45"/>
      <c r="U64" s="45"/>
      <c r="V64" s="45"/>
      <c r="W64" s="45"/>
      <c r="X64" s="45"/>
      <c r="Y64" s="45"/>
      <c r="Z64" s="45"/>
      <c r="AA64" s="45">
        <v>23848.394421364243</v>
      </c>
      <c r="AB64" s="45"/>
      <c r="AC64" s="45"/>
      <c r="AD64" s="45"/>
      <c r="AE64" s="45">
        <v>98.915104208929733</v>
      </c>
      <c r="AF64" s="45">
        <v>43088.266636915891</v>
      </c>
      <c r="AG64" s="45">
        <v>19631.993395038004</v>
      </c>
      <c r="AH64" s="45">
        <v>0.23349715472795016</v>
      </c>
      <c r="AI64" s="45"/>
      <c r="AJ64" s="45">
        <v>0.14808108082730143</v>
      </c>
      <c r="AK64" s="45"/>
      <c r="AL64" s="45">
        <v>3.5253527889826293</v>
      </c>
      <c r="AM64" s="45">
        <v>0.8167624026317799</v>
      </c>
      <c r="AN64" s="45"/>
      <c r="AO64" s="45">
        <v>12.513403683172081</v>
      </c>
      <c r="AP64" s="45">
        <v>0.36900670776001854</v>
      </c>
      <c r="AQ64" s="45">
        <v>0.22222566836372207</v>
      </c>
      <c r="AR64" s="45">
        <v>0.60820426522047732</v>
      </c>
      <c r="AS64" s="45">
        <v>14.728296730822255</v>
      </c>
      <c r="AT64" s="45">
        <v>3.8264504401517768E-2</v>
      </c>
      <c r="AU64" s="45">
        <v>1.7265403172845286</v>
      </c>
      <c r="AV64" s="45">
        <v>0.25345367448957401</v>
      </c>
      <c r="AW64" s="45">
        <v>9.7919429308842273E-2</v>
      </c>
      <c r="AX64" s="45">
        <v>0.735523250071346</v>
      </c>
      <c r="AY64" s="45">
        <v>4.1597522483978099E-2</v>
      </c>
      <c r="AZ64" s="45">
        <v>0.52132700595592607</v>
      </c>
      <c r="BA64" s="45"/>
      <c r="BB64" s="45"/>
      <c r="BC64" s="45"/>
      <c r="BD64" s="45"/>
      <c r="BE64" s="45"/>
      <c r="BF64" s="45"/>
      <c r="BG64" s="45"/>
      <c r="BH64" s="45"/>
      <c r="BI64" s="45"/>
      <c r="BJ64" s="45"/>
      <c r="BK64" s="45"/>
      <c r="BL64" s="45"/>
      <c r="BM64" s="45"/>
      <c r="BN64" s="45"/>
      <c r="BO64" s="45"/>
      <c r="BP64" s="45">
        <v>0.10221677434656569</v>
      </c>
      <c r="BQ64" s="45">
        <v>0.88903654072618077</v>
      </c>
      <c r="BR64" s="45">
        <v>206.06617066552866</v>
      </c>
      <c r="BS64" s="45"/>
      <c r="BT64" s="45">
        <v>105.26668235282503</v>
      </c>
      <c r="BU64" s="45"/>
      <c r="BV64" s="45">
        <v>13404.035345630426</v>
      </c>
      <c r="BW64" s="45">
        <v>148.78032645078176</v>
      </c>
      <c r="BX64" s="45"/>
      <c r="BY64" s="45">
        <v>48360.793276887125</v>
      </c>
      <c r="BZ64" s="45">
        <v>2967.5138934206429</v>
      </c>
      <c r="CA64" s="45">
        <v>6.8931062181359328</v>
      </c>
      <c r="CB64" s="45">
        <v>281.87564981575582</v>
      </c>
      <c r="CC64" s="45">
        <v>171904.20135707594</v>
      </c>
      <c r="CD64" s="45">
        <v>131.85108071109457</v>
      </c>
      <c r="CE64" s="45">
        <v>85139.660320440627</v>
      </c>
      <c r="CF64" s="45">
        <v>7525.8902507078592</v>
      </c>
      <c r="CG64" s="45">
        <v>569.47895853378009</v>
      </c>
      <c r="CH64" s="45">
        <v>27.698391961575535</v>
      </c>
      <c r="CI64" s="45">
        <v>120.52187366364154</v>
      </c>
      <c r="CJ64" s="45">
        <v>21432.860706361666</v>
      </c>
      <c r="CK64" s="45"/>
      <c r="CL64" s="45"/>
      <c r="CM64" s="45"/>
      <c r="CN64" s="45"/>
      <c r="CO64" s="45"/>
      <c r="CP64" s="45"/>
      <c r="CQ64" s="45"/>
      <c r="CR64" s="45"/>
      <c r="CS64" s="45"/>
      <c r="CT64" s="45"/>
      <c r="CU64" s="45"/>
      <c r="CV64" s="45"/>
      <c r="CW64" s="45"/>
      <c r="CX64" s="45"/>
      <c r="CY64" s="45"/>
      <c r="CZ64" s="45">
        <v>13.251290760509937</v>
      </c>
      <c r="DA64" s="45">
        <v>11.97688282189351</v>
      </c>
      <c r="DB64" s="45">
        <v>354144596.85991681</v>
      </c>
      <c r="DC64" s="45"/>
      <c r="DD64" s="45">
        <v>23247640.499306519</v>
      </c>
      <c r="DE64" s="45"/>
      <c r="DF64" s="45">
        <v>128534953.05660377</v>
      </c>
      <c r="DG64" s="45">
        <v>29903487.112343967</v>
      </c>
      <c r="DH64" s="45"/>
      <c r="DI64" s="45">
        <v>1171633440.3106797</v>
      </c>
      <c r="DJ64" s="45">
        <v>151532639.15672678</v>
      </c>
      <c r="DK64" s="45">
        <v>68650079.156726763</v>
      </c>
      <c r="DL64" s="45">
        <v>369478572.20527047</v>
      </c>
      <c r="DM64" s="45">
        <v>389429267.88349515</v>
      </c>
      <c r="DN64" s="45">
        <v>44974000.466019414</v>
      </c>
      <c r="DO64" s="45">
        <v>144825106.81830791</v>
      </c>
      <c r="DP64" s="45">
        <v>91088415.955617204</v>
      </c>
      <c r="DQ64" s="45">
        <v>86992678.688102901</v>
      </c>
      <c r="DR64" s="45">
        <v>105308057.74202496</v>
      </c>
      <c r="DS64" s="45">
        <v>22565540.038834952</v>
      </c>
      <c r="DT64" s="45">
        <v>455610045.38959211</v>
      </c>
      <c r="DU64" s="45"/>
      <c r="DV64" s="45"/>
      <c r="DW64" s="45"/>
      <c r="DX64" s="45"/>
      <c r="DY64" s="45"/>
      <c r="DZ64" s="45"/>
      <c r="EA64" s="45"/>
      <c r="EB64" s="45"/>
      <c r="EC64" s="45"/>
      <c r="ED64" s="45"/>
      <c r="EE64" s="45"/>
      <c r="EF64" s="45"/>
      <c r="EG64" s="45"/>
      <c r="EH64" s="45"/>
      <c r="EI64" s="45"/>
      <c r="EJ64" s="45">
        <v>63383446.901525661</v>
      </c>
      <c r="EK64" s="45">
        <v>27383697.220527045</v>
      </c>
      <c r="EL64" s="45">
        <v>8.2496815807570325</v>
      </c>
      <c r="EM64" s="45">
        <v>13.389019736348869</v>
      </c>
      <c r="EN64" s="45">
        <v>5.1388174540419715</v>
      </c>
      <c r="EO64" s="45"/>
      <c r="EP64" s="45"/>
      <c r="EQ64" s="45"/>
    </row>
    <row r="65" spans="1:236" s="92" customFormat="1" ht="15" customHeight="1" x14ac:dyDescent="0.25">
      <c r="A65" s="106" t="s">
        <v>735</v>
      </c>
      <c r="B65" s="136" t="s">
        <v>861</v>
      </c>
      <c r="C65" s="108" t="s">
        <v>736</v>
      </c>
      <c r="D65" s="107" t="s">
        <v>212</v>
      </c>
      <c r="E65" s="107" t="s">
        <v>191</v>
      </c>
      <c r="F65" s="118" t="s">
        <v>47</v>
      </c>
      <c r="G65" s="118">
        <v>16</v>
      </c>
      <c r="H65" s="118">
        <v>512</v>
      </c>
      <c r="I65" s="106"/>
      <c r="J65" s="53" t="s">
        <v>233</v>
      </c>
      <c r="K65" s="45">
        <v>2477.4535367545077</v>
      </c>
      <c r="L65" s="45">
        <v>4404.1959028484089</v>
      </c>
      <c r="M65" s="45">
        <v>224.02252958359458</v>
      </c>
      <c r="N65" s="45"/>
      <c r="O65" s="45"/>
      <c r="P65" s="45"/>
      <c r="Q65" s="45">
        <v>2.4770116790377736</v>
      </c>
      <c r="R65" s="45"/>
      <c r="S65" s="45"/>
      <c r="T65" s="45"/>
      <c r="U65" s="45">
        <v>8039.163710481389</v>
      </c>
      <c r="V65" s="45"/>
      <c r="W65" s="45"/>
      <c r="X65" s="45"/>
      <c r="Y65" s="45"/>
      <c r="Z65" s="45"/>
      <c r="AA65" s="45"/>
      <c r="AB65" s="45"/>
      <c r="AC65" s="45"/>
      <c r="AD65" s="45"/>
      <c r="AE65" s="45">
        <v>99.182508043546136</v>
      </c>
      <c r="AF65" s="45">
        <v>51962.849511613415</v>
      </c>
      <c r="AG65" s="45">
        <v>23699.034074723288</v>
      </c>
      <c r="AH65" s="45">
        <v>0.56604012350834099</v>
      </c>
      <c r="AI65" s="45"/>
      <c r="AJ65" s="45">
        <v>0.17772655754481512</v>
      </c>
      <c r="AK65" s="45">
        <v>1.4624405501779347</v>
      </c>
      <c r="AL65" s="45">
        <v>3.9258407238329278</v>
      </c>
      <c r="AM65" s="45">
        <v>9.613372846531093E-2</v>
      </c>
      <c r="AN65" s="45"/>
      <c r="AO65" s="45">
        <v>17.348710928241964</v>
      </c>
      <c r="AP65" s="45">
        <v>1.5468657979224882</v>
      </c>
      <c r="AQ65" s="45">
        <v>0.25709508996855018</v>
      </c>
      <c r="AR65" s="45">
        <v>0.53124981198896448</v>
      </c>
      <c r="AS65" s="45">
        <v>9.134345757025617</v>
      </c>
      <c r="AT65" s="45">
        <v>3.3780949191122227E-2</v>
      </c>
      <c r="AU65" s="45">
        <v>0.25036007381147124</v>
      </c>
      <c r="AV65" s="45">
        <v>0.1453330491235309</v>
      </c>
      <c r="AW65" s="45"/>
      <c r="AX65" s="45">
        <v>0.54867918437802898</v>
      </c>
      <c r="AY65" s="45">
        <v>3.660471910458437E-2</v>
      </c>
      <c r="AZ65" s="45">
        <v>0.17173111258105664</v>
      </c>
      <c r="BA65" s="45"/>
      <c r="BB65" s="45"/>
      <c r="BC65" s="45"/>
      <c r="BD65" s="45"/>
      <c r="BE65" s="45"/>
      <c r="BF65" s="45"/>
      <c r="BG65" s="45"/>
      <c r="BH65" s="45"/>
      <c r="BI65" s="45"/>
      <c r="BJ65" s="45"/>
      <c r="BK65" s="45"/>
      <c r="BL65" s="45"/>
      <c r="BM65" s="45"/>
      <c r="BN65" s="45"/>
      <c r="BO65" s="45"/>
      <c r="BP65" s="45">
        <v>0.11935848614501397</v>
      </c>
      <c r="BQ65" s="45">
        <v>0.40154388201577312</v>
      </c>
      <c r="BR65" s="45">
        <v>713.13393159189616</v>
      </c>
      <c r="BS65" s="45"/>
      <c r="BT65" s="45">
        <v>105.27874786621447</v>
      </c>
      <c r="BU65" s="45">
        <v>4254.3263162707008</v>
      </c>
      <c r="BV65" s="45">
        <v>0</v>
      </c>
      <c r="BW65" s="45">
        <v>22.071194769209654</v>
      </c>
      <c r="BX65" s="45"/>
      <c r="BY65" s="45">
        <v>32664.51040844787</v>
      </c>
      <c r="BZ65" s="45">
        <v>8950.7495781444868</v>
      </c>
      <c r="CA65" s="45">
        <v>6.8983630934671867</v>
      </c>
      <c r="CB65" s="45">
        <v>18.998034353469492</v>
      </c>
      <c r="CC65" s="45">
        <v>120262.6666640202</v>
      </c>
      <c r="CD65" s="45">
        <v>140.28824807858317</v>
      </c>
      <c r="CE65" s="45">
        <v>3527.7180936918307</v>
      </c>
      <c r="CF65" s="45">
        <v>3328.1126727088613</v>
      </c>
      <c r="CG65" s="45"/>
      <c r="CH65" s="45">
        <v>24.48353370347883</v>
      </c>
      <c r="CI65" s="45">
        <v>126.96491556110611</v>
      </c>
      <c r="CJ65" s="45">
        <v>127.80999806349362</v>
      </c>
      <c r="CK65" s="45"/>
      <c r="CL65" s="45"/>
      <c r="CM65" s="45"/>
      <c r="CN65" s="45"/>
      <c r="CO65" s="45"/>
      <c r="CP65" s="45"/>
      <c r="CQ65" s="45"/>
      <c r="CR65" s="45"/>
      <c r="CS65" s="45"/>
      <c r="CT65" s="45"/>
      <c r="CU65" s="45"/>
      <c r="CV65" s="45"/>
      <c r="CW65" s="45"/>
      <c r="CX65" s="45"/>
      <c r="CY65" s="45"/>
      <c r="CZ65" s="45">
        <v>13.315808518817489</v>
      </c>
      <c r="DA65" s="45">
        <v>1.1257792778806359</v>
      </c>
      <c r="DB65" s="45">
        <v>575944962.48543692</v>
      </c>
      <c r="DC65" s="45"/>
      <c r="DD65" s="45">
        <v>24031606.945908461</v>
      </c>
      <c r="DE65" s="45">
        <v>1264523715.6393898</v>
      </c>
      <c r="DF65" s="45">
        <v>757193865.76421642</v>
      </c>
      <c r="DG65" s="45">
        <v>21105523.395284329</v>
      </c>
      <c r="DH65" s="45"/>
      <c r="DI65" s="45">
        <v>2711613922.884882</v>
      </c>
      <c r="DJ65" s="45">
        <v>172976017.22052705</v>
      </c>
      <c r="DK65" s="45">
        <v>75608853.658807218</v>
      </c>
      <c r="DL65" s="45">
        <v>197577337.43134534</v>
      </c>
      <c r="DM65" s="45">
        <v>370147043.95006937</v>
      </c>
      <c r="DN65" s="45">
        <v>45093221.902912624</v>
      </c>
      <c r="DO65" s="45">
        <v>182487923.39528432</v>
      </c>
      <c r="DP65" s="45">
        <v>99545127.766990289</v>
      </c>
      <c r="DQ65" s="45"/>
      <c r="DR65" s="45">
        <v>115755482.36338419</v>
      </c>
      <c r="DS65" s="45">
        <v>23138622.135922331</v>
      </c>
      <c r="DT65" s="45">
        <v>587257989.50346744</v>
      </c>
      <c r="DU65" s="45"/>
      <c r="DV65" s="45"/>
      <c r="DW65" s="45"/>
      <c r="DX65" s="45"/>
      <c r="DY65" s="45"/>
      <c r="DZ65" s="45"/>
      <c r="EA65" s="45"/>
      <c r="EB65" s="45"/>
      <c r="EC65" s="45"/>
      <c r="ED65" s="45"/>
      <c r="EE65" s="45"/>
      <c r="EF65" s="45"/>
      <c r="EG65" s="45"/>
      <c r="EH65" s="45"/>
      <c r="EI65" s="45"/>
      <c r="EJ65" s="45">
        <v>61958425.209431343</v>
      </c>
      <c r="EK65" s="45">
        <v>25914573.936199721</v>
      </c>
      <c r="EL65" s="45">
        <v>7.3002985651108041</v>
      </c>
      <c r="EM65" s="45">
        <v>12.09252586867083</v>
      </c>
      <c r="EN65" s="45">
        <v>4.7918515335774243</v>
      </c>
      <c r="EO65" s="45"/>
      <c r="EP65" s="45"/>
      <c r="EQ65" s="45"/>
    </row>
    <row r="66" spans="1:236" s="92" customFormat="1" ht="15" customHeight="1" x14ac:dyDescent="0.25">
      <c r="A66" s="106" t="s">
        <v>737</v>
      </c>
      <c r="B66" s="136" t="s">
        <v>895</v>
      </c>
      <c r="C66" s="108" t="s">
        <v>738</v>
      </c>
      <c r="D66" s="107" t="s">
        <v>539</v>
      </c>
      <c r="E66" s="107" t="s">
        <v>191</v>
      </c>
      <c r="F66" s="118" t="s">
        <v>196</v>
      </c>
      <c r="G66" s="118">
        <v>32</v>
      </c>
      <c r="H66" s="118">
        <v>256</v>
      </c>
      <c r="I66" s="106"/>
      <c r="J66" s="53" t="s">
        <v>233</v>
      </c>
      <c r="K66" s="45">
        <v>14801.494565217392</v>
      </c>
      <c r="L66" s="45">
        <v>8083.6386421423194</v>
      </c>
      <c r="M66" s="45">
        <v>86.33763966947707</v>
      </c>
      <c r="N66" s="45"/>
      <c r="O66" s="45"/>
      <c r="P66" s="45"/>
      <c r="Q66" s="45"/>
      <c r="R66" s="45"/>
      <c r="S66" s="45"/>
      <c r="T66" s="45"/>
      <c r="U66" s="45"/>
      <c r="V66" s="45"/>
      <c r="W66" s="45"/>
      <c r="X66" s="45"/>
      <c r="Y66" s="45"/>
      <c r="Z66" s="45"/>
      <c r="AA66" s="45">
        <v>91804.284768461686</v>
      </c>
      <c r="AB66" s="45"/>
      <c r="AC66" s="45"/>
      <c r="AD66" s="45"/>
      <c r="AE66" s="45">
        <v>99.35868836586161</v>
      </c>
      <c r="AF66" s="45">
        <v>35832.57267291726</v>
      </c>
      <c r="AG66" s="45">
        <v>23862.334449278762</v>
      </c>
      <c r="AH66" s="45">
        <v>5.1043259451088856</v>
      </c>
      <c r="AI66" s="45"/>
      <c r="AJ66" s="45">
        <v>4.7201098365226631E-2</v>
      </c>
      <c r="AK66" s="45"/>
      <c r="AL66" s="45">
        <v>4.2903077904858034</v>
      </c>
      <c r="AM66" s="45">
        <v>8.2808137145203825E-2</v>
      </c>
      <c r="AN66" s="45"/>
      <c r="AO66" s="45">
        <v>10.956082951933491</v>
      </c>
      <c r="AP66" s="45">
        <v>0.42489386571653009</v>
      </c>
      <c r="AQ66" s="45">
        <v>0.10360226159281888</v>
      </c>
      <c r="AR66" s="45">
        <v>0.52585017839026127</v>
      </c>
      <c r="AS66" s="45">
        <v>6.9740872975402644</v>
      </c>
      <c r="AT66" s="45">
        <v>2.7191962849008447E-2</v>
      </c>
      <c r="AU66" s="45"/>
      <c r="AV66" s="45">
        <v>0.52568451647032788</v>
      </c>
      <c r="AW66" s="45">
        <v>2.8767668763488392E-3</v>
      </c>
      <c r="AX66" s="45">
        <v>0.88668819586329561</v>
      </c>
      <c r="AY66" s="45">
        <v>2.9318095990424585E-2</v>
      </c>
      <c r="AZ66" s="45"/>
      <c r="BA66" s="45"/>
      <c r="BB66" s="45"/>
      <c r="BC66" s="45"/>
      <c r="BD66" s="45"/>
      <c r="BE66" s="45"/>
      <c r="BF66" s="45">
        <v>1.8535540961241326</v>
      </c>
      <c r="BG66" s="45"/>
      <c r="BH66" s="45"/>
      <c r="BI66" s="45"/>
      <c r="BJ66" s="45"/>
      <c r="BK66" s="45"/>
      <c r="BL66" s="45"/>
      <c r="BM66" s="45"/>
      <c r="BN66" s="45"/>
      <c r="BO66" s="45"/>
      <c r="BP66" s="45">
        <v>5.2349574835084768E-2</v>
      </c>
      <c r="BQ66" s="45">
        <v>0.22857486074405184</v>
      </c>
      <c r="BR66" s="45">
        <v>47824.049477564797</v>
      </c>
      <c r="BS66" s="45"/>
      <c r="BT66" s="45">
        <v>104.09869927392691</v>
      </c>
      <c r="BU66" s="45"/>
      <c r="BV66" s="45">
        <v>73304.286892337812</v>
      </c>
      <c r="BW66" s="45">
        <v>73.301075569921935</v>
      </c>
      <c r="BX66" s="45"/>
      <c r="BY66" s="45">
        <v>30280.384113838114</v>
      </c>
      <c r="BZ66" s="45">
        <v>21162.704575443666</v>
      </c>
      <c r="CA66" s="45">
        <v>86.541019020562914</v>
      </c>
      <c r="CB66" s="45">
        <v>2618.1354040134265</v>
      </c>
      <c r="CC66" s="45">
        <v>583848.99064396136</v>
      </c>
      <c r="CD66" s="45">
        <v>170.27496640227372</v>
      </c>
      <c r="CE66" s="45"/>
      <c r="CF66" s="45">
        <v>7338.2523228809214</v>
      </c>
      <c r="CG66" s="45">
        <v>8.206161774331544E-2</v>
      </c>
      <c r="CH66" s="45">
        <v>198.08212002682694</v>
      </c>
      <c r="CI66" s="45">
        <v>111.59476590063058</v>
      </c>
      <c r="CJ66" s="45"/>
      <c r="CK66" s="45"/>
      <c r="CL66" s="45"/>
      <c r="CM66" s="45"/>
      <c r="CN66" s="45"/>
      <c r="CO66" s="45"/>
      <c r="CP66" s="45">
        <v>77288.953572767845</v>
      </c>
      <c r="CQ66" s="45"/>
      <c r="CR66" s="45"/>
      <c r="CS66" s="45"/>
      <c r="CT66" s="45"/>
      <c r="CU66" s="45"/>
      <c r="CV66" s="45"/>
      <c r="CW66" s="45"/>
      <c r="CX66" s="45"/>
      <c r="CY66" s="45"/>
      <c r="CZ66" s="45">
        <v>13.318816532396776</v>
      </c>
      <c r="DA66" s="45">
        <v>1.2175280721728603</v>
      </c>
      <c r="DB66" s="45">
        <v>559036691.10447764</v>
      </c>
      <c r="DC66" s="45"/>
      <c r="DD66" s="45">
        <v>23519545.355191257</v>
      </c>
      <c r="DE66" s="45"/>
      <c r="DF66" s="45">
        <v>152672849.34579438</v>
      </c>
      <c r="DG66" s="45">
        <v>22816166.956521738</v>
      </c>
      <c r="DH66" s="45"/>
      <c r="DI66" s="45">
        <v>2187225972.1092896</v>
      </c>
      <c r="DJ66" s="45">
        <v>127482650.57923497</v>
      </c>
      <c r="DK66" s="45">
        <v>98869248</v>
      </c>
      <c r="DL66" s="45">
        <v>285534905.67032969</v>
      </c>
      <c r="DM66" s="45">
        <v>381431919.30434781</v>
      </c>
      <c r="DN66" s="45">
        <v>46088281.530054644</v>
      </c>
      <c r="DO66" s="45"/>
      <c r="DP66" s="45">
        <v>104042901.09890109</v>
      </c>
      <c r="DQ66" s="45">
        <v>93284497.486338794</v>
      </c>
      <c r="DR66" s="45">
        <v>114728534.73224044</v>
      </c>
      <c r="DS66" s="45">
        <v>21699294.608695652</v>
      </c>
      <c r="DT66" s="45"/>
      <c r="DU66" s="45"/>
      <c r="DV66" s="45"/>
      <c r="DW66" s="45"/>
      <c r="DX66" s="45"/>
      <c r="DY66" s="45"/>
      <c r="DZ66" s="45">
        <v>148538216.9180328</v>
      </c>
      <c r="EA66" s="45"/>
      <c r="EB66" s="45"/>
      <c r="EC66" s="45"/>
      <c r="ED66" s="45"/>
      <c r="EE66" s="45"/>
      <c r="EF66" s="45"/>
      <c r="EG66" s="45"/>
      <c r="EH66" s="45"/>
      <c r="EI66" s="45"/>
      <c r="EJ66" s="45">
        <v>61586224.961748637</v>
      </c>
      <c r="EK66" s="45">
        <v>24319488</v>
      </c>
      <c r="EL66" s="45">
        <v>7.4151920414324142</v>
      </c>
      <c r="EM66" s="45">
        <v>13.603981208134641</v>
      </c>
      <c r="EN66" s="45">
        <v>6.18856827561667</v>
      </c>
      <c r="EO66" s="45"/>
      <c r="EP66" s="45"/>
      <c r="EQ66" s="45"/>
    </row>
    <row r="67" spans="1:236" s="92" customFormat="1" ht="15" customHeight="1" x14ac:dyDescent="0.25">
      <c r="A67" s="106" t="s">
        <v>739</v>
      </c>
      <c r="B67" s="136" t="s">
        <v>896</v>
      </c>
      <c r="C67" s="108" t="s">
        <v>740</v>
      </c>
      <c r="D67" s="107" t="s">
        <v>601</v>
      </c>
      <c r="E67" s="107" t="s">
        <v>191</v>
      </c>
      <c r="F67" s="118" t="s">
        <v>196</v>
      </c>
      <c r="G67" s="118">
        <v>32</v>
      </c>
      <c r="H67" s="118">
        <v>512</v>
      </c>
      <c r="I67" s="106"/>
      <c r="J67" s="53" t="s">
        <v>233</v>
      </c>
      <c r="K67" s="45">
        <v>14798.228441754916</v>
      </c>
      <c r="L67" s="45">
        <v>2862.0872067267501</v>
      </c>
      <c r="M67" s="45">
        <v>5.0309656641744276</v>
      </c>
      <c r="N67" s="45"/>
      <c r="O67" s="45"/>
      <c r="P67" s="45"/>
      <c r="Q67" s="45"/>
      <c r="R67" s="45">
        <v>2731.2772498177173</v>
      </c>
      <c r="S67" s="45"/>
      <c r="T67" s="45"/>
      <c r="U67" s="45"/>
      <c r="V67" s="45"/>
      <c r="W67" s="45"/>
      <c r="X67" s="45"/>
      <c r="Y67" s="45"/>
      <c r="Z67" s="45"/>
      <c r="AA67" s="45"/>
      <c r="AB67" s="45"/>
      <c r="AC67" s="45"/>
      <c r="AD67" s="45">
        <v>6100.933761164466</v>
      </c>
      <c r="AE67" s="45">
        <v>99.239120083183991</v>
      </c>
      <c r="AF67" s="45">
        <v>20345.023920885378</v>
      </c>
      <c r="AG67" s="45">
        <v>12093.75167104385</v>
      </c>
      <c r="AH67" s="45"/>
      <c r="AI67" s="45"/>
      <c r="AJ67" s="45">
        <v>7.0310907613101201E-2</v>
      </c>
      <c r="AK67" s="45"/>
      <c r="AL67" s="45"/>
      <c r="AM67" s="45">
        <v>0.91021455290004205</v>
      </c>
      <c r="AN67" s="45"/>
      <c r="AO67" s="45"/>
      <c r="AP67" s="45">
        <v>2.3371585722001598E-2</v>
      </c>
      <c r="AQ67" s="45">
        <v>0.13628818868767772</v>
      </c>
      <c r="AR67" s="45">
        <v>0.45347358936329873</v>
      </c>
      <c r="AS67" s="45">
        <v>3.4245542669982241</v>
      </c>
      <c r="AT67" s="45">
        <v>0.11859742477241539</v>
      </c>
      <c r="AU67" s="45">
        <v>0.13191758965711908</v>
      </c>
      <c r="AV67" s="45">
        <v>2.9443699321573129E-2</v>
      </c>
      <c r="AW67" s="45"/>
      <c r="AX67" s="45"/>
      <c r="AY67" s="45">
        <v>1.236230534056737E-2</v>
      </c>
      <c r="AZ67" s="45"/>
      <c r="BA67" s="45"/>
      <c r="BB67" s="45"/>
      <c r="BC67" s="45"/>
      <c r="BD67" s="45"/>
      <c r="BE67" s="45"/>
      <c r="BF67" s="45"/>
      <c r="BG67" s="45"/>
      <c r="BH67" s="45"/>
      <c r="BI67" s="45"/>
      <c r="BJ67" s="45"/>
      <c r="BK67" s="45"/>
      <c r="BL67" s="45"/>
      <c r="BM67" s="45"/>
      <c r="BN67" s="45"/>
      <c r="BO67" s="45"/>
      <c r="BP67" s="45">
        <v>4.6874509485231391E-2</v>
      </c>
      <c r="BQ67" s="45">
        <v>0.42742268572951903</v>
      </c>
      <c r="BR67" s="45"/>
      <c r="BS67" s="45"/>
      <c r="BT67" s="45">
        <v>105.26973793327512</v>
      </c>
      <c r="BU67" s="45"/>
      <c r="BV67" s="45"/>
      <c r="BW67" s="45">
        <v>130.94465865247426</v>
      </c>
      <c r="BX67" s="45"/>
      <c r="BY67" s="45"/>
      <c r="BZ67" s="45">
        <v>775.03621126362555</v>
      </c>
      <c r="CA67" s="45">
        <v>6.265083819307474</v>
      </c>
      <c r="CB67" s="45">
        <v>33.833821714257986</v>
      </c>
      <c r="CC67" s="45">
        <v>36798.344898134419</v>
      </c>
      <c r="CD67" s="45">
        <v>121.04723446349689</v>
      </c>
      <c r="CE67" s="45">
        <v>1197.226997097913</v>
      </c>
      <c r="CF67" s="45">
        <v>1078.4896029612082</v>
      </c>
      <c r="CG67" s="45"/>
      <c r="CH67" s="45"/>
      <c r="CI67" s="45">
        <v>133.52024655410054</v>
      </c>
      <c r="CJ67" s="45"/>
      <c r="CK67" s="45"/>
      <c r="CL67" s="45"/>
      <c r="CM67" s="45"/>
      <c r="CN67" s="45"/>
      <c r="CO67" s="45"/>
      <c r="CP67" s="45"/>
      <c r="CQ67" s="45"/>
      <c r="CR67" s="45"/>
      <c r="CS67" s="45"/>
      <c r="CT67" s="45"/>
      <c r="CU67" s="45"/>
      <c r="CV67" s="45"/>
      <c r="CW67" s="45"/>
      <c r="CX67" s="45"/>
      <c r="CY67" s="45"/>
      <c r="CZ67" s="45">
        <v>13.173534239201503</v>
      </c>
      <c r="DA67" s="45">
        <v>11.983785655224416</v>
      </c>
      <c r="DB67" s="45"/>
      <c r="DC67" s="45"/>
      <c r="DD67" s="45">
        <v>25913886.208774585</v>
      </c>
      <c r="DE67" s="45"/>
      <c r="DF67" s="45"/>
      <c r="DG67" s="45">
        <v>158902163.55824509</v>
      </c>
      <c r="DH67" s="45"/>
      <c r="DI67" s="45"/>
      <c r="DJ67" s="45">
        <v>125306715.78819969</v>
      </c>
      <c r="DK67" s="45">
        <v>114560391.93948562</v>
      </c>
      <c r="DL67" s="45">
        <v>287657661.77307111</v>
      </c>
      <c r="DM67" s="45">
        <v>364593083.83661121</v>
      </c>
      <c r="DN67" s="45">
        <v>47759521.113464445</v>
      </c>
      <c r="DO67" s="45">
        <v>76885520.266263232</v>
      </c>
      <c r="DP67" s="45">
        <v>126494735.49167928</v>
      </c>
      <c r="DQ67" s="45"/>
      <c r="DR67" s="45"/>
      <c r="DS67" s="45">
        <v>24080464.556732222</v>
      </c>
      <c r="DT67" s="45"/>
      <c r="DU67" s="45"/>
      <c r="DV67" s="45"/>
      <c r="DW67" s="45"/>
      <c r="DX67" s="45"/>
      <c r="DY67" s="45"/>
      <c r="DZ67" s="45"/>
      <c r="EA67" s="45"/>
      <c r="EB67" s="45"/>
      <c r="EC67" s="45"/>
      <c r="ED67" s="45"/>
      <c r="EE67" s="45"/>
      <c r="EF67" s="45"/>
      <c r="EG67" s="45"/>
      <c r="EH67" s="45"/>
      <c r="EI67" s="45"/>
      <c r="EJ67" s="45">
        <v>65833700.50226929</v>
      </c>
      <c r="EK67" s="45">
        <v>28333562.577912252</v>
      </c>
      <c r="EL67" s="45">
        <v>2.5631387316174621</v>
      </c>
      <c r="EM67" s="45">
        <v>4.4378650165885523</v>
      </c>
      <c r="EN67" s="45">
        <v>1.8744579737757081</v>
      </c>
      <c r="EO67" s="45"/>
      <c r="EP67" s="45"/>
      <c r="EQ67" s="45"/>
    </row>
    <row r="68" spans="1:236" s="92" customFormat="1" ht="15" customHeight="1" x14ac:dyDescent="0.25">
      <c r="A68" s="106" t="s">
        <v>741</v>
      </c>
      <c r="B68" s="136" t="s">
        <v>897</v>
      </c>
      <c r="C68" s="108" t="s">
        <v>742</v>
      </c>
      <c r="D68" s="107" t="s">
        <v>533</v>
      </c>
      <c r="E68" s="107" t="s">
        <v>191</v>
      </c>
      <c r="F68" s="118" t="s">
        <v>47</v>
      </c>
      <c r="G68" s="118">
        <v>16</v>
      </c>
      <c r="H68" s="118">
        <v>256</v>
      </c>
      <c r="I68" s="106"/>
      <c r="J68" s="53" t="s">
        <v>233</v>
      </c>
      <c r="K68" s="45">
        <v>3123.1927877947296</v>
      </c>
      <c r="L68" s="45">
        <v>6709.0798322069186</v>
      </c>
      <c r="M68" s="45">
        <v>506.25169080418141</v>
      </c>
      <c r="N68" s="45"/>
      <c r="O68" s="45"/>
      <c r="P68" s="45"/>
      <c r="Q68" s="45"/>
      <c r="R68" s="45">
        <v>5282.4652926257195</v>
      </c>
      <c r="S68" s="45"/>
      <c r="T68" s="45"/>
      <c r="U68" s="45">
        <v>13091.469872321877</v>
      </c>
      <c r="V68" s="45"/>
      <c r="W68" s="45"/>
      <c r="X68" s="45"/>
      <c r="Y68" s="45"/>
      <c r="Z68" s="45"/>
      <c r="AA68" s="45">
        <v>1.2826207857386963E-2</v>
      </c>
      <c r="AB68" s="45"/>
      <c r="AC68" s="45"/>
      <c r="AD68" s="45"/>
      <c r="AE68" s="45">
        <v>98.586381483268141</v>
      </c>
      <c r="AF68" s="45">
        <v>43236.482807758177</v>
      </c>
      <c r="AG68" s="45">
        <v>19449.885144980373</v>
      </c>
      <c r="AH68" s="45">
        <v>7.5486810016302952</v>
      </c>
      <c r="AI68" s="45"/>
      <c r="AJ68" s="45">
        <v>0.21778765383526494</v>
      </c>
      <c r="AK68" s="45"/>
      <c r="AL68" s="45">
        <v>5.0309091180223682</v>
      </c>
      <c r="AM68" s="45">
        <v>0.69037879034244753</v>
      </c>
      <c r="AN68" s="45"/>
      <c r="AO68" s="45">
        <v>9.2630332794432988</v>
      </c>
      <c r="AP68" s="45">
        <v>1.208614694668857</v>
      </c>
      <c r="AQ68" s="45"/>
      <c r="AR68" s="45">
        <v>0.57246002164262055</v>
      </c>
      <c r="AS68" s="45">
        <v>6.5355995162455773</v>
      </c>
      <c r="AT68" s="45">
        <v>8.3421767401572713E-2</v>
      </c>
      <c r="AU68" s="45">
        <v>0.52057954646641613</v>
      </c>
      <c r="AV68" s="45">
        <v>0.16301766279834126</v>
      </c>
      <c r="AW68" s="45">
        <v>2.2284154872418138E-2</v>
      </c>
      <c r="AX68" s="45">
        <v>1.582646323155495</v>
      </c>
      <c r="AY68" s="45">
        <v>1.5743521986452572E-2</v>
      </c>
      <c r="AZ68" s="45"/>
      <c r="BA68" s="45"/>
      <c r="BB68" s="45"/>
      <c r="BC68" s="45"/>
      <c r="BD68" s="45"/>
      <c r="BE68" s="45"/>
      <c r="BF68" s="45"/>
      <c r="BG68" s="45"/>
      <c r="BH68" s="45"/>
      <c r="BI68" s="45"/>
      <c r="BJ68" s="45"/>
      <c r="BK68" s="45"/>
      <c r="BL68" s="45"/>
      <c r="BM68" s="45"/>
      <c r="BN68" s="45"/>
      <c r="BO68" s="45"/>
      <c r="BP68" s="45">
        <v>5.1109194632640138E-2</v>
      </c>
      <c r="BQ68" s="45">
        <v>0.31132465818653532</v>
      </c>
      <c r="BR68" s="45">
        <v>37227.118232165332</v>
      </c>
      <c r="BS68" s="45"/>
      <c r="BT68" s="45">
        <v>106.56128733948873</v>
      </c>
      <c r="BU68" s="45"/>
      <c r="BV68" s="45">
        <v>1099.2041249592162</v>
      </c>
      <c r="BW68" s="45">
        <v>155.40800926919317</v>
      </c>
      <c r="BX68" s="45"/>
      <c r="BY68" s="45">
        <v>9244.8515426163485</v>
      </c>
      <c r="BZ68" s="45">
        <v>4451.6876489964507</v>
      </c>
      <c r="CA68" s="45"/>
      <c r="CB68" s="45">
        <v>36.082152987117823</v>
      </c>
      <c r="CC68" s="45">
        <v>106424.31589121529</v>
      </c>
      <c r="CD68" s="45">
        <v>86.695969507952782</v>
      </c>
      <c r="CE68" s="45">
        <v>9643.2377238279514</v>
      </c>
      <c r="CF68" s="45">
        <v>16201.978139576884</v>
      </c>
      <c r="CG68" s="45">
        <v>198.64896223700606</v>
      </c>
      <c r="CH68" s="45">
        <v>45.468686110546159</v>
      </c>
      <c r="CI68" s="45">
        <v>106.16637099525968</v>
      </c>
      <c r="CJ68" s="45"/>
      <c r="CK68" s="45"/>
      <c r="CL68" s="45"/>
      <c r="CM68" s="45"/>
      <c r="CN68" s="45"/>
      <c r="CO68" s="45"/>
      <c r="CP68" s="45"/>
      <c r="CQ68" s="45"/>
      <c r="CR68" s="45"/>
      <c r="CS68" s="45"/>
      <c r="CT68" s="45"/>
      <c r="CU68" s="45"/>
      <c r="CV68" s="45"/>
      <c r="CW68" s="45"/>
      <c r="CX68" s="45"/>
      <c r="CY68" s="45"/>
      <c r="CZ68" s="45">
        <v>13.296145723497784</v>
      </c>
      <c r="DA68" s="45">
        <v>7.8877770215612211</v>
      </c>
      <c r="DB68" s="45">
        <v>1053824049.7087379</v>
      </c>
      <c r="DC68" s="45"/>
      <c r="DD68" s="45">
        <v>26831771.162274618</v>
      </c>
      <c r="DE68" s="45"/>
      <c r="DF68" s="45">
        <v>948856920.05547845</v>
      </c>
      <c r="DG68" s="45">
        <v>76067651.106796116</v>
      </c>
      <c r="DH68" s="45"/>
      <c r="DI68" s="45">
        <v>1395549994.9625521</v>
      </c>
      <c r="DJ68" s="45">
        <v>134789969.30929264</v>
      </c>
      <c r="DK68" s="45"/>
      <c r="DL68" s="45">
        <v>308108596.19417477</v>
      </c>
      <c r="DM68" s="45">
        <v>389362851.32871014</v>
      </c>
      <c r="DN68" s="45">
        <v>41651911.545076281</v>
      </c>
      <c r="DO68" s="45">
        <v>253738275.15117893</v>
      </c>
      <c r="DP68" s="45">
        <v>107912653.58113731</v>
      </c>
      <c r="DQ68" s="45">
        <v>95354897.04299584</v>
      </c>
      <c r="DR68" s="45">
        <v>138178349.80305132</v>
      </c>
      <c r="DS68" s="45">
        <v>23492803.994452149</v>
      </c>
      <c r="DT68" s="45"/>
      <c r="DU68" s="45"/>
      <c r="DV68" s="45"/>
      <c r="DW68" s="45"/>
      <c r="DX68" s="45"/>
      <c r="DY68" s="45"/>
      <c r="DZ68" s="45"/>
      <c r="EA68" s="45"/>
      <c r="EB68" s="45"/>
      <c r="EC68" s="45"/>
      <c r="ED68" s="45"/>
      <c r="EE68" s="45"/>
      <c r="EF68" s="45"/>
      <c r="EG68" s="45"/>
      <c r="EH68" s="45"/>
      <c r="EI68" s="45"/>
      <c r="EJ68" s="45">
        <v>69089027.195561722</v>
      </c>
      <c r="EK68" s="45">
        <v>28470148.438280165</v>
      </c>
      <c r="EL68" s="45">
        <v>2.5641915941388063</v>
      </c>
      <c r="EM68" s="45">
        <v>5.1004889643476927</v>
      </c>
      <c r="EN68" s="45">
        <v>2.5353305636891497</v>
      </c>
      <c r="EO68" s="45"/>
      <c r="EP68" s="45"/>
      <c r="EQ68" s="45"/>
    </row>
    <row r="69" spans="1:236" s="92" customFormat="1" ht="15" customHeight="1" x14ac:dyDescent="0.25">
      <c r="A69" s="106" t="s">
        <v>743</v>
      </c>
      <c r="B69" s="136" t="s">
        <v>898</v>
      </c>
      <c r="C69" s="108" t="s">
        <v>744</v>
      </c>
      <c r="D69" s="107" t="s">
        <v>533</v>
      </c>
      <c r="E69" s="107" t="s">
        <v>191</v>
      </c>
      <c r="F69" s="118" t="s">
        <v>31</v>
      </c>
      <c r="G69" s="118">
        <v>16</v>
      </c>
      <c r="H69" s="118">
        <v>256</v>
      </c>
      <c r="I69" s="106"/>
      <c r="J69" s="53" t="s">
        <v>233</v>
      </c>
      <c r="K69" s="45">
        <v>3811.4549237170595</v>
      </c>
      <c r="L69" s="45">
        <v>6085.7293553402715</v>
      </c>
      <c r="M69" s="45">
        <v>336.08133572951442</v>
      </c>
      <c r="N69" s="45"/>
      <c r="O69" s="45"/>
      <c r="P69" s="45"/>
      <c r="Q69" s="45">
        <v>7.1269705241903871</v>
      </c>
      <c r="R69" s="45"/>
      <c r="S69" s="45"/>
      <c r="T69" s="45"/>
      <c r="U69" s="45">
        <v>48714.274456402491</v>
      </c>
      <c r="V69" s="45"/>
      <c r="W69" s="45"/>
      <c r="X69" s="45"/>
      <c r="Y69" s="45"/>
      <c r="Z69" s="45"/>
      <c r="AA69" s="45"/>
      <c r="AB69" s="45"/>
      <c r="AC69" s="45"/>
      <c r="AD69" s="45"/>
      <c r="AE69" s="45">
        <v>98.843690903023585</v>
      </c>
      <c r="AF69" s="45">
        <v>49412.826138920907</v>
      </c>
      <c r="AG69" s="45">
        <v>17545.92686990149</v>
      </c>
      <c r="AH69" s="45"/>
      <c r="AI69" s="45"/>
      <c r="AJ69" s="45">
        <v>5.302580284879984E-2</v>
      </c>
      <c r="AK69" s="45"/>
      <c r="AL69" s="45">
        <v>1.7975543620028513</v>
      </c>
      <c r="AM69" s="45">
        <v>8.724040865231221E-2</v>
      </c>
      <c r="AN69" s="45"/>
      <c r="AO69" s="45">
        <v>11.20752946140124</v>
      </c>
      <c r="AP69" s="45">
        <v>4.3039135215602355E-2</v>
      </c>
      <c r="AQ69" s="45">
        <v>0.11407777312435821</v>
      </c>
      <c r="AR69" s="45">
        <v>0.44010917424926799</v>
      </c>
      <c r="AS69" s="45">
        <v>6.3131849575910008</v>
      </c>
      <c r="AT69" s="45">
        <v>7.0400997630847506E-2</v>
      </c>
      <c r="AU69" s="45">
        <v>0.29498405390064547</v>
      </c>
      <c r="AV69" s="45">
        <v>0.25594143016235871</v>
      </c>
      <c r="AW69" s="45"/>
      <c r="AX69" s="45">
        <v>0.3839854300122067</v>
      </c>
      <c r="AY69" s="45">
        <v>4.2678468317471636E-2</v>
      </c>
      <c r="AZ69" s="45"/>
      <c r="BA69" s="45"/>
      <c r="BB69" s="45"/>
      <c r="BC69" s="45"/>
      <c r="BD69" s="45"/>
      <c r="BE69" s="45"/>
      <c r="BF69" s="45">
        <v>0.76774764592003097</v>
      </c>
      <c r="BG69" s="45"/>
      <c r="BH69" s="45"/>
      <c r="BI69" s="45"/>
      <c r="BJ69" s="45"/>
      <c r="BK69" s="45"/>
      <c r="BL69" s="45"/>
      <c r="BM69" s="45"/>
      <c r="BN69" s="45"/>
      <c r="BO69" s="45"/>
      <c r="BP69" s="45">
        <v>5.9750746417585446E-2</v>
      </c>
      <c r="BQ69" s="45">
        <v>0.79890827074346116</v>
      </c>
      <c r="BR69" s="45"/>
      <c r="BS69" s="45"/>
      <c r="BT69" s="45">
        <v>99.419155288015602</v>
      </c>
      <c r="BU69" s="45"/>
      <c r="BV69" s="45">
        <v>2509.1210904131794</v>
      </c>
      <c r="BW69" s="45">
        <v>22.037730914299786</v>
      </c>
      <c r="BX69" s="45"/>
      <c r="BY69" s="45">
        <v>33703.506832933468</v>
      </c>
      <c r="BZ69" s="45">
        <v>969.5581700761461</v>
      </c>
      <c r="CA69" s="45">
        <v>1271.4060776721412</v>
      </c>
      <c r="CB69" s="45">
        <v>26608.176886716021</v>
      </c>
      <c r="CC69" s="45">
        <v>354690.26408949803</v>
      </c>
      <c r="CD69" s="45">
        <v>124.0408428215493</v>
      </c>
      <c r="CE69" s="45">
        <v>32340.497050679271</v>
      </c>
      <c r="CF69" s="45">
        <v>4703.8400647631406</v>
      </c>
      <c r="CG69" s="45"/>
      <c r="CH69" s="45">
        <v>25.020537883971922</v>
      </c>
      <c r="CI69" s="45">
        <v>127.40887000877851</v>
      </c>
      <c r="CJ69" s="45"/>
      <c r="CK69" s="45"/>
      <c r="CL69" s="45"/>
      <c r="CM69" s="45"/>
      <c r="CN69" s="45"/>
      <c r="CO69" s="45"/>
      <c r="CP69" s="45">
        <v>38096.355076765212</v>
      </c>
      <c r="CQ69" s="45"/>
      <c r="CR69" s="45"/>
      <c r="CS69" s="45"/>
      <c r="CT69" s="45"/>
      <c r="CU69" s="45"/>
      <c r="CV69" s="45"/>
      <c r="CW69" s="45"/>
      <c r="CX69" s="45"/>
      <c r="CY69" s="45"/>
      <c r="CZ69" s="45">
        <v>13.309446663969716</v>
      </c>
      <c r="DA69" s="45">
        <v>7.9614040561999371</v>
      </c>
      <c r="DB69" s="45"/>
      <c r="DC69" s="45"/>
      <c r="DD69" s="45">
        <v>21509743.489597782</v>
      </c>
      <c r="DE69" s="45"/>
      <c r="DF69" s="45">
        <v>847618775.27272725</v>
      </c>
      <c r="DG69" s="45">
        <v>26040334.202496532</v>
      </c>
      <c r="DH69" s="45"/>
      <c r="DI69" s="45">
        <v>1120859245.6634214</v>
      </c>
      <c r="DJ69" s="45">
        <v>142176801.37586686</v>
      </c>
      <c r="DK69" s="45">
        <v>94148889.20943135</v>
      </c>
      <c r="DL69" s="45">
        <v>202463405.27045768</v>
      </c>
      <c r="DM69" s="45">
        <v>392866107.29542303</v>
      </c>
      <c r="DN69" s="45">
        <v>45647846.43550624</v>
      </c>
      <c r="DO69" s="45">
        <v>96390889.631067961</v>
      </c>
      <c r="DP69" s="45">
        <v>95463756.338418856</v>
      </c>
      <c r="DQ69" s="45"/>
      <c r="DR69" s="45">
        <v>113467000.0110957</v>
      </c>
      <c r="DS69" s="45">
        <v>21362622.66851595</v>
      </c>
      <c r="DT69" s="45"/>
      <c r="DU69" s="45"/>
      <c r="DV69" s="45"/>
      <c r="DW69" s="45"/>
      <c r="DX69" s="45"/>
      <c r="DY69" s="45"/>
      <c r="DZ69" s="45">
        <v>139788668.62690708</v>
      </c>
      <c r="EA69" s="45"/>
      <c r="EB69" s="45"/>
      <c r="EC69" s="45"/>
      <c r="ED69" s="45"/>
      <c r="EE69" s="45"/>
      <c r="EF69" s="45"/>
      <c r="EG69" s="45"/>
      <c r="EH69" s="45"/>
      <c r="EI69" s="45"/>
      <c r="EJ69" s="45">
        <v>68870797.314840496</v>
      </c>
      <c r="EK69" s="45">
        <v>26050940.626907073</v>
      </c>
      <c r="EL69" s="45">
        <v>5.3592929140981918</v>
      </c>
      <c r="EM69" s="45">
        <v>10.471537361856221</v>
      </c>
      <c r="EN69" s="45">
        <v>5.1126618960529422</v>
      </c>
      <c r="EO69" s="45"/>
      <c r="EP69" s="45"/>
      <c r="EQ69" s="45"/>
    </row>
    <row r="70" spans="1:236" s="92" customFormat="1" ht="15" customHeight="1" x14ac:dyDescent="0.25">
      <c r="A70" s="106" t="s">
        <v>745</v>
      </c>
      <c r="B70" s="136" t="s">
        <v>860</v>
      </c>
      <c r="C70" s="108" t="s">
        <v>746</v>
      </c>
      <c r="D70" s="107" t="s">
        <v>533</v>
      </c>
      <c r="E70" s="107" t="s">
        <v>191</v>
      </c>
      <c r="F70" s="118" t="s">
        <v>48</v>
      </c>
      <c r="G70" s="118">
        <v>16</v>
      </c>
      <c r="H70" s="118">
        <v>256</v>
      </c>
      <c r="I70" s="106"/>
      <c r="J70" s="53" t="s">
        <v>233</v>
      </c>
      <c r="K70" s="45">
        <v>3015.8623693379791</v>
      </c>
      <c r="L70" s="45">
        <v>10831.773384967897</v>
      </c>
      <c r="M70" s="45">
        <v>606.49758053383562</v>
      </c>
      <c r="N70" s="45"/>
      <c r="O70" s="45"/>
      <c r="P70" s="45"/>
      <c r="Q70" s="45">
        <v>1.9176333672780621</v>
      </c>
      <c r="R70" s="45">
        <v>51627.845056249498</v>
      </c>
      <c r="S70" s="45"/>
      <c r="T70" s="45"/>
      <c r="U70" s="45">
        <v>46091.4843144345</v>
      </c>
      <c r="V70" s="45"/>
      <c r="W70" s="45"/>
      <c r="X70" s="45"/>
      <c r="Y70" s="45"/>
      <c r="Z70" s="45"/>
      <c r="AA70" s="45">
        <v>162455.62036972548</v>
      </c>
      <c r="AB70" s="45"/>
      <c r="AC70" s="45"/>
      <c r="AD70" s="45"/>
      <c r="AE70" s="45">
        <v>96.644522578763642</v>
      </c>
      <c r="AF70" s="45">
        <v>51554.533992079283</v>
      </c>
      <c r="AG70" s="45">
        <v>27486.014241312874</v>
      </c>
      <c r="AH70" s="45">
        <v>1.741330484295583</v>
      </c>
      <c r="AI70" s="45"/>
      <c r="AJ70" s="45">
        <v>0.1434258995890362</v>
      </c>
      <c r="AK70" s="45"/>
      <c r="AL70" s="45">
        <v>4.6340843143186179</v>
      </c>
      <c r="AM70" s="45">
        <v>1.0042290220124952</v>
      </c>
      <c r="AN70" s="45"/>
      <c r="AO70" s="45">
        <v>18.668940428849769</v>
      </c>
      <c r="AP70" s="45">
        <v>1.433258212912603</v>
      </c>
      <c r="AQ70" s="45">
        <v>0.23008044929824167</v>
      </c>
      <c r="AR70" s="45">
        <v>1.034148298751443</v>
      </c>
      <c r="AS70" s="45">
        <v>20.525899073285682</v>
      </c>
      <c r="AT70" s="45">
        <v>4.8820350273710983E-2</v>
      </c>
      <c r="AU70" s="45">
        <v>0.33136025855438422</v>
      </c>
      <c r="AV70" s="45">
        <v>0.57258560027413685</v>
      </c>
      <c r="AW70" s="45"/>
      <c r="AX70" s="45"/>
      <c r="AY70" s="45">
        <v>6.6471375197443769E-2</v>
      </c>
      <c r="AZ70" s="45"/>
      <c r="BA70" s="45"/>
      <c r="BB70" s="45"/>
      <c r="BC70" s="45"/>
      <c r="BD70" s="45"/>
      <c r="BE70" s="45"/>
      <c r="BF70" s="45">
        <v>3.6864153253886958</v>
      </c>
      <c r="BG70" s="45"/>
      <c r="BH70" s="45"/>
      <c r="BI70" s="45"/>
      <c r="BJ70" s="45"/>
      <c r="BK70" s="45"/>
      <c r="BL70" s="45"/>
      <c r="BM70" s="45"/>
      <c r="BN70" s="45"/>
      <c r="BO70" s="45"/>
      <c r="BP70" s="45">
        <v>0.1098584125490208</v>
      </c>
      <c r="BQ70" s="45">
        <v>1.222467158975195</v>
      </c>
      <c r="BR70" s="45">
        <v>11391.275868308678</v>
      </c>
      <c r="BS70" s="45"/>
      <c r="BT70" s="45">
        <v>92.350724740642832</v>
      </c>
      <c r="BU70" s="45"/>
      <c r="BV70" s="45">
        <v>12103.407605051845</v>
      </c>
      <c r="BW70" s="45">
        <v>149.85268855662011</v>
      </c>
      <c r="BX70" s="45"/>
      <c r="BY70" s="45">
        <v>21781.724823144388</v>
      </c>
      <c r="BZ70" s="45">
        <v>3405.4258801377587</v>
      </c>
      <c r="CA70" s="45">
        <v>5.7727095857467807</v>
      </c>
      <c r="CB70" s="45">
        <v>32342.593529874761</v>
      </c>
      <c r="CC70" s="45">
        <v>544815.84404894174</v>
      </c>
      <c r="CD70" s="45">
        <v>159.53613042753679</v>
      </c>
      <c r="CE70" s="45">
        <v>16593.807948945123</v>
      </c>
      <c r="CF70" s="45">
        <v>7045.1925357796126</v>
      </c>
      <c r="CG70" s="45"/>
      <c r="CH70" s="45"/>
      <c r="CI70" s="45">
        <v>860.50720126836325</v>
      </c>
      <c r="CJ70" s="45"/>
      <c r="CK70" s="45"/>
      <c r="CL70" s="45"/>
      <c r="CM70" s="45"/>
      <c r="CN70" s="45"/>
      <c r="CO70" s="45"/>
      <c r="CP70" s="45">
        <v>275906.79092621838</v>
      </c>
      <c r="CQ70" s="45"/>
      <c r="CR70" s="45"/>
      <c r="CS70" s="45"/>
      <c r="CT70" s="45"/>
      <c r="CU70" s="45"/>
      <c r="CV70" s="45"/>
      <c r="CW70" s="45"/>
      <c r="CX70" s="45"/>
      <c r="CY70" s="45"/>
      <c r="CZ70" s="45">
        <v>13.29231144010271</v>
      </c>
      <c r="DA70" s="45">
        <v>13.11127072035878</v>
      </c>
      <c r="DB70" s="45">
        <v>672236878.18499124</v>
      </c>
      <c r="DC70" s="45"/>
      <c r="DD70" s="45">
        <v>23369499.651567943</v>
      </c>
      <c r="DE70" s="45"/>
      <c r="DF70" s="45">
        <v>778190148.68292677</v>
      </c>
      <c r="DG70" s="45">
        <v>99467585.114982575</v>
      </c>
      <c r="DH70" s="45"/>
      <c r="DI70" s="45">
        <v>2403170696.4738674</v>
      </c>
      <c r="DJ70" s="45">
        <v>162491238.57839721</v>
      </c>
      <c r="DK70" s="45">
        <v>72977375.888501748</v>
      </c>
      <c r="DL70" s="45">
        <v>269476949.93006992</v>
      </c>
      <c r="DM70" s="45">
        <v>419822688.33449477</v>
      </c>
      <c r="DN70" s="45">
        <v>48151305.811846688</v>
      </c>
      <c r="DO70" s="45">
        <v>104564334.99300699</v>
      </c>
      <c r="DP70" s="45">
        <v>98926319.888111889</v>
      </c>
      <c r="DQ70" s="45"/>
      <c r="DR70" s="45"/>
      <c r="DS70" s="45">
        <v>24156887.860627178</v>
      </c>
      <c r="DT70" s="45"/>
      <c r="DU70" s="45"/>
      <c r="DV70" s="45"/>
      <c r="DW70" s="45"/>
      <c r="DX70" s="45"/>
      <c r="DY70" s="45"/>
      <c r="DZ70" s="45">
        <v>132310190.82926829</v>
      </c>
      <c r="EA70" s="45"/>
      <c r="EB70" s="45"/>
      <c r="EC70" s="45"/>
      <c r="ED70" s="45"/>
      <c r="EE70" s="45"/>
      <c r="EF70" s="45"/>
      <c r="EG70" s="45"/>
      <c r="EH70" s="45"/>
      <c r="EI70" s="45"/>
      <c r="EJ70" s="45">
        <v>69692774.041958049</v>
      </c>
      <c r="EK70" s="45">
        <v>28644969.254355401</v>
      </c>
      <c r="EL70" s="45">
        <v>11.710916432293176</v>
      </c>
      <c r="EM70" s="45">
        <v>22.193378108252194</v>
      </c>
      <c r="EN70" s="45">
        <v>10.484864038210118</v>
      </c>
      <c r="EO70" s="45"/>
      <c r="EP70" s="45"/>
      <c r="EQ70" s="45"/>
    </row>
    <row r="71" spans="1:236" s="92" customFormat="1" ht="15" customHeight="1" x14ac:dyDescent="0.25">
      <c r="A71" s="106" t="s">
        <v>747</v>
      </c>
      <c r="B71" s="136" t="s">
        <v>899</v>
      </c>
      <c r="C71" s="108" t="s">
        <v>748</v>
      </c>
      <c r="D71" s="107" t="s">
        <v>537</v>
      </c>
      <c r="E71" s="107" t="s">
        <v>191</v>
      </c>
      <c r="F71" s="118" t="s">
        <v>48</v>
      </c>
      <c r="G71" s="118">
        <v>16</v>
      </c>
      <c r="H71" s="118">
        <v>256</v>
      </c>
      <c r="I71" s="106"/>
      <c r="J71" s="53" t="s">
        <v>233</v>
      </c>
      <c r="K71" s="45">
        <v>3044.2351145038169</v>
      </c>
      <c r="L71" s="45">
        <v>10358.946775316703</v>
      </c>
      <c r="M71" s="45">
        <v>570.64080960117019</v>
      </c>
      <c r="N71" s="45"/>
      <c r="O71" s="45"/>
      <c r="P71" s="45"/>
      <c r="Q71" s="45">
        <v>7.4469990766938947</v>
      </c>
      <c r="R71" s="45"/>
      <c r="S71" s="45"/>
      <c r="T71" s="45"/>
      <c r="U71" s="45">
        <v>41645.360487791317</v>
      </c>
      <c r="V71" s="45"/>
      <c r="W71" s="45"/>
      <c r="X71" s="45"/>
      <c r="Y71" s="45"/>
      <c r="Z71" s="45"/>
      <c r="AA71" s="45"/>
      <c r="AB71" s="45"/>
      <c r="AC71" s="45"/>
      <c r="AD71" s="45"/>
      <c r="AE71" s="45">
        <v>98.584289023569781</v>
      </c>
      <c r="AF71" s="45">
        <v>41619.297068863874</v>
      </c>
      <c r="AG71" s="45">
        <v>24285.19920600663</v>
      </c>
      <c r="AH71" s="45">
        <v>3.1368976179371471</v>
      </c>
      <c r="AI71" s="45"/>
      <c r="AJ71" s="45">
        <v>0.15362254128786057</v>
      </c>
      <c r="AK71" s="45"/>
      <c r="AL71" s="45">
        <v>3.3028146973603563</v>
      </c>
      <c r="AM71" s="45">
        <v>0.10089863300573847</v>
      </c>
      <c r="AN71" s="45"/>
      <c r="AO71" s="45">
        <v>14.699021213296774</v>
      </c>
      <c r="AP71" s="45">
        <v>1.3897390486223147</v>
      </c>
      <c r="AQ71" s="45">
        <v>0.23265682785407185</v>
      </c>
      <c r="AR71" s="45">
        <v>0.68858786332830424</v>
      </c>
      <c r="AS71" s="45">
        <v>15.112933897822071</v>
      </c>
      <c r="AT71" s="45">
        <v>9.1100710437796162E-2</v>
      </c>
      <c r="AU71" s="45"/>
      <c r="AV71" s="45">
        <v>0.7955905650609868</v>
      </c>
      <c r="AW71" s="45">
        <v>0.81855515128216516</v>
      </c>
      <c r="AX71" s="45">
        <v>1.0607575182067861</v>
      </c>
      <c r="AY71" s="45">
        <v>3.9741510429127332E-2</v>
      </c>
      <c r="AZ71" s="45"/>
      <c r="BA71" s="45"/>
      <c r="BB71" s="45"/>
      <c r="BC71" s="45"/>
      <c r="BD71" s="45"/>
      <c r="BE71" s="45"/>
      <c r="BF71" s="45">
        <v>2.9490058164956396</v>
      </c>
      <c r="BG71" s="45"/>
      <c r="BH71" s="45"/>
      <c r="BI71" s="45"/>
      <c r="BJ71" s="45"/>
      <c r="BK71" s="45"/>
      <c r="BL71" s="45"/>
      <c r="BM71" s="45"/>
      <c r="BN71" s="45"/>
      <c r="BO71" s="45"/>
      <c r="BP71" s="45">
        <v>0.10097756724923561</v>
      </c>
      <c r="BQ71" s="45">
        <v>0.90484016916207133</v>
      </c>
      <c r="BR71" s="45">
        <v>47697.301341131861</v>
      </c>
      <c r="BS71" s="45"/>
      <c r="BT71" s="45">
        <v>90.283845110612759</v>
      </c>
      <c r="BU71" s="45"/>
      <c r="BV71" s="45">
        <v>15586.319306359252</v>
      </c>
      <c r="BW71" s="45">
        <v>24.671844685921798</v>
      </c>
      <c r="BX71" s="45"/>
      <c r="BY71" s="45">
        <v>138743.50493817849</v>
      </c>
      <c r="BZ71" s="45">
        <v>126901.71692932471</v>
      </c>
      <c r="CA71" s="45">
        <v>7.5976810316354442</v>
      </c>
      <c r="CB71" s="45">
        <v>444.00217501674086</v>
      </c>
      <c r="CC71" s="45">
        <v>391638.01667672035</v>
      </c>
      <c r="CD71" s="45">
        <v>156.91991430370274</v>
      </c>
      <c r="CE71" s="45"/>
      <c r="CF71" s="45">
        <v>14728.079754366503</v>
      </c>
      <c r="CG71" s="45">
        <v>20377.063334170038</v>
      </c>
      <c r="CH71" s="45">
        <v>1015.9569087282091</v>
      </c>
      <c r="CI71" s="45">
        <v>131.76075938649555</v>
      </c>
      <c r="CJ71" s="45"/>
      <c r="CK71" s="45"/>
      <c r="CL71" s="45"/>
      <c r="CM71" s="45"/>
      <c r="CN71" s="45"/>
      <c r="CO71" s="45"/>
      <c r="CP71" s="45">
        <v>189440.79999693736</v>
      </c>
      <c r="CQ71" s="45"/>
      <c r="CR71" s="45"/>
      <c r="CS71" s="45"/>
      <c r="CT71" s="45"/>
      <c r="CU71" s="45"/>
      <c r="CV71" s="45"/>
      <c r="CW71" s="45"/>
      <c r="CX71" s="45"/>
      <c r="CY71" s="45"/>
      <c r="CZ71" s="45">
        <v>13.320544819051984</v>
      </c>
      <c r="DA71" s="45">
        <v>1.1531045384854526</v>
      </c>
      <c r="DB71" s="45">
        <v>567585546.24000001</v>
      </c>
      <c r="DC71" s="45"/>
      <c r="DD71" s="45">
        <v>22409836.036697246</v>
      </c>
      <c r="DE71" s="45"/>
      <c r="DF71" s="45">
        <v>164066119.2415902</v>
      </c>
      <c r="DG71" s="45">
        <v>18442411.969465651</v>
      </c>
      <c r="DH71" s="45"/>
      <c r="DI71" s="45">
        <v>1414842111.2171254</v>
      </c>
      <c r="DJ71" s="45">
        <v>189441271.38837922</v>
      </c>
      <c r="DK71" s="45">
        <v>69034585.247706428</v>
      </c>
      <c r="DL71" s="45">
        <v>224448618.47094801</v>
      </c>
      <c r="DM71" s="45">
        <v>404068123.74961829</v>
      </c>
      <c r="DN71" s="45">
        <v>47129396.452599391</v>
      </c>
      <c r="DO71" s="45"/>
      <c r="DP71" s="45">
        <v>92083046.556574926</v>
      </c>
      <c r="DQ71" s="45">
        <v>87959096.888888896</v>
      </c>
      <c r="DR71" s="45">
        <v>108563302.55657493</v>
      </c>
      <c r="DS71" s="45">
        <v>22124003.077862594</v>
      </c>
      <c r="DT71" s="45"/>
      <c r="DU71" s="45"/>
      <c r="DV71" s="45"/>
      <c r="DW71" s="45"/>
      <c r="DX71" s="45"/>
      <c r="DY71" s="45"/>
      <c r="DZ71" s="45">
        <v>189726513.32110092</v>
      </c>
      <c r="EA71" s="45"/>
      <c r="EB71" s="45"/>
      <c r="EC71" s="45"/>
      <c r="ED71" s="45"/>
      <c r="EE71" s="45"/>
      <c r="EF71" s="45"/>
      <c r="EG71" s="45"/>
      <c r="EH71" s="45"/>
      <c r="EI71" s="45"/>
      <c r="EJ71" s="45">
        <v>62713480.220183484</v>
      </c>
      <c r="EK71" s="45">
        <v>24135295.41374046</v>
      </c>
      <c r="EL71" s="45">
        <v>8.7782060169850045</v>
      </c>
      <c r="EM71" s="45">
        <v>15.467419930782095</v>
      </c>
      <c r="EN71" s="45">
        <v>6.6897347471126158</v>
      </c>
      <c r="EO71" s="45"/>
      <c r="EP71" s="45"/>
      <c r="EQ71" s="45"/>
    </row>
    <row r="72" spans="1:236" s="92" customFormat="1" ht="15" customHeight="1" x14ac:dyDescent="0.25">
      <c r="A72" s="106" t="s">
        <v>749</v>
      </c>
      <c r="B72" s="136" t="s">
        <v>900</v>
      </c>
      <c r="C72" s="108" t="s">
        <v>750</v>
      </c>
      <c r="D72" s="107" t="s">
        <v>537</v>
      </c>
      <c r="E72" s="107" t="s">
        <v>191</v>
      </c>
      <c r="F72" s="118" t="s">
        <v>48</v>
      </c>
      <c r="G72" s="118">
        <v>16</v>
      </c>
      <c r="H72" s="118">
        <v>512</v>
      </c>
      <c r="I72" s="106"/>
      <c r="J72" s="53" t="s">
        <v>233</v>
      </c>
      <c r="K72" s="45">
        <v>4137.3952843273228</v>
      </c>
      <c r="L72" s="45">
        <v>8358.6448417288429</v>
      </c>
      <c r="M72" s="45">
        <v>146.61635061147223</v>
      </c>
      <c r="N72" s="45"/>
      <c r="O72" s="45"/>
      <c r="P72" s="45"/>
      <c r="Q72" s="45">
        <v>0.12107985671198647</v>
      </c>
      <c r="R72" s="45">
        <v>45738.940483987142</v>
      </c>
      <c r="S72" s="45"/>
      <c r="T72" s="45"/>
      <c r="U72" s="45"/>
      <c r="V72" s="45"/>
      <c r="W72" s="45"/>
      <c r="X72" s="45"/>
      <c r="Y72" s="45"/>
      <c r="Z72" s="45"/>
      <c r="AA72" s="45">
        <v>58843.240760406574</v>
      </c>
      <c r="AB72" s="45"/>
      <c r="AC72" s="45"/>
      <c r="AD72" s="45"/>
      <c r="AE72" s="45">
        <v>98.588294217087935</v>
      </c>
      <c r="AF72" s="45">
        <v>36467.489386901267</v>
      </c>
      <c r="AG72" s="45">
        <v>19262.841731713284</v>
      </c>
      <c r="AH72" s="45">
        <v>10.703283446190063</v>
      </c>
      <c r="AI72" s="45"/>
      <c r="AJ72" s="45">
        <v>0.15133399945539247</v>
      </c>
      <c r="AK72" s="45"/>
      <c r="AL72" s="45">
        <v>5.0771778807545953</v>
      </c>
      <c r="AM72" s="45">
        <v>1.0163329565160615</v>
      </c>
      <c r="AN72" s="45"/>
      <c r="AO72" s="45">
        <v>18.628758348740735</v>
      </c>
      <c r="AP72" s="45">
        <v>0.64284348098096633</v>
      </c>
      <c r="AQ72" s="45">
        <v>0.15067754952363835</v>
      </c>
      <c r="AR72" s="45">
        <v>1.6585664265162388</v>
      </c>
      <c r="AS72" s="45">
        <v>15.335354178776942</v>
      </c>
      <c r="AT72" s="45">
        <v>2.8865528492145881E-2</v>
      </c>
      <c r="AU72" s="45">
        <v>2.6679406086564943</v>
      </c>
      <c r="AV72" s="45">
        <v>0.24347060421118938</v>
      </c>
      <c r="AW72" s="45"/>
      <c r="AX72" s="45">
        <v>0.89509656745444832</v>
      </c>
      <c r="AY72" s="45">
        <v>4.5209258013404252E-2</v>
      </c>
      <c r="AZ72" s="45"/>
      <c r="BA72" s="45"/>
      <c r="BB72" s="45"/>
      <c r="BC72" s="45"/>
      <c r="BD72" s="45"/>
      <c r="BE72" s="45"/>
      <c r="BF72" s="45"/>
      <c r="BG72" s="45"/>
      <c r="BH72" s="45"/>
      <c r="BI72" s="45"/>
      <c r="BJ72" s="45"/>
      <c r="BK72" s="45"/>
      <c r="BL72" s="45"/>
      <c r="BM72" s="45"/>
      <c r="BN72" s="45"/>
      <c r="BO72" s="45"/>
      <c r="BP72" s="45">
        <v>0.11675029658094081</v>
      </c>
      <c r="BQ72" s="45">
        <v>0.67375838541602684</v>
      </c>
      <c r="BR72" s="45">
        <v>168270.34553164369</v>
      </c>
      <c r="BS72" s="45"/>
      <c r="BT72" s="45">
        <v>70.196293262498443</v>
      </c>
      <c r="BU72" s="45"/>
      <c r="BV72" s="45">
        <v>15468.626741822802</v>
      </c>
      <c r="BW72" s="45">
        <v>165.03133224852135</v>
      </c>
      <c r="BX72" s="45"/>
      <c r="BY72" s="45">
        <v>62083.221733189115</v>
      </c>
      <c r="BZ72" s="45">
        <v>26416.787706377992</v>
      </c>
      <c r="CA72" s="45">
        <v>1107.3970072573175</v>
      </c>
      <c r="CB72" s="45">
        <v>3076.5421537640432</v>
      </c>
      <c r="CC72" s="45">
        <v>140646.06409805702</v>
      </c>
      <c r="CD72" s="45">
        <v>132.5896263481059</v>
      </c>
      <c r="CE72" s="45">
        <v>225709.76243564775</v>
      </c>
      <c r="CF72" s="45">
        <v>5777.2224423180442</v>
      </c>
      <c r="CG72" s="45"/>
      <c r="CH72" s="45">
        <v>23.496763594051121</v>
      </c>
      <c r="CI72" s="45">
        <v>120.72131350380499</v>
      </c>
      <c r="CJ72" s="45"/>
      <c r="CK72" s="45"/>
      <c r="CL72" s="45"/>
      <c r="CM72" s="45"/>
      <c r="CN72" s="45"/>
      <c r="CO72" s="45"/>
      <c r="CP72" s="45"/>
      <c r="CQ72" s="45"/>
      <c r="CR72" s="45"/>
      <c r="CS72" s="45"/>
      <c r="CT72" s="45"/>
      <c r="CU72" s="45"/>
      <c r="CV72" s="45"/>
      <c r="CW72" s="45"/>
      <c r="CX72" s="45"/>
      <c r="CY72" s="45"/>
      <c r="CZ72" s="45">
        <v>13.241412190057206</v>
      </c>
      <c r="DA72" s="45">
        <v>12.30537631451009</v>
      </c>
      <c r="DB72" s="45">
        <v>501305000.37583894</v>
      </c>
      <c r="DC72" s="45"/>
      <c r="DD72" s="45">
        <v>24613170.773925103</v>
      </c>
      <c r="DE72" s="45"/>
      <c r="DF72" s="45">
        <v>124321551.05882353</v>
      </c>
      <c r="DG72" s="45">
        <v>31852847.933425799</v>
      </c>
      <c r="DH72" s="45"/>
      <c r="DI72" s="45">
        <v>1255379926.8127601</v>
      </c>
      <c r="DJ72" s="45">
        <v>170802910.26907074</v>
      </c>
      <c r="DK72" s="45">
        <v>98183074.263522878</v>
      </c>
      <c r="DL72" s="45">
        <v>211241519.57836339</v>
      </c>
      <c r="DM72" s="45">
        <v>395805330.99583912</v>
      </c>
      <c r="DN72" s="45">
        <v>45245427.21775312</v>
      </c>
      <c r="DO72" s="45">
        <v>121147749.90291262</v>
      </c>
      <c r="DP72" s="45">
        <v>89951579.961165056</v>
      </c>
      <c r="DQ72" s="45"/>
      <c r="DR72" s="45">
        <v>113940999.8113731</v>
      </c>
      <c r="DS72" s="45">
        <v>22367125.481276006</v>
      </c>
      <c r="DT72" s="45"/>
      <c r="DU72" s="45"/>
      <c r="DV72" s="45"/>
      <c r="DW72" s="45"/>
      <c r="DX72" s="45"/>
      <c r="DY72" s="45"/>
      <c r="DZ72" s="45"/>
      <c r="EA72" s="45"/>
      <c r="EB72" s="45"/>
      <c r="EC72" s="45"/>
      <c r="ED72" s="45"/>
      <c r="EE72" s="45"/>
      <c r="EF72" s="45"/>
      <c r="EG72" s="45"/>
      <c r="EH72" s="45"/>
      <c r="EI72" s="45"/>
      <c r="EJ72" s="45">
        <v>63179635.395284325</v>
      </c>
      <c r="EK72" s="45">
        <v>26813273.830790568</v>
      </c>
      <c r="EL72" s="45">
        <v>8.0720474586486635</v>
      </c>
      <c r="EM72" s="45">
        <v>14.483995197000102</v>
      </c>
      <c r="EN72" s="45">
        <v>6.4112493789581446</v>
      </c>
      <c r="EO72" s="45"/>
      <c r="EP72" s="45"/>
      <c r="EQ72" s="45"/>
    </row>
    <row r="73" spans="1:236" s="92" customFormat="1" ht="15" customHeight="1" x14ac:dyDescent="0.25">
      <c r="A73" s="106" t="s">
        <v>751</v>
      </c>
      <c r="B73" s="136" t="s">
        <v>901</v>
      </c>
      <c r="C73" s="108" t="s">
        <v>752</v>
      </c>
      <c r="D73" s="107" t="s">
        <v>533</v>
      </c>
      <c r="E73" s="107" t="s">
        <v>191</v>
      </c>
      <c r="F73" s="118" t="s">
        <v>196</v>
      </c>
      <c r="G73" s="118">
        <v>32</v>
      </c>
      <c r="H73" s="118">
        <v>512</v>
      </c>
      <c r="I73" s="106"/>
      <c r="J73" s="53" t="s">
        <v>233</v>
      </c>
      <c r="K73" s="45">
        <v>14684.726277372263</v>
      </c>
      <c r="L73" s="45">
        <v>9530.4380462202716</v>
      </c>
      <c r="M73" s="45">
        <v>487.40061558187494</v>
      </c>
      <c r="N73" s="45"/>
      <c r="O73" s="45"/>
      <c r="P73" s="45"/>
      <c r="Q73" s="45">
        <v>0.50571763213678445</v>
      </c>
      <c r="R73" s="45">
        <v>22131.405044978594</v>
      </c>
      <c r="S73" s="45"/>
      <c r="T73" s="45"/>
      <c r="U73" s="45"/>
      <c r="V73" s="45"/>
      <c r="W73" s="45"/>
      <c r="X73" s="45"/>
      <c r="Y73" s="45"/>
      <c r="Z73" s="45"/>
      <c r="AA73" s="45"/>
      <c r="AB73" s="45"/>
      <c r="AC73" s="45"/>
      <c r="AD73" s="45">
        <v>35012.701486355436</v>
      </c>
      <c r="AE73" s="45">
        <v>95.999448571474758</v>
      </c>
      <c r="AF73" s="45">
        <v>22746.371980435331</v>
      </c>
      <c r="AG73" s="45">
        <v>16150.363471871007</v>
      </c>
      <c r="AH73" s="45">
        <v>2.1947681825624725</v>
      </c>
      <c r="AI73" s="45"/>
      <c r="AJ73" s="45">
        <v>4.5228835908437202E-2</v>
      </c>
      <c r="AK73" s="45"/>
      <c r="AL73" s="45">
        <v>1.3909591329286144</v>
      </c>
      <c r="AM73" s="45">
        <v>0.94247369759354249</v>
      </c>
      <c r="AN73" s="45"/>
      <c r="AO73" s="45"/>
      <c r="AP73" s="45">
        <v>1.0300181379950766</v>
      </c>
      <c r="AQ73" s="45">
        <v>0.10278507750482785</v>
      </c>
      <c r="AR73" s="45">
        <v>0.55128501986203227</v>
      </c>
      <c r="AS73" s="45">
        <v>11.375735113777804</v>
      </c>
      <c r="AT73" s="45">
        <v>0.18344198959412819</v>
      </c>
      <c r="AU73" s="45"/>
      <c r="AV73" s="45">
        <v>0.57732895401618589</v>
      </c>
      <c r="AW73" s="45">
        <v>3.5222738297446002E-2</v>
      </c>
      <c r="AX73" s="45">
        <v>0.46901829328617034</v>
      </c>
      <c r="AY73" s="45">
        <v>5.0330972063472069E-2</v>
      </c>
      <c r="AZ73" s="45"/>
      <c r="BA73" s="45"/>
      <c r="BB73" s="45"/>
      <c r="BC73" s="45"/>
      <c r="BD73" s="45"/>
      <c r="BE73" s="45"/>
      <c r="BF73" s="45">
        <v>2.4451278019269012</v>
      </c>
      <c r="BG73" s="45"/>
      <c r="BH73" s="45"/>
      <c r="BI73" s="45"/>
      <c r="BJ73" s="45"/>
      <c r="BK73" s="45"/>
      <c r="BL73" s="45"/>
      <c r="BM73" s="45"/>
      <c r="BN73" s="45"/>
      <c r="BO73" s="45"/>
      <c r="BP73" s="45">
        <v>4.5617867696968052E-2</v>
      </c>
      <c r="BQ73" s="45">
        <v>0.4075179933149346</v>
      </c>
      <c r="BR73" s="45">
        <v>10775.42953659741</v>
      </c>
      <c r="BS73" s="45"/>
      <c r="BT73" s="45">
        <v>93.112644021416628</v>
      </c>
      <c r="BU73" s="45"/>
      <c r="BV73" s="45">
        <v>0</v>
      </c>
      <c r="BW73" s="45">
        <v>1648.7304095556026</v>
      </c>
      <c r="BX73" s="45"/>
      <c r="BY73" s="45"/>
      <c r="BZ73" s="45">
        <v>3570.3661199937665</v>
      </c>
      <c r="CA73" s="45">
        <v>9.154767295071812</v>
      </c>
      <c r="CB73" s="45">
        <v>81.865766413199552</v>
      </c>
      <c r="CC73" s="45">
        <v>1267542.7959428662</v>
      </c>
      <c r="CD73" s="45">
        <v>107.87603501738791</v>
      </c>
      <c r="CE73" s="45"/>
      <c r="CF73" s="45">
        <v>6552.9134192806523</v>
      </c>
      <c r="CG73" s="45">
        <v>351.33760282487106</v>
      </c>
      <c r="CH73" s="45">
        <v>34.229542973739733</v>
      </c>
      <c r="CI73" s="45">
        <v>138.41261470240701</v>
      </c>
      <c r="CJ73" s="45"/>
      <c r="CK73" s="45"/>
      <c r="CL73" s="45"/>
      <c r="CM73" s="45"/>
      <c r="CN73" s="45"/>
      <c r="CO73" s="45"/>
      <c r="CP73" s="45">
        <v>388838.49114443921</v>
      </c>
      <c r="CQ73" s="45"/>
      <c r="CR73" s="45"/>
      <c r="CS73" s="45"/>
      <c r="CT73" s="45"/>
      <c r="CU73" s="45"/>
      <c r="CV73" s="45"/>
      <c r="CW73" s="45"/>
      <c r="CX73" s="45"/>
      <c r="CY73" s="45"/>
      <c r="CZ73" s="45">
        <v>12.506287414241726</v>
      </c>
      <c r="DA73" s="45">
        <v>42.878407399899579</v>
      </c>
      <c r="DB73" s="45">
        <v>1142137672.2051282</v>
      </c>
      <c r="DC73" s="45"/>
      <c r="DD73" s="45">
        <v>21341120.234432235</v>
      </c>
      <c r="DE73" s="45"/>
      <c r="DF73" s="45">
        <v>499078339.7647059</v>
      </c>
      <c r="DG73" s="45">
        <v>58568928.23357664</v>
      </c>
      <c r="DH73" s="45"/>
      <c r="DI73" s="45"/>
      <c r="DJ73" s="45">
        <v>132006458.13919415</v>
      </c>
      <c r="DK73" s="45">
        <v>70807792.941176474</v>
      </c>
      <c r="DL73" s="45">
        <v>241283343.05882353</v>
      </c>
      <c r="DM73" s="45">
        <v>391312047.64963502</v>
      </c>
      <c r="DN73" s="45">
        <v>42940183.443223447</v>
      </c>
      <c r="DO73" s="45"/>
      <c r="DP73" s="45">
        <v>100167393.88235295</v>
      </c>
      <c r="DQ73" s="45">
        <v>102190697.41176471</v>
      </c>
      <c r="DR73" s="45">
        <v>120194680.47058824</v>
      </c>
      <c r="DS73" s="45">
        <v>22689821.897810221</v>
      </c>
      <c r="DT73" s="45"/>
      <c r="DU73" s="45"/>
      <c r="DV73" s="45"/>
      <c r="DW73" s="45"/>
      <c r="DX73" s="45"/>
      <c r="DY73" s="45"/>
      <c r="DZ73" s="45">
        <v>111041039.51515152</v>
      </c>
      <c r="EA73" s="45"/>
      <c r="EB73" s="45"/>
      <c r="EC73" s="45"/>
      <c r="ED73" s="45"/>
      <c r="EE73" s="45"/>
      <c r="EF73" s="45"/>
      <c r="EG73" s="45"/>
      <c r="EH73" s="45"/>
      <c r="EI73" s="45"/>
      <c r="EJ73" s="45">
        <v>64477364.705882356</v>
      </c>
      <c r="EK73" s="45">
        <v>28046926.481751826</v>
      </c>
      <c r="EL73" s="45">
        <v>7.9398238381596382</v>
      </c>
      <c r="EM73" s="45">
        <v>15.732336712583461</v>
      </c>
      <c r="EN73" s="45">
        <v>7.4006938379158163</v>
      </c>
      <c r="EO73" s="45"/>
      <c r="EP73" s="45"/>
      <c r="EQ73" s="45"/>
    </row>
    <row r="74" spans="1:236" s="92" customFormat="1" ht="15" customHeight="1" x14ac:dyDescent="0.25">
      <c r="A74" s="106" t="s">
        <v>753</v>
      </c>
      <c r="B74" s="136" t="s">
        <v>863</v>
      </c>
      <c r="C74" s="108" t="s">
        <v>754</v>
      </c>
      <c r="D74" s="107" t="s">
        <v>533</v>
      </c>
      <c r="E74" s="107" t="s">
        <v>191</v>
      </c>
      <c r="F74" s="118" t="s">
        <v>47</v>
      </c>
      <c r="G74" s="118">
        <v>16</v>
      </c>
      <c r="H74" s="118">
        <v>256</v>
      </c>
      <c r="I74" s="106"/>
      <c r="J74" s="53" t="s">
        <v>233</v>
      </c>
      <c r="K74" s="45">
        <v>2977.8259385665528</v>
      </c>
      <c r="L74" s="45">
        <v>5116.3727377329515</v>
      </c>
      <c r="M74" s="45">
        <v>191.75168638411569</v>
      </c>
      <c r="N74" s="45"/>
      <c r="O74" s="45"/>
      <c r="P74" s="45"/>
      <c r="Q74" s="45"/>
      <c r="R74" s="45"/>
      <c r="S74" s="45"/>
      <c r="T74" s="45"/>
      <c r="U74" s="45">
        <v>14243.984708692755</v>
      </c>
      <c r="V74" s="45"/>
      <c r="W74" s="45"/>
      <c r="X74" s="45"/>
      <c r="Y74" s="45"/>
      <c r="Z74" s="45"/>
      <c r="AA74" s="45"/>
      <c r="AB74" s="45"/>
      <c r="AC74" s="45"/>
      <c r="AD74" s="45"/>
      <c r="AE74" s="45">
        <v>98.849908863708407</v>
      </c>
      <c r="AF74" s="45">
        <v>58526.35279147471</v>
      </c>
      <c r="AG74" s="45">
        <v>26565.540533015544</v>
      </c>
      <c r="AH74" s="45">
        <v>12.987018987485408</v>
      </c>
      <c r="AI74" s="45"/>
      <c r="AJ74" s="45">
        <v>0.1912076930963181</v>
      </c>
      <c r="AK74" s="45"/>
      <c r="AL74" s="45">
        <v>2.4311372851941391</v>
      </c>
      <c r="AM74" s="45">
        <v>7.9016639381013942E-2</v>
      </c>
      <c r="AN74" s="45"/>
      <c r="AO74" s="45">
        <v>1.6042314362742667</v>
      </c>
      <c r="AP74" s="45">
        <v>3.4604984894717875E-2</v>
      </c>
      <c r="AQ74" s="45">
        <v>0.2420449392915236</v>
      </c>
      <c r="AR74" s="45">
        <v>0.99957410445333483</v>
      </c>
      <c r="AS74" s="45">
        <v>6.0879488550591834</v>
      </c>
      <c r="AT74" s="45">
        <v>2.8361780303335544E-2</v>
      </c>
      <c r="AU74" s="45">
        <v>1.0247457566871772</v>
      </c>
      <c r="AV74" s="45">
        <v>8.8655631120554856E-2</v>
      </c>
      <c r="AW74" s="45">
        <v>2.8540477386703343E-3</v>
      </c>
      <c r="AX74" s="45">
        <v>0.68189659117396229</v>
      </c>
      <c r="AY74" s="45">
        <v>2.9964750436127952E-2</v>
      </c>
      <c r="AZ74" s="45"/>
      <c r="BA74" s="45"/>
      <c r="BB74" s="45"/>
      <c r="BC74" s="45"/>
      <c r="BD74" s="45"/>
      <c r="BE74" s="45"/>
      <c r="BF74" s="45"/>
      <c r="BG74" s="45"/>
      <c r="BH74" s="45"/>
      <c r="BI74" s="45"/>
      <c r="BJ74" s="45"/>
      <c r="BK74" s="45"/>
      <c r="BL74" s="45"/>
      <c r="BM74" s="45"/>
      <c r="BN74" s="45"/>
      <c r="BO74" s="45"/>
      <c r="BP74" s="45">
        <v>5.7612241372595095E-2</v>
      </c>
      <c r="BQ74" s="45">
        <v>0.17640560387776502</v>
      </c>
      <c r="BR74" s="45">
        <v>112580.53598761246</v>
      </c>
      <c r="BS74" s="45"/>
      <c r="BT74" s="45">
        <v>108.15636856159838</v>
      </c>
      <c r="BU74" s="45"/>
      <c r="BV74" s="45">
        <v>17780.667606504885</v>
      </c>
      <c r="BW74" s="45">
        <v>26.444223922381404</v>
      </c>
      <c r="BX74" s="45"/>
      <c r="BY74" s="45">
        <v>10508.802443564708</v>
      </c>
      <c r="BZ74" s="45">
        <v>554.16274039555879</v>
      </c>
      <c r="CA74" s="45">
        <v>5.6637746424864863</v>
      </c>
      <c r="CB74" s="45">
        <v>18052.699443181926</v>
      </c>
      <c r="CC74" s="45">
        <v>123507.59661532298</v>
      </c>
      <c r="CD74" s="45">
        <v>112.80203347989153</v>
      </c>
      <c r="CE74" s="45">
        <v>44300.861260929276</v>
      </c>
      <c r="CF74" s="45">
        <v>5708.3048236169161</v>
      </c>
      <c r="CG74" s="45">
        <v>0.43688534431963277</v>
      </c>
      <c r="CH74" s="45">
        <v>30.76569507569728</v>
      </c>
      <c r="CI74" s="45">
        <v>135.19445501875313</v>
      </c>
      <c r="CJ74" s="45"/>
      <c r="CK74" s="45"/>
      <c r="CL74" s="45"/>
      <c r="CM74" s="45"/>
      <c r="CN74" s="45"/>
      <c r="CO74" s="45"/>
      <c r="CP74" s="45"/>
      <c r="CQ74" s="45"/>
      <c r="CR74" s="45"/>
      <c r="CS74" s="45"/>
      <c r="CT74" s="45"/>
      <c r="CU74" s="45"/>
      <c r="CV74" s="45"/>
      <c r="CW74" s="45"/>
      <c r="CX74" s="45"/>
      <c r="CY74" s="45"/>
      <c r="CZ74" s="45">
        <v>13.296645600082762</v>
      </c>
      <c r="DA74" s="45">
        <v>8.1288652092669746</v>
      </c>
      <c r="DB74" s="45">
        <v>967526800.69565213</v>
      </c>
      <c r="DC74" s="45"/>
      <c r="DD74" s="45">
        <v>28887033.010238908</v>
      </c>
      <c r="DE74" s="45"/>
      <c r="DF74" s="45">
        <v>846923387.32846713</v>
      </c>
      <c r="DG74" s="45">
        <v>33073969.802047782</v>
      </c>
      <c r="DH74" s="45"/>
      <c r="DI74" s="45">
        <v>1012007624.9556314</v>
      </c>
      <c r="DJ74" s="45">
        <v>119566531.71331058</v>
      </c>
      <c r="DK74" s="45">
        <v>79078033.037542656</v>
      </c>
      <c r="DL74" s="45">
        <v>272273603.7133106</v>
      </c>
      <c r="DM74" s="45">
        <v>379104007.86348122</v>
      </c>
      <c r="DN74" s="45">
        <v>45582091.358361773</v>
      </c>
      <c r="DO74" s="45">
        <v>182443360.98293516</v>
      </c>
      <c r="DP74" s="45">
        <v>103803558.00682594</v>
      </c>
      <c r="DQ74" s="45">
        <v>98657989.460750848</v>
      </c>
      <c r="DR74" s="45">
        <v>114561722.97610922</v>
      </c>
      <c r="DS74" s="45">
        <v>22815670.607508533</v>
      </c>
      <c r="DT74" s="45"/>
      <c r="DU74" s="45"/>
      <c r="DV74" s="45"/>
      <c r="DW74" s="45"/>
      <c r="DX74" s="45"/>
      <c r="DY74" s="45"/>
      <c r="DZ74" s="45"/>
      <c r="EA74" s="45"/>
      <c r="EB74" s="45"/>
      <c r="EC74" s="45"/>
      <c r="ED74" s="45"/>
      <c r="EE74" s="45"/>
      <c r="EF74" s="45"/>
      <c r="EG74" s="45"/>
      <c r="EH74" s="45"/>
      <c r="EI74" s="45"/>
      <c r="EJ74" s="45">
        <v>67075187.331058018</v>
      </c>
      <c r="EK74" s="45">
        <v>26466087.317406144</v>
      </c>
      <c r="EL74" s="45">
        <v>1.6935623327303935</v>
      </c>
      <c r="EM74" s="45">
        <v>3.4936206141926291</v>
      </c>
      <c r="EN74" s="45">
        <v>1.799704701785567</v>
      </c>
      <c r="EO74" s="45"/>
      <c r="EP74" s="45"/>
      <c r="EQ74" s="45"/>
    </row>
    <row r="75" spans="1:236" s="106" customFormat="1" ht="15" customHeight="1" x14ac:dyDescent="0.25">
      <c r="A75" s="106" t="s">
        <v>551</v>
      </c>
      <c r="B75" s="136" t="s">
        <v>902</v>
      </c>
      <c r="C75" s="108" t="s">
        <v>559</v>
      </c>
      <c r="D75" s="107" t="s">
        <v>539</v>
      </c>
      <c r="E75" s="107" t="s">
        <v>191</v>
      </c>
      <c r="F75" s="118" t="s">
        <v>48</v>
      </c>
      <c r="G75" s="118">
        <v>16</v>
      </c>
      <c r="H75" s="118">
        <v>256</v>
      </c>
      <c r="J75" s="53" t="s">
        <v>233</v>
      </c>
      <c r="K75" s="45">
        <v>2260.8294036061025</v>
      </c>
      <c r="L75" s="45">
        <v>7555.5737982901846</v>
      </c>
      <c r="M75" s="45">
        <v>621.01907837826047</v>
      </c>
      <c r="N75" s="45"/>
      <c r="O75" s="45"/>
      <c r="P75" s="45"/>
      <c r="Q75" s="45"/>
      <c r="R75" s="45"/>
      <c r="S75" s="45"/>
      <c r="T75" s="45"/>
      <c r="U75" s="45">
        <v>63167.268076837885</v>
      </c>
      <c r="V75" s="45"/>
      <c r="W75" s="45"/>
      <c r="X75" s="45"/>
      <c r="Y75" s="45"/>
      <c r="Z75" s="45"/>
      <c r="AA75" s="45"/>
      <c r="AB75" s="45"/>
      <c r="AC75" s="45"/>
      <c r="AD75" s="45"/>
      <c r="AE75" s="45">
        <v>97.651447368119022</v>
      </c>
      <c r="AF75" s="45">
        <v>46641.613869485394</v>
      </c>
      <c r="AG75" s="45">
        <v>38854.902346923671</v>
      </c>
      <c r="AH75" s="45">
        <v>1.7709312153214805</v>
      </c>
      <c r="AI75" s="45"/>
      <c r="AJ75" s="45">
        <v>0.11028463818882393</v>
      </c>
      <c r="AK75" s="45"/>
      <c r="AL75" s="45">
        <v>8.8790329258884224</v>
      </c>
      <c r="AM75" s="45">
        <v>0.28502925337101698</v>
      </c>
      <c r="AN75" s="45"/>
      <c r="AO75" s="45">
        <v>14.720151346593035</v>
      </c>
      <c r="AP75" s="45">
        <v>0.10789033629334835</v>
      </c>
      <c r="AQ75" s="45">
        <v>0.18240216795204123</v>
      </c>
      <c r="AR75" s="45">
        <v>2.5606431172924622</v>
      </c>
      <c r="AS75" s="45">
        <v>7.4188977730227714</v>
      </c>
      <c r="AT75" s="45">
        <v>8.5461410640863392E-2</v>
      </c>
      <c r="AU75" s="45">
        <v>7.5627844578969778</v>
      </c>
      <c r="AV75" s="45">
        <v>0.40162028751135409</v>
      </c>
      <c r="AW75" s="45"/>
      <c r="AX75" s="45">
        <v>0.68154066234310429</v>
      </c>
      <c r="AY75" s="45">
        <v>1.7009775366066727E-2</v>
      </c>
      <c r="AZ75" s="45">
        <v>0.37293623111696889</v>
      </c>
      <c r="BA75" s="45"/>
      <c r="BB75" s="45"/>
      <c r="BC75" s="45"/>
      <c r="BD75" s="45"/>
      <c r="BE75" s="45"/>
      <c r="BF75" s="45"/>
      <c r="BG75" s="45"/>
      <c r="BH75" s="45"/>
      <c r="BI75" s="45"/>
      <c r="BJ75" s="45"/>
      <c r="BK75" s="45"/>
      <c r="BL75" s="45"/>
      <c r="BM75" s="45"/>
      <c r="BN75" s="45"/>
      <c r="BO75" s="45"/>
      <c r="BP75" s="45"/>
      <c r="BQ75" s="45">
        <v>0.26998404472589133</v>
      </c>
      <c r="BR75" s="45">
        <v>12495.7300028515</v>
      </c>
      <c r="BS75" s="45"/>
      <c r="BT75" s="45">
        <v>84.796441517965476</v>
      </c>
      <c r="BU75" s="45"/>
      <c r="BV75" s="45">
        <v>227619.4104098079</v>
      </c>
      <c r="BW75" s="45">
        <v>29.894427365091765</v>
      </c>
      <c r="BX75" s="45"/>
      <c r="BY75" s="45">
        <v>21838.769049740571</v>
      </c>
      <c r="BZ75" s="45">
        <v>1274.2010953730974</v>
      </c>
      <c r="CA75" s="45">
        <v>97.190208846469176</v>
      </c>
      <c r="CB75" s="45">
        <v>110128.97202830709</v>
      </c>
      <c r="CC75" s="45">
        <v>306496.14366147824</v>
      </c>
      <c r="CD75" s="45">
        <v>1000.2606180633439</v>
      </c>
      <c r="CE75" s="45">
        <v>131825.51211422906</v>
      </c>
      <c r="CF75" s="45">
        <v>5210.6547809466138</v>
      </c>
      <c r="CG75" s="45"/>
      <c r="CH75" s="45">
        <v>25.570626302846343</v>
      </c>
      <c r="CI75" s="45">
        <v>147.9249884175895</v>
      </c>
      <c r="CJ75" s="45">
        <v>659.80359696884932</v>
      </c>
      <c r="CK75" s="45"/>
      <c r="CL75" s="45"/>
      <c r="CM75" s="45"/>
      <c r="CN75" s="45"/>
      <c r="CO75" s="45"/>
      <c r="CP75" s="45"/>
      <c r="CQ75" s="45"/>
      <c r="CR75" s="45"/>
      <c r="CS75" s="45"/>
      <c r="CT75" s="45"/>
      <c r="CU75" s="45"/>
      <c r="CV75" s="45"/>
      <c r="CW75" s="45"/>
      <c r="CX75" s="45"/>
      <c r="CY75" s="45"/>
      <c r="CZ75" s="45"/>
      <c r="DA75" s="45">
        <v>19.598884865940587</v>
      </c>
      <c r="DB75" s="45">
        <v>591424096.71111107</v>
      </c>
      <c r="DC75" s="45"/>
      <c r="DD75" s="45">
        <v>24760217.742024966</v>
      </c>
      <c r="DE75" s="45"/>
      <c r="DF75" s="45">
        <v>568788615.1212554</v>
      </c>
      <c r="DG75" s="45">
        <v>21749913.386962552</v>
      </c>
      <c r="DH75" s="45"/>
      <c r="DI75" s="45">
        <v>1490925718.5464633</v>
      </c>
      <c r="DJ75" s="45">
        <v>131793282.30790569</v>
      </c>
      <c r="DK75" s="45">
        <v>108387164.67128988</v>
      </c>
      <c r="DL75" s="45">
        <v>344458062.46879333</v>
      </c>
      <c r="DM75" s="45">
        <v>378520881.35367543</v>
      </c>
      <c r="DN75" s="45">
        <v>47771346.907073513</v>
      </c>
      <c r="DO75" s="45">
        <v>411285728.39944524</v>
      </c>
      <c r="DP75" s="45">
        <v>100895063.70041609</v>
      </c>
      <c r="DQ75" s="45"/>
      <c r="DR75" s="45">
        <v>116837701.23717059</v>
      </c>
      <c r="DS75" s="45">
        <v>22005393.575589459</v>
      </c>
      <c r="DT75" s="45">
        <v>384592454.30235785</v>
      </c>
      <c r="DU75" s="45"/>
      <c r="DV75" s="45"/>
      <c r="DW75" s="45"/>
      <c r="DX75" s="45"/>
      <c r="DY75" s="45"/>
      <c r="DZ75" s="45"/>
      <c r="EA75" s="45"/>
      <c r="EB75" s="45"/>
      <c r="EC75" s="45"/>
      <c r="ED75" s="45"/>
      <c r="EE75" s="45"/>
      <c r="EF75" s="45"/>
      <c r="EG75" s="45"/>
      <c r="EH75" s="45"/>
      <c r="EI75" s="45"/>
      <c r="EJ75" s="45"/>
      <c r="EK75" s="45">
        <v>26459336.255201109</v>
      </c>
      <c r="EL75" s="45">
        <v>7.1111069838283782</v>
      </c>
      <c r="EM75" s="45">
        <v>13.85041137991854</v>
      </c>
      <c r="EN75" s="45">
        <v>6.5982401049948836</v>
      </c>
      <c r="EO75" s="45"/>
      <c r="EP75" s="45"/>
      <c r="EQ75" s="45"/>
      <c r="ER75" s="45"/>
      <c r="ES75" s="45"/>
      <c r="ET75" s="45"/>
      <c r="EU75" s="45"/>
      <c r="EV75" s="45"/>
      <c r="EW75" s="45"/>
      <c r="EX75" s="45"/>
      <c r="EY75" s="45"/>
      <c r="EZ75" s="45"/>
      <c r="FA75" s="45"/>
      <c r="FB75" s="45"/>
      <c r="FC75" s="45"/>
      <c r="FD75" s="45"/>
      <c r="FE75" s="45"/>
      <c r="FF75" s="45"/>
      <c r="FG75" s="45"/>
      <c r="FH75" s="45"/>
      <c r="FI75" s="45"/>
      <c r="FJ75" s="45"/>
      <c r="FK75" s="45"/>
      <c r="FL75" s="45"/>
      <c r="FM75" s="45"/>
      <c r="FN75" s="45"/>
      <c r="FO75" s="45"/>
      <c r="FP75" s="45"/>
      <c r="FQ75" s="45"/>
      <c r="FR75" s="45"/>
      <c r="FS75" s="45"/>
      <c r="FT75" s="45"/>
      <c r="FU75" s="45"/>
      <c r="FV75" s="45"/>
      <c r="FW75" s="45"/>
      <c r="FX75" s="45"/>
      <c r="FY75" s="45"/>
      <c r="FZ75" s="45"/>
      <c r="GA75" s="45"/>
      <c r="GB75" s="45"/>
      <c r="GC75" s="45"/>
      <c r="GD75" s="45"/>
      <c r="GE75" s="45"/>
      <c r="GF75" s="45"/>
      <c r="GG75" s="45"/>
      <c r="GH75" s="45"/>
      <c r="GI75" s="45"/>
      <c r="GJ75" s="45"/>
      <c r="GK75" s="45"/>
      <c r="GL75" s="45"/>
      <c r="GM75" s="45"/>
      <c r="GN75" s="45"/>
      <c r="GO75" s="45"/>
      <c r="GP75" s="45"/>
      <c r="GQ75" s="45"/>
      <c r="GR75" s="45"/>
      <c r="GS75" s="45"/>
      <c r="GT75" s="45"/>
      <c r="GU75" s="45"/>
      <c r="GV75" s="45"/>
      <c r="GW75" s="45"/>
      <c r="GX75" s="45"/>
      <c r="GY75" s="45"/>
      <c r="GZ75" s="45"/>
      <c r="HA75" s="45"/>
      <c r="HB75" s="45"/>
      <c r="HC75" s="45"/>
      <c r="HD75" s="45"/>
      <c r="HE75" s="45"/>
      <c r="HF75" s="45"/>
      <c r="HG75" s="45"/>
      <c r="HH75" s="45"/>
      <c r="HI75" s="45"/>
      <c r="HJ75" s="45"/>
      <c r="HK75" s="45"/>
      <c r="HL75" s="45"/>
      <c r="HM75" s="45"/>
      <c r="HN75" s="45"/>
      <c r="HO75" s="45"/>
      <c r="HP75" s="45"/>
      <c r="HQ75" s="45"/>
      <c r="HR75" s="45"/>
      <c r="HS75" s="45"/>
      <c r="HT75" s="45"/>
      <c r="HU75" s="45"/>
      <c r="HV75" s="45"/>
      <c r="HW75" s="45"/>
      <c r="HX75" s="45"/>
      <c r="HY75" s="45"/>
      <c r="HZ75" s="45"/>
      <c r="IA75" s="45"/>
      <c r="IB75" s="45"/>
    </row>
    <row r="76" spans="1:236" s="92" customFormat="1" ht="15" customHeight="1" x14ac:dyDescent="0.25">
      <c r="A76" s="102" t="s">
        <v>755</v>
      </c>
      <c r="B76" s="137"/>
      <c r="C76" s="104" t="s">
        <v>756</v>
      </c>
      <c r="D76" s="103" t="s">
        <v>212</v>
      </c>
      <c r="E76" s="103" t="s">
        <v>191</v>
      </c>
      <c r="F76" s="119"/>
      <c r="G76" s="119"/>
      <c r="H76" s="119"/>
      <c r="I76" s="102"/>
      <c r="J76" s="102"/>
      <c r="K76" s="45"/>
      <c r="L76" s="45"/>
      <c r="M76" s="45"/>
      <c r="N76" s="45"/>
      <c r="O76" s="45"/>
      <c r="P76" s="45"/>
      <c r="Q76" s="45"/>
      <c r="R76" s="45"/>
      <c r="S76" s="45"/>
      <c r="T76" s="45"/>
      <c r="U76" s="45"/>
      <c r="V76" s="45"/>
      <c r="W76" s="45"/>
      <c r="X76" s="45"/>
      <c r="Y76" s="45"/>
      <c r="Z76" s="45"/>
      <c r="AA76" s="45"/>
      <c r="AB76" s="45"/>
      <c r="AC76" s="45"/>
      <c r="AD76" s="45"/>
      <c r="AE76" s="45"/>
      <c r="AF76" s="45"/>
      <c r="AG76" s="45"/>
      <c r="AH76" s="45"/>
      <c r="AI76" s="45"/>
      <c r="AJ76" s="45"/>
      <c r="AK76" s="45"/>
      <c r="AL76" s="45"/>
      <c r="AM76" s="45"/>
      <c r="AN76" s="45"/>
      <c r="AO76" s="45"/>
      <c r="AP76" s="45"/>
      <c r="AQ76" s="45"/>
      <c r="AR76" s="45"/>
      <c r="AS76" s="45"/>
      <c r="AT76" s="45"/>
      <c r="AU76" s="45"/>
      <c r="AV76" s="45"/>
      <c r="AW76" s="45"/>
      <c r="AX76" s="45"/>
      <c r="AY76" s="45"/>
      <c r="AZ76" s="45"/>
      <c r="BA76" s="45"/>
      <c r="BB76" s="45"/>
      <c r="BC76" s="45"/>
      <c r="BD76" s="45"/>
      <c r="BE76" s="45"/>
      <c r="BF76" s="45"/>
      <c r="BG76" s="45"/>
      <c r="BH76" s="45"/>
      <c r="BI76" s="45"/>
      <c r="BJ76" s="45"/>
      <c r="BK76" s="45"/>
      <c r="BL76" s="45"/>
      <c r="BM76" s="45"/>
      <c r="BN76" s="45"/>
      <c r="BO76" s="45"/>
      <c r="BP76" s="45"/>
      <c r="BQ76" s="45"/>
      <c r="BR76" s="45"/>
      <c r="BS76" s="45"/>
      <c r="BT76" s="45"/>
      <c r="BU76" s="45"/>
      <c r="BV76" s="45"/>
      <c r="BW76" s="45"/>
      <c r="BX76" s="45"/>
      <c r="BY76" s="45"/>
      <c r="BZ76" s="45"/>
      <c r="CA76" s="45"/>
      <c r="CB76" s="45"/>
      <c r="CC76" s="45"/>
      <c r="CD76" s="45"/>
      <c r="CE76" s="45"/>
      <c r="CF76" s="45"/>
      <c r="CG76" s="45"/>
      <c r="CH76" s="45"/>
      <c r="CI76" s="45"/>
      <c r="CJ76" s="45"/>
      <c r="CK76" s="45"/>
      <c r="CL76" s="45"/>
      <c r="CM76" s="45"/>
      <c r="CN76" s="45"/>
      <c r="CO76" s="45"/>
      <c r="CP76" s="45"/>
      <c r="CQ76" s="45"/>
      <c r="CR76" s="45"/>
      <c r="CS76" s="45"/>
      <c r="CT76" s="45"/>
      <c r="CU76" s="45"/>
      <c r="CV76" s="45"/>
      <c r="CW76" s="45"/>
      <c r="CX76" s="45"/>
      <c r="CY76" s="45"/>
      <c r="CZ76" s="45"/>
      <c r="DA76" s="45"/>
      <c r="DB76" s="45"/>
      <c r="DC76" s="45"/>
      <c r="DD76" s="45"/>
      <c r="DE76" s="45"/>
      <c r="DF76" s="45"/>
      <c r="DG76" s="45"/>
      <c r="DH76" s="45"/>
      <c r="DI76" s="45"/>
      <c r="DJ76" s="45"/>
      <c r="DK76" s="45"/>
      <c r="DL76" s="45"/>
      <c r="DM76" s="45"/>
      <c r="DN76" s="45"/>
      <c r="DO76" s="45"/>
      <c r="DP76" s="45"/>
      <c r="DQ76" s="45"/>
      <c r="DR76" s="45"/>
      <c r="DS76" s="45"/>
      <c r="DT76" s="45"/>
      <c r="DU76" s="45"/>
      <c r="DV76" s="45"/>
      <c r="DW76" s="45"/>
      <c r="DX76" s="45"/>
      <c r="DY76" s="45"/>
      <c r="DZ76" s="45"/>
      <c r="EA76" s="45"/>
      <c r="EB76" s="45"/>
      <c r="EC76" s="45"/>
      <c r="ED76" s="45"/>
      <c r="EE76" s="45"/>
      <c r="EF76" s="45"/>
      <c r="EG76" s="45"/>
      <c r="EH76" s="45"/>
      <c r="EI76" s="45"/>
      <c r="EJ76" s="45"/>
      <c r="EK76" s="45"/>
      <c r="EL76" s="45"/>
      <c r="EM76" s="45"/>
      <c r="EN76" s="45"/>
      <c r="EO76" s="45"/>
      <c r="EP76" s="45"/>
      <c r="EQ76" s="45"/>
    </row>
    <row r="77" spans="1:236" s="92" customFormat="1" ht="15" customHeight="1" x14ac:dyDescent="0.25">
      <c r="A77" s="102" t="s">
        <v>757</v>
      </c>
      <c r="B77" s="137"/>
      <c r="C77" s="104" t="s">
        <v>758</v>
      </c>
      <c r="D77" s="103" t="s">
        <v>212</v>
      </c>
      <c r="E77" s="103" t="s">
        <v>191</v>
      </c>
      <c r="F77" s="119"/>
      <c r="G77" s="119"/>
      <c r="H77" s="119"/>
      <c r="I77" s="102"/>
      <c r="J77" s="102"/>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45"/>
      <c r="AO77" s="45"/>
      <c r="AP77" s="45"/>
      <c r="AQ77" s="45"/>
      <c r="AR77" s="45"/>
      <c r="AS77" s="45"/>
      <c r="AT77" s="45"/>
      <c r="AU77" s="45"/>
      <c r="AV77" s="45"/>
      <c r="AW77" s="45"/>
      <c r="AX77" s="45"/>
      <c r="AY77" s="45"/>
      <c r="AZ77" s="45"/>
      <c r="BA77" s="45"/>
      <c r="BB77" s="45"/>
      <c r="BC77" s="45"/>
      <c r="BD77" s="45"/>
      <c r="BE77" s="45"/>
      <c r="BF77" s="45"/>
      <c r="BG77" s="45"/>
      <c r="BH77" s="45"/>
      <c r="BI77" s="45"/>
      <c r="BJ77" s="45"/>
      <c r="BK77" s="45"/>
      <c r="BL77" s="45"/>
      <c r="BM77" s="45"/>
      <c r="BN77" s="45"/>
      <c r="BO77" s="45"/>
      <c r="BP77" s="45"/>
      <c r="BQ77" s="45"/>
      <c r="BR77" s="45"/>
      <c r="BS77" s="45"/>
      <c r="BT77" s="45"/>
      <c r="BU77" s="45"/>
      <c r="BV77" s="45"/>
      <c r="BW77" s="45"/>
      <c r="BX77" s="45"/>
      <c r="BY77" s="45"/>
      <c r="BZ77" s="45"/>
      <c r="CA77" s="45"/>
      <c r="CB77" s="45"/>
      <c r="CC77" s="45"/>
      <c r="CD77" s="45"/>
      <c r="CE77" s="45"/>
      <c r="CF77" s="45"/>
      <c r="CG77" s="45"/>
      <c r="CH77" s="45"/>
      <c r="CI77" s="45"/>
      <c r="CJ77" s="45"/>
      <c r="CK77" s="45"/>
      <c r="CL77" s="45"/>
      <c r="CM77" s="45"/>
      <c r="CN77" s="45"/>
      <c r="CO77" s="45"/>
      <c r="CP77" s="45"/>
      <c r="CQ77" s="45"/>
      <c r="CR77" s="45"/>
      <c r="CS77" s="45"/>
      <c r="CT77" s="45"/>
      <c r="CU77" s="45"/>
      <c r="CV77" s="45"/>
      <c r="CW77" s="45"/>
      <c r="CX77" s="45"/>
      <c r="CY77" s="45"/>
      <c r="CZ77" s="45"/>
      <c r="DA77" s="45"/>
      <c r="DB77" s="45"/>
      <c r="DC77" s="45"/>
      <c r="DD77" s="45"/>
      <c r="DE77" s="45"/>
      <c r="DF77" s="45"/>
      <c r="DG77" s="45"/>
      <c r="DH77" s="45"/>
      <c r="DI77" s="45"/>
      <c r="DJ77" s="45"/>
      <c r="DK77" s="45"/>
      <c r="DL77" s="45"/>
      <c r="DM77" s="45"/>
      <c r="DN77" s="45"/>
      <c r="DO77" s="45"/>
      <c r="DP77" s="45"/>
      <c r="DQ77" s="45"/>
      <c r="DR77" s="45"/>
      <c r="DS77" s="45"/>
      <c r="DT77" s="45"/>
      <c r="DU77" s="45"/>
      <c r="DV77" s="45"/>
      <c r="DW77" s="45"/>
      <c r="DX77" s="45"/>
      <c r="DY77" s="45"/>
      <c r="DZ77" s="45"/>
      <c r="EA77" s="45"/>
      <c r="EB77" s="45"/>
      <c r="EC77" s="45"/>
      <c r="ED77" s="45"/>
      <c r="EE77" s="45"/>
      <c r="EF77" s="45"/>
      <c r="EG77" s="45"/>
      <c r="EH77" s="45"/>
      <c r="EI77" s="45"/>
      <c r="EJ77" s="45"/>
      <c r="EK77" s="45"/>
      <c r="EL77" s="45"/>
      <c r="EM77" s="45"/>
      <c r="EN77" s="45"/>
      <c r="EO77" s="45"/>
      <c r="EP77" s="45"/>
      <c r="EQ77" s="45"/>
    </row>
    <row r="78" spans="1:236" s="92" customFormat="1" ht="15" customHeight="1" x14ac:dyDescent="0.25">
      <c r="A78" s="102" t="s">
        <v>759</v>
      </c>
      <c r="B78" s="143" t="s">
        <v>964</v>
      </c>
      <c r="C78" s="104" t="s">
        <v>760</v>
      </c>
      <c r="D78" s="103" t="s">
        <v>537</v>
      </c>
      <c r="E78" s="103" t="s">
        <v>191</v>
      </c>
      <c r="F78" s="119" t="s">
        <v>196</v>
      </c>
      <c r="G78" s="119">
        <v>32</v>
      </c>
      <c r="H78" s="119">
        <v>512</v>
      </c>
      <c r="I78" s="102"/>
      <c r="J78" s="102"/>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45"/>
      <c r="AO78" s="45"/>
      <c r="AP78" s="45"/>
      <c r="AQ78" s="45"/>
      <c r="AR78" s="45"/>
      <c r="AS78" s="45"/>
      <c r="AT78" s="45"/>
      <c r="AU78" s="45"/>
      <c r="AV78" s="45"/>
      <c r="AW78" s="45"/>
      <c r="AX78" s="45"/>
      <c r="AY78" s="45"/>
      <c r="AZ78" s="45"/>
      <c r="BA78" s="45"/>
      <c r="BB78" s="45"/>
      <c r="BC78" s="45"/>
      <c r="BD78" s="45"/>
      <c r="BE78" s="45"/>
      <c r="BF78" s="45"/>
      <c r="BG78" s="45"/>
      <c r="BH78" s="45"/>
      <c r="BI78" s="45"/>
      <c r="BJ78" s="45"/>
      <c r="BK78" s="45"/>
      <c r="BL78" s="45"/>
      <c r="BM78" s="45"/>
      <c r="BN78" s="45"/>
      <c r="BO78" s="45"/>
      <c r="BP78" s="45"/>
      <c r="BQ78" s="45"/>
      <c r="BR78" s="45"/>
      <c r="BS78" s="45"/>
      <c r="BT78" s="45"/>
      <c r="BU78" s="45"/>
      <c r="BV78" s="45"/>
      <c r="BW78" s="45"/>
      <c r="BX78" s="45"/>
      <c r="BY78" s="45"/>
      <c r="BZ78" s="45"/>
      <c r="CA78" s="45"/>
      <c r="CB78" s="45"/>
      <c r="CC78" s="45"/>
      <c r="CD78" s="45"/>
      <c r="CE78" s="45"/>
      <c r="CF78" s="45"/>
      <c r="CG78" s="45"/>
      <c r="CH78" s="45"/>
      <c r="CI78" s="45"/>
      <c r="CJ78" s="45"/>
      <c r="CK78" s="45"/>
      <c r="CL78" s="45"/>
      <c r="CM78" s="45"/>
      <c r="CN78" s="45"/>
      <c r="CO78" s="45"/>
      <c r="CP78" s="45"/>
      <c r="CQ78" s="45"/>
      <c r="CR78" s="45"/>
      <c r="CS78" s="45"/>
      <c r="CT78" s="45"/>
      <c r="CU78" s="45"/>
      <c r="CV78" s="45"/>
      <c r="CW78" s="45"/>
      <c r="CX78" s="45"/>
      <c r="CY78" s="45"/>
      <c r="CZ78" s="45"/>
      <c r="DA78" s="45"/>
      <c r="DB78" s="45"/>
      <c r="DC78" s="45"/>
      <c r="DD78" s="45"/>
      <c r="DE78" s="45"/>
      <c r="DF78" s="45"/>
      <c r="DG78" s="45"/>
      <c r="DH78" s="45"/>
      <c r="DI78" s="45"/>
      <c r="DJ78" s="45"/>
      <c r="DK78" s="45"/>
      <c r="DL78" s="45"/>
      <c r="DM78" s="45"/>
      <c r="DN78" s="45"/>
      <c r="DO78" s="45"/>
      <c r="DP78" s="45"/>
      <c r="DQ78" s="45"/>
      <c r="DR78" s="45"/>
      <c r="DS78" s="45"/>
      <c r="DT78" s="45"/>
      <c r="DU78" s="45"/>
      <c r="DV78" s="45"/>
      <c r="DW78" s="45"/>
      <c r="DX78" s="45"/>
      <c r="DY78" s="45"/>
      <c r="DZ78" s="45"/>
      <c r="EA78" s="45"/>
      <c r="EB78" s="45"/>
      <c r="EC78" s="45"/>
      <c r="ED78" s="45"/>
      <c r="EE78" s="45"/>
      <c r="EF78" s="45"/>
      <c r="EG78" s="45"/>
      <c r="EH78" s="45"/>
      <c r="EI78" s="45"/>
      <c r="EJ78" s="45"/>
      <c r="EK78" s="45"/>
      <c r="EL78" s="45"/>
      <c r="EM78" s="45"/>
      <c r="EN78" s="45"/>
      <c r="EO78" s="45"/>
      <c r="EP78" s="45"/>
      <c r="EQ78" s="45"/>
    </row>
    <row r="79" spans="1:236" s="92" customFormat="1" ht="15" customHeight="1" x14ac:dyDescent="0.25">
      <c r="A79" s="102" t="s">
        <v>555</v>
      </c>
      <c r="B79" s="137"/>
      <c r="C79" s="104" t="s">
        <v>563</v>
      </c>
      <c r="D79" s="103" t="s">
        <v>208</v>
      </c>
      <c r="E79" s="103" t="s">
        <v>191</v>
      </c>
      <c r="F79" s="119"/>
      <c r="G79" s="119"/>
      <c r="H79" s="119"/>
      <c r="I79" s="102"/>
      <c r="J79" s="102"/>
      <c r="K79" s="45"/>
      <c r="L79" s="45"/>
      <c r="M79" s="45"/>
      <c r="N79" s="45"/>
      <c r="O79" s="45"/>
      <c r="P79" s="45"/>
      <c r="Q79" s="45"/>
      <c r="R79" s="45"/>
      <c r="S79" s="45"/>
      <c r="T79" s="45"/>
      <c r="U79" s="45"/>
      <c r="V79" s="45"/>
      <c r="W79" s="45"/>
      <c r="X79" s="45"/>
      <c r="Y79" s="45"/>
      <c r="Z79" s="45"/>
      <c r="AA79" s="45"/>
      <c r="AB79" s="45"/>
      <c r="AC79" s="45"/>
      <c r="AD79" s="45"/>
      <c r="AE79" s="45"/>
      <c r="AF79" s="45"/>
      <c r="AG79" s="45"/>
      <c r="AH79" s="45"/>
      <c r="AI79" s="45"/>
      <c r="AJ79" s="45"/>
      <c r="AK79" s="45"/>
      <c r="AL79" s="45"/>
      <c r="AM79" s="45"/>
      <c r="AN79" s="45"/>
      <c r="AO79" s="45"/>
      <c r="AP79" s="45"/>
      <c r="AQ79" s="45"/>
      <c r="AR79" s="45"/>
      <c r="AS79" s="45"/>
      <c r="AT79" s="45"/>
      <c r="AU79" s="45"/>
      <c r="AV79" s="45"/>
      <c r="AW79" s="45"/>
      <c r="AX79" s="45"/>
      <c r="AY79" s="45"/>
      <c r="AZ79" s="45"/>
      <c r="BA79" s="45"/>
      <c r="BB79" s="45"/>
      <c r="BC79" s="45"/>
      <c r="BD79" s="45"/>
      <c r="BE79" s="45"/>
      <c r="BF79" s="45"/>
      <c r="BG79" s="45"/>
      <c r="BH79" s="45"/>
      <c r="BI79" s="45"/>
      <c r="BJ79" s="45"/>
      <c r="BK79" s="45"/>
      <c r="BL79" s="45"/>
      <c r="BM79" s="45"/>
      <c r="BN79" s="45"/>
      <c r="BO79" s="45"/>
      <c r="BP79" s="45"/>
      <c r="BQ79" s="45"/>
      <c r="BR79" s="45"/>
      <c r="BS79" s="45"/>
      <c r="BT79" s="45"/>
      <c r="BU79" s="45"/>
      <c r="BV79" s="45"/>
      <c r="BW79" s="45"/>
      <c r="BX79" s="45"/>
      <c r="BY79" s="45"/>
      <c r="BZ79" s="45"/>
      <c r="CA79" s="45"/>
      <c r="CB79" s="45"/>
      <c r="CC79" s="45"/>
      <c r="CD79" s="45"/>
      <c r="CE79" s="45"/>
      <c r="CF79" s="45"/>
      <c r="CG79" s="45"/>
      <c r="CH79" s="45"/>
      <c r="CI79" s="45"/>
      <c r="CJ79" s="45"/>
      <c r="CK79" s="45"/>
      <c r="CL79" s="45"/>
      <c r="CM79" s="45"/>
      <c r="CN79" s="45"/>
      <c r="CO79" s="45"/>
      <c r="CP79" s="45"/>
      <c r="CQ79" s="45"/>
      <c r="CR79" s="45"/>
      <c r="CS79" s="45"/>
      <c r="CT79" s="45"/>
      <c r="CU79" s="45"/>
      <c r="CV79" s="45"/>
      <c r="CW79" s="45"/>
      <c r="CX79" s="45"/>
      <c r="CY79" s="45"/>
      <c r="CZ79" s="45"/>
      <c r="DA79" s="45"/>
      <c r="DB79" s="45"/>
      <c r="DC79" s="45"/>
      <c r="DD79" s="45"/>
      <c r="DE79" s="45"/>
      <c r="DF79" s="45"/>
      <c r="DG79" s="45"/>
      <c r="DH79" s="45"/>
      <c r="DI79" s="45"/>
      <c r="DJ79" s="45"/>
      <c r="DK79" s="45"/>
      <c r="DL79" s="45"/>
      <c r="DM79" s="45"/>
      <c r="DN79" s="45"/>
      <c r="DO79" s="45"/>
      <c r="DP79" s="45"/>
      <c r="DQ79" s="45"/>
      <c r="DR79" s="45"/>
      <c r="DS79" s="45"/>
      <c r="DT79" s="45"/>
      <c r="DU79" s="45"/>
      <c r="DV79" s="45"/>
      <c r="DW79" s="45"/>
      <c r="DX79" s="45"/>
      <c r="DY79" s="45"/>
      <c r="DZ79" s="45"/>
      <c r="EA79" s="45"/>
      <c r="EB79" s="45"/>
      <c r="EC79" s="45"/>
      <c r="ED79" s="45"/>
      <c r="EE79" s="45"/>
      <c r="EF79" s="45"/>
      <c r="EG79" s="45"/>
      <c r="EH79" s="45"/>
      <c r="EI79" s="45"/>
      <c r="EJ79" s="45"/>
      <c r="EK79" s="45"/>
      <c r="EL79" s="45"/>
      <c r="EM79" s="45"/>
      <c r="EN79" s="45"/>
      <c r="EO79" s="45"/>
      <c r="EP79" s="45"/>
      <c r="EQ79" s="45"/>
    </row>
    <row r="80" spans="1:236" s="92" customFormat="1" ht="15" customHeight="1" x14ac:dyDescent="0.25">
      <c r="A80" s="102" t="s">
        <v>761</v>
      </c>
      <c r="B80" s="137"/>
      <c r="C80" s="104" t="s">
        <v>762</v>
      </c>
      <c r="D80" s="103"/>
      <c r="E80" s="103" t="s">
        <v>191</v>
      </c>
      <c r="F80" s="119"/>
      <c r="G80" s="119"/>
      <c r="H80" s="119"/>
      <c r="I80" s="102"/>
      <c r="J80" s="102"/>
      <c r="K80" s="45"/>
      <c r="L80" s="45"/>
      <c r="M80" s="45"/>
      <c r="N80" s="45"/>
      <c r="O80" s="45"/>
      <c r="P80" s="45"/>
      <c r="Q80" s="45"/>
      <c r="R80" s="45"/>
      <c r="S80" s="45"/>
      <c r="T80" s="45"/>
      <c r="U80" s="45"/>
      <c r="V80" s="45"/>
      <c r="W80" s="45"/>
      <c r="X80" s="45"/>
      <c r="Y80" s="45"/>
      <c r="Z80" s="45"/>
      <c r="AA80" s="45"/>
      <c r="AB80" s="45"/>
      <c r="AC80" s="45"/>
      <c r="AD80" s="45"/>
      <c r="AE80" s="45"/>
      <c r="AF80" s="45"/>
      <c r="AG80" s="45"/>
      <c r="AH80" s="45"/>
      <c r="AI80" s="45"/>
      <c r="AJ80" s="45"/>
      <c r="AK80" s="45"/>
      <c r="AL80" s="45"/>
      <c r="AM80" s="45"/>
      <c r="AN80" s="45"/>
      <c r="AO80" s="45"/>
      <c r="AP80" s="45"/>
      <c r="AQ80" s="45"/>
      <c r="AR80" s="45"/>
      <c r="AS80" s="45"/>
      <c r="AT80" s="45"/>
      <c r="AU80" s="45"/>
      <c r="AV80" s="45"/>
      <c r="AW80" s="45"/>
      <c r="AX80" s="45"/>
      <c r="AY80" s="45"/>
      <c r="AZ80" s="45"/>
      <c r="BA80" s="45"/>
      <c r="BB80" s="45"/>
      <c r="BC80" s="45"/>
      <c r="BD80" s="45"/>
      <c r="BE80" s="45"/>
      <c r="BF80" s="45"/>
      <c r="BG80" s="45"/>
      <c r="BH80" s="45"/>
      <c r="BI80" s="45"/>
      <c r="BJ80" s="45"/>
      <c r="BK80" s="45"/>
      <c r="BL80" s="45"/>
      <c r="BM80" s="45"/>
      <c r="BN80" s="45"/>
      <c r="BO80" s="45"/>
      <c r="BP80" s="45"/>
      <c r="BQ80" s="45"/>
      <c r="BR80" s="45"/>
      <c r="BS80" s="45"/>
      <c r="BT80" s="45"/>
      <c r="BU80" s="45"/>
      <c r="BV80" s="45"/>
      <c r="BW80" s="45"/>
      <c r="BX80" s="45"/>
      <c r="BY80" s="45"/>
      <c r="BZ80" s="45"/>
      <c r="CA80" s="45"/>
      <c r="CB80" s="45"/>
      <c r="CC80" s="45"/>
      <c r="CD80" s="45"/>
      <c r="CE80" s="45"/>
      <c r="CF80" s="45"/>
      <c r="CG80" s="45"/>
      <c r="CH80" s="45"/>
      <c r="CI80" s="45"/>
      <c r="CJ80" s="45"/>
      <c r="CK80" s="45"/>
      <c r="CL80" s="45"/>
      <c r="CM80" s="45"/>
      <c r="CN80" s="45"/>
      <c r="CO80" s="45"/>
      <c r="CP80" s="45"/>
      <c r="CQ80" s="45"/>
      <c r="CR80" s="45"/>
      <c r="CS80" s="45"/>
      <c r="CT80" s="45"/>
      <c r="CU80" s="45"/>
      <c r="CV80" s="45"/>
      <c r="CW80" s="45"/>
      <c r="CX80" s="45"/>
      <c r="CY80" s="45"/>
      <c r="CZ80" s="45"/>
      <c r="DA80" s="45"/>
      <c r="DB80" s="45"/>
      <c r="DC80" s="45"/>
      <c r="DD80" s="45"/>
      <c r="DE80" s="45"/>
      <c r="DF80" s="45"/>
      <c r="DG80" s="45"/>
      <c r="DH80" s="45"/>
      <c r="DI80" s="45"/>
      <c r="DJ80" s="45"/>
      <c r="DK80" s="45"/>
      <c r="DL80" s="45"/>
      <c r="DM80" s="45"/>
      <c r="DN80" s="45"/>
      <c r="DO80" s="45"/>
      <c r="DP80" s="45"/>
      <c r="DQ80" s="45"/>
      <c r="DR80" s="45"/>
      <c r="DS80" s="45"/>
      <c r="DT80" s="45"/>
      <c r="DU80" s="45"/>
      <c r="DV80" s="45"/>
      <c r="DW80" s="45"/>
      <c r="DX80" s="45"/>
      <c r="DY80" s="45"/>
      <c r="DZ80" s="45"/>
      <c r="EA80" s="45"/>
      <c r="EB80" s="45"/>
      <c r="EC80" s="45"/>
      <c r="ED80" s="45"/>
      <c r="EE80" s="45"/>
      <c r="EF80" s="45"/>
      <c r="EG80" s="45"/>
      <c r="EH80" s="45"/>
      <c r="EI80" s="45"/>
      <c r="EJ80" s="45"/>
      <c r="EK80" s="45"/>
      <c r="EL80" s="45"/>
      <c r="EM80" s="45"/>
      <c r="EN80" s="45"/>
      <c r="EO80" s="45"/>
      <c r="EP80" s="45"/>
      <c r="EQ80" s="45"/>
    </row>
    <row r="81" spans="1:147" s="92" customFormat="1" ht="15" customHeight="1" x14ac:dyDescent="0.25">
      <c r="A81" s="102" t="s">
        <v>763</v>
      </c>
      <c r="B81" s="137"/>
      <c r="C81" s="104" t="s">
        <v>764</v>
      </c>
      <c r="D81" s="103"/>
      <c r="E81" s="103" t="s">
        <v>191</v>
      </c>
      <c r="F81" s="119"/>
      <c r="G81" s="119"/>
      <c r="H81" s="119"/>
      <c r="I81" s="102"/>
      <c r="J81" s="102"/>
      <c r="K81" s="45"/>
      <c r="L81" s="45"/>
      <c r="M81" s="45"/>
      <c r="N81" s="45"/>
      <c r="O81" s="45"/>
      <c r="P81" s="45"/>
      <c r="Q81" s="45"/>
      <c r="R81" s="45"/>
      <c r="S81" s="45"/>
      <c r="T81" s="45"/>
      <c r="U81" s="45"/>
      <c r="V81" s="45"/>
      <c r="W81" s="45"/>
      <c r="X81" s="45"/>
      <c r="Y81" s="45"/>
      <c r="Z81" s="45"/>
      <c r="AA81" s="45"/>
      <c r="AB81" s="45"/>
      <c r="AC81" s="45"/>
      <c r="AD81" s="45"/>
      <c r="AE81" s="45"/>
      <c r="AF81" s="45"/>
      <c r="AG81" s="45"/>
      <c r="AH81" s="45"/>
      <c r="AI81" s="45"/>
      <c r="AJ81" s="45"/>
      <c r="AK81" s="45"/>
      <c r="AL81" s="45"/>
      <c r="AM81" s="45"/>
      <c r="AN81" s="45"/>
      <c r="AO81" s="45"/>
      <c r="AP81" s="45"/>
      <c r="AQ81" s="45"/>
      <c r="AR81" s="45"/>
      <c r="AS81" s="45"/>
      <c r="AT81" s="45"/>
      <c r="AU81" s="45"/>
      <c r="AV81" s="45"/>
      <c r="AW81" s="45"/>
      <c r="AX81" s="45"/>
      <c r="AY81" s="45"/>
      <c r="AZ81" s="45"/>
      <c r="BA81" s="45"/>
      <c r="BB81" s="45"/>
      <c r="BC81" s="45"/>
      <c r="BD81" s="45"/>
      <c r="BE81" s="45"/>
      <c r="BF81" s="45"/>
      <c r="BG81" s="45"/>
      <c r="BH81" s="45"/>
      <c r="BI81" s="45"/>
      <c r="BJ81" s="45"/>
      <c r="BK81" s="45"/>
      <c r="BL81" s="45"/>
      <c r="BM81" s="45"/>
      <c r="BN81" s="45"/>
      <c r="BO81" s="45"/>
      <c r="BP81" s="45"/>
      <c r="BQ81" s="45"/>
      <c r="BR81" s="45"/>
      <c r="BS81" s="45"/>
      <c r="BT81" s="45"/>
      <c r="BU81" s="45"/>
      <c r="BV81" s="45"/>
      <c r="BW81" s="45"/>
      <c r="BX81" s="45"/>
      <c r="BY81" s="45"/>
      <c r="BZ81" s="45"/>
      <c r="CA81" s="45"/>
      <c r="CB81" s="45"/>
      <c r="CC81" s="45"/>
      <c r="CD81" s="45"/>
      <c r="CE81" s="45"/>
      <c r="CF81" s="45"/>
      <c r="CG81" s="45"/>
      <c r="CH81" s="45"/>
      <c r="CI81" s="45"/>
      <c r="CJ81" s="45"/>
      <c r="CK81" s="45"/>
      <c r="CL81" s="45"/>
      <c r="CM81" s="45"/>
      <c r="CN81" s="45"/>
      <c r="CO81" s="45"/>
      <c r="CP81" s="45"/>
      <c r="CQ81" s="45"/>
      <c r="CR81" s="45"/>
      <c r="CS81" s="45"/>
      <c r="CT81" s="45"/>
      <c r="CU81" s="45"/>
      <c r="CV81" s="45"/>
      <c r="CW81" s="45"/>
      <c r="CX81" s="45"/>
      <c r="CY81" s="45"/>
      <c r="CZ81" s="45"/>
      <c r="DA81" s="45"/>
      <c r="DB81" s="45"/>
      <c r="DC81" s="45"/>
      <c r="DD81" s="45"/>
      <c r="DE81" s="45"/>
      <c r="DF81" s="45"/>
      <c r="DG81" s="45"/>
      <c r="DH81" s="45"/>
      <c r="DI81" s="45"/>
      <c r="DJ81" s="45"/>
      <c r="DK81" s="45"/>
      <c r="DL81" s="45"/>
      <c r="DM81" s="45"/>
      <c r="DN81" s="45"/>
      <c r="DO81" s="45"/>
      <c r="DP81" s="45"/>
      <c r="DQ81" s="45"/>
      <c r="DR81" s="45"/>
      <c r="DS81" s="45"/>
      <c r="DT81" s="45"/>
      <c r="DU81" s="45"/>
      <c r="DV81" s="45"/>
      <c r="DW81" s="45"/>
      <c r="DX81" s="45"/>
      <c r="DY81" s="45"/>
      <c r="DZ81" s="45"/>
      <c r="EA81" s="45"/>
      <c r="EB81" s="45"/>
      <c r="EC81" s="45"/>
      <c r="ED81" s="45"/>
      <c r="EE81" s="45"/>
      <c r="EF81" s="45"/>
      <c r="EG81" s="45"/>
      <c r="EH81" s="45"/>
      <c r="EI81" s="45"/>
      <c r="EJ81" s="45"/>
      <c r="EK81" s="45"/>
      <c r="EL81" s="45"/>
      <c r="EM81" s="45"/>
      <c r="EN81" s="45"/>
      <c r="EO81" s="45"/>
      <c r="EP81" s="45"/>
      <c r="EQ81" s="45"/>
    </row>
    <row r="82" spans="1:147" s="92" customFormat="1" ht="15" customHeight="1" x14ac:dyDescent="0.25">
      <c r="A82" s="102" t="s">
        <v>556</v>
      </c>
      <c r="B82" s="137"/>
      <c r="C82" s="104" t="s">
        <v>565</v>
      </c>
      <c r="D82" s="103"/>
      <c r="E82" s="103" t="s">
        <v>191</v>
      </c>
      <c r="F82" s="119"/>
      <c r="G82" s="119"/>
      <c r="H82" s="119"/>
      <c r="I82" s="102"/>
      <c r="J82" s="102"/>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45"/>
      <c r="AO82" s="45"/>
      <c r="AP82" s="45"/>
      <c r="AQ82" s="45"/>
      <c r="AR82" s="45"/>
      <c r="AS82" s="45"/>
      <c r="AT82" s="45"/>
      <c r="AU82" s="45"/>
      <c r="AV82" s="45"/>
      <c r="AW82" s="45"/>
      <c r="AX82" s="45"/>
      <c r="AY82" s="45"/>
      <c r="AZ82" s="45"/>
      <c r="BA82" s="45"/>
      <c r="BB82" s="45"/>
      <c r="BC82" s="45"/>
      <c r="BD82" s="45"/>
      <c r="BE82" s="45"/>
      <c r="BF82" s="45"/>
      <c r="BG82" s="45"/>
      <c r="BH82" s="45"/>
      <c r="BI82" s="45"/>
      <c r="BJ82" s="45"/>
      <c r="BK82" s="45"/>
      <c r="BL82" s="45"/>
      <c r="BM82" s="45"/>
      <c r="BN82" s="45"/>
      <c r="BO82" s="45"/>
      <c r="BP82" s="45"/>
      <c r="BQ82" s="45"/>
      <c r="BR82" s="45"/>
      <c r="BS82" s="45"/>
      <c r="BT82" s="45"/>
      <c r="BU82" s="45"/>
      <c r="BV82" s="45"/>
      <c r="BW82" s="45"/>
      <c r="BX82" s="45"/>
      <c r="BY82" s="45"/>
      <c r="BZ82" s="45"/>
      <c r="CA82" s="45"/>
      <c r="CB82" s="45"/>
      <c r="CC82" s="45"/>
      <c r="CD82" s="45"/>
      <c r="CE82" s="45"/>
      <c r="CF82" s="45"/>
      <c r="CG82" s="45"/>
      <c r="CH82" s="45"/>
      <c r="CI82" s="45"/>
      <c r="CJ82" s="45"/>
      <c r="CK82" s="45"/>
      <c r="CL82" s="45"/>
      <c r="CM82" s="45"/>
      <c r="CN82" s="45"/>
      <c r="CO82" s="45"/>
      <c r="CP82" s="45"/>
      <c r="CQ82" s="45"/>
      <c r="CR82" s="45"/>
      <c r="CS82" s="45"/>
      <c r="CT82" s="45"/>
      <c r="CU82" s="45"/>
      <c r="CV82" s="45"/>
      <c r="CW82" s="45"/>
      <c r="CX82" s="45"/>
      <c r="CY82" s="45"/>
      <c r="CZ82" s="45"/>
      <c r="DA82" s="45"/>
      <c r="DB82" s="45"/>
      <c r="DC82" s="45"/>
      <c r="DD82" s="45"/>
      <c r="DE82" s="45"/>
      <c r="DF82" s="45"/>
      <c r="DG82" s="45"/>
      <c r="DH82" s="45"/>
      <c r="DI82" s="45"/>
      <c r="DJ82" s="45"/>
      <c r="DK82" s="45"/>
      <c r="DL82" s="45"/>
      <c r="DM82" s="45"/>
      <c r="DN82" s="45"/>
      <c r="DO82" s="45"/>
      <c r="DP82" s="45"/>
      <c r="DQ82" s="45"/>
      <c r="DR82" s="45"/>
      <c r="DS82" s="45"/>
      <c r="DT82" s="45"/>
      <c r="DU82" s="45"/>
      <c r="DV82" s="45"/>
      <c r="DW82" s="45"/>
      <c r="DX82" s="45"/>
      <c r="DY82" s="45"/>
      <c r="DZ82" s="45"/>
      <c r="EA82" s="45"/>
      <c r="EB82" s="45"/>
      <c r="EC82" s="45"/>
      <c r="ED82" s="45"/>
      <c r="EE82" s="45"/>
      <c r="EF82" s="45"/>
      <c r="EG82" s="45"/>
      <c r="EH82" s="45"/>
      <c r="EI82" s="45"/>
      <c r="EJ82" s="45"/>
      <c r="EK82" s="45"/>
      <c r="EL82" s="45"/>
      <c r="EM82" s="45"/>
      <c r="EN82" s="45"/>
      <c r="EO82" s="45"/>
      <c r="EP82" s="45"/>
      <c r="EQ82" s="45"/>
    </row>
    <row r="83" spans="1:147" s="92" customFormat="1" ht="15" customHeight="1" x14ac:dyDescent="0.25">
      <c r="A83" s="102" t="s">
        <v>765</v>
      </c>
      <c r="B83" s="137"/>
      <c r="C83" s="104" t="s">
        <v>766</v>
      </c>
      <c r="D83" s="103"/>
      <c r="E83" s="103" t="s">
        <v>191</v>
      </c>
      <c r="F83" s="119"/>
      <c r="G83" s="119"/>
      <c r="H83" s="119"/>
      <c r="I83" s="102"/>
      <c r="J83" s="102"/>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45"/>
      <c r="AO83" s="45"/>
      <c r="AP83" s="45"/>
      <c r="AQ83" s="45"/>
      <c r="AR83" s="45"/>
      <c r="AS83" s="45"/>
      <c r="AT83" s="45"/>
      <c r="AU83" s="45"/>
      <c r="AV83" s="45"/>
      <c r="AW83" s="45"/>
      <c r="AX83" s="45"/>
      <c r="AY83" s="45"/>
      <c r="AZ83" s="45"/>
      <c r="BA83" s="45"/>
      <c r="BB83" s="45"/>
      <c r="BC83" s="45"/>
      <c r="BD83" s="45"/>
      <c r="BE83" s="45"/>
      <c r="BF83" s="45"/>
      <c r="BG83" s="45"/>
      <c r="BH83" s="45"/>
      <c r="BI83" s="45"/>
      <c r="BJ83" s="45"/>
      <c r="BK83" s="45"/>
      <c r="BL83" s="45"/>
      <c r="BM83" s="45"/>
      <c r="BN83" s="45"/>
      <c r="BO83" s="45"/>
      <c r="BP83" s="45"/>
      <c r="BQ83" s="45"/>
      <c r="BR83" s="45"/>
      <c r="BS83" s="45"/>
      <c r="BT83" s="45"/>
      <c r="BU83" s="45"/>
      <c r="BV83" s="45"/>
      <c r="BW83" s="45"/>
      <c r="BX83" s="45"/>
      <c r="BY83" s="45"/>
      <c r="BZ83" s="45"/>
      <c r="CA83" s="45"/>
      <c r="CB83" s="45"/>
      <c r="CC83" s="45"/>
      <c r="CD83" s="45"/>
      <c r="CE83" s="45"/>
      <c r="CF83" s="45"/>
      <c r="CG83" s="45"/>
      <c r="CH83" s="45"/>
      <c r="CI83" s="45"/>
      <c r="CJ83" s="45"/>
      <c r="CK83" s="45"/>
      <c r="CL83" s="45"/>
      <c r="CM83" s="45"/>
      <c r="CN83" s="45"/>
      <c r="CO83" s="45"/>
      <c r="CP83" s="45"/>
      <c r="CQ83" s="45"/>
      <c r="CR83" s="45"/>
      <c r="CS83" s="45"/>
      <c r="CT83" s="45"/>
      <c r="CU83" s="45"/>
      <c r="CV83" s="45"/>
      <c r="CW83" s="45"/>
      <c r="CX83" s="45"/>
      <c r="CY83" s="45"/>
      <c r="CZ83" s="45"/>
      <c r="DA83" s="45"/>
      <c r="DB83" s="45"/>
      <c r="DC83" s="45"/>
      <c r="DD83" s="45"/>
      <c r="DE83" s="45"/>
      <c r="DF83" s="45"/>
      <c r="DG83" s="45"/>
      <c r="DH83" s="45"/>
      <c r="DI83" s="45"/>
      <c r="DJ83" s="45"/>
      <c r="DK83" s="45"/>
      <c r="DL83" s="45"/>
      <c r="DM83" s="45"/>
      <c r="DN83" s="45"/>
      <c r="DO83" s="45"/>
      <c r="DP83" s="45"/>
      <c r="DQ83" s="45"/>
      <c r="DR83" s="45"/>
      <c r="DS83" s="45"/>
      <c r="DT83" s="45"/>
      <c r="DU83" s="45"/>
      <c r="DV83" s="45"/>
      <c r="DW83" s="45"/>
      <c r="DX83" s="45"/>
      <c r="DY83" s="45"/>
      <c r="DZ83" s="45"/>
      <c r="EA83" s="45"/>
      <c r="EB83" s="45"/>
      <c r="EC83" s="45"/>
      <c r="ED83" s="45"/>
      <c r="EE83" s="45"/>
      <c r="EF83" s="45"/>
      <c r="EG83" s="45"/>
      <c r="EH83" s="45"/>
      <c r="EI83" s="45"/>
      <c r="EJ83" s="45"/>
      <c r="EK83" s="45"/>
      <c r="EL83" s="45"/>
      <c r="EM83" s="45"/>
      <c r="EN83" s="45"/>
      <c r="EO83" s="45"/>
      <c r="EP83" s="45"/>
      <c r="EQ83" s="45"/>
    </row>
    <row r="84" spans="1:147" s="92" customFormat="1" ht="15" customHeight="1" x14ac:dyDescent="0.25">
      <c r="A84" s="102" t="s">
        <v>767</v>
      </c>
      <c r="B84" s="137"/>
      <c r="C84" s="104" t="s">
        <v>768</v>
      </c>
      <c r="D84" s="103"/>
      <c r="E84" s="103" t="s">
        <v>191</v>
      </c>
      <c r="F84" s="119"/>
      <c r="G84" s="119"/>
      <c r="H84" s="119"/>
      <c r="I84" s="102"/>
      <c r="J84" s="102"/>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45"/>
      <c r="AO84" s="45"/>
      <c r="AP84" s="45"/>
      <c r="AQ84" s="45"/>
      <c r="AR84" s="45"/>
      <c r="AS84" s="45"/>
      <c r="AT84" s="45"/>
      <c r="AU84" s="45"/>
      <c r="AV84" s="45"/>
      <c r="AW84" s="45"/>
      <c r="AX84" s="45"/>
      <c r="AY84" s="45"/>
      <c r="AZ84" s="45"/>
      <c r="BA84" s="45"/>
      <c r="BB84" s="45"/>
      <c r="BC84" s="45"/>
      <c r="BD84" s="45"/>
      <c r="BE84" s="45"/>
      <c r="BF84" s="45"/>
      <c r="BG84" s="45"/>
      <c r="BH84" s="45"/>
      <c r="BI84" s="45"/>
      <c r="BJ84" s="45"/>
      <c r="BK84" s="45"/>
      <c r="BL84" s="45"/>
      <c r="BM84" s="45"/>
      <c r="BN84" s="45"/>
      <c r="BO84" s="45"/>
      <c r="BP84" s="45"/>
      <c r="BQ84" s="45"/>
      <c r="BR84" s="45"/>
      <c r="BS84" s="45"/>
      <c r="BT84" s="45"/>
      <c r="BU84" s="45"/>
      <c r="BV84" s="45"/>
      <c r="BW84" s="45"/>
      <c r="BX84" s="45"/>
      <c r="BY84" s="45"/>
      <c r="BZ84" s="45"/>
      <c r="CA84" s="45"/>
      <c r="CB84" s="45"/>
      <c r="CC84" s="45"/>
      <c r="CD84" s="45"/>
      <c r="CE84" s="45"/>
      <c r="CF84" s="45"/>
      <c r="CG84" s="45"/>
      <c r="CH84" s="45"/>
      <c r="CI84" s="45"/>
      <c r="CJ84" s="45"/>
      <c r="CK84" s="45"/>
      <c r="CL84" s="45"/>
      <c r="CM84" s="45"/>
      <c r="CN84" s="45"/>
      <c r="CO84" s="45"/>
      <c r="CP84" s="45"/>
      <c r="CQ84" s="45"/>
      <c r="CR84" s="45"/>
      <c r="CS84" s="45"/>
      <c r="CT84" s="45"/>
      <c r="CU84" s="45"/>
      <c r="CV84" s="45"/>
      <c r="CW84" s="45"/>
      <c r="CX84" s="45"/>
      <c r="CY84" s="45"/>
      <c r="CZ84" s="45"/>
      <c r="DA84" s="45"/>
      <c r="DB84" s="45"/>
      <c r="DC84" s="45"/>
      <c r="DD84" s="45"/>
      <c r="DE84" s="45"/>
      <c r="DF84" s="45"/>
      <c r="DG84" s="45"/>
      <c r="DH84" s="45"/>
      <c r="DI84" s="45"/>
      <c r="DJ84" s="45"/>
      <c r="DK84" s="45"/>
      <c r="DL84" s="45"/>
      <c r="DM84" s="45"/>
      <c r="DN84" s="45"/>
      <c r="DO84" s="45"/>
      <c r="DP84" s="45"/>
      <c r="DQ84" s="45"/>
      <c r="DR84" s="45"/>
      <c r="DS84" s="45"/>
      <c r="DT84" s="45"/>
      <c r="DU84" s="45"/>
      <c r="DV84" s="45"/>
      <c r="DW84" s="45"/>
      <c r="DX84" s="45"/>
      <c r="DY84" s="45"/>
      <c r="DZ84" s="45"/>
      <c r="EA84" s="45"/>
      <c r="EB84" s="45"/>
      <c r="EC84" s="45"/>
      <c r="ED84" s="45"/>
      <c r="EE84" s="45"/>
      <c r="EF84" s="45"/>
      <c r="EG84" s="45"/>
      <c r="EH84" s="45"/>
      <c r="EI84" s="45"/>
      <c r="EJ84" s="45"/>
      <c r="EK84" s="45"/>
      <c r="EL84" s="45"/>
      <c r="EM84" s="45"/>
      <c r="EN84" s="45"/>
      <c r="EO84" s="45"/>
      <c r="EP84" s="45"/>
      <c r="EQ84" s="45"/>
    </row>
    <row r="85" spans="1:147" s="92" customFormat="1" ht="15" customHeight="1" x14ac:dyDescent="0.25">
      <c r="A85" s="102" t="s">
        <v>769</v>
      </c>
      <c r="B85" s="137"/>
      <c r="C85" s="104" t="s">
        <v>770</v>
      </c>
      <c r="D85" s="103"/>
      <c r="E85" s="103" t="s">
        <v>191</v>
      </c>
      <c r="F85" s="119"/>
      <c r="G85" s="119"/>
      <c r="H85" s="119"/>
      <c r="I85" s="102"/>
      <c r="J85" s="102"/>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45"/>
      <c r="AO85" s="45"/>
      <c r="AP85" s="45"/>
      <c r="AQ85" s="45"/>
      <c r="AR85" s="45"/>
      <c r="AS85" s="45"/>
      <c r="AT85" s="45"/>
      <c r="AU85" s="45"/>
      <c r="AV85" s="45"/>
      <c r="AW85" s="45"/>
      <c r="AX85" s="45"/>
      <c r="AY85" s="45"/>
      <c r="AZ85" s="45"/>
      <c r="BA85" s="45"/>
      <c r="BB85" s="45"/>
      <c r="BC85" s="45"/>
      <c r="BD85" s="45"/>
      <c r="BE85" s="45"/>
      <c r="BF85" s="45"/>
      <c r="BG85" s="45"/>
      <c r="BH85" s="45"/>
      <c r="BI85" s="45"/>
      <c r="BJ85" s="45"/>
      <c r="BK85" s="45"/>
      <c r="BL85" s="45"/>
      <c r="BM85" s="45"/>
      <c r="BN85" s="45"/>
      <c r="BO85" s="45"/>
      <c r="BP85" s="45"/>
      <c r="BQ85" s="45"/>
      <c r="BR85" s="45"/>
      <c r="BS85" s="45"/>
      <c r="BT85" s="45"/>
      <c r="BU85" s="45"/>
      <c r="BV85" s="45"/>
      <c r="BW85" s="45"/>
      <c r="BX85" s="45"/>
      <c r="BY85" s="45"/>
      <c r="BZ85" s="45"/>
      <c r="CA85" s="45"/>
      <c r="CB85" s="45"/>
      <c r="CC85" s="45"/>
      <c r="CD85" s="45"/>
      <c r="CE85" s="45"/>
      <c r="CF85" s="45"/>
      <c r="CG85" s="45"/>
      <c r="CH85" s="45"/>
      <c r="CI85" s="45"/>
      <c r="CJ85" s="45"/>
      <c r="CK85" s="45"/>
      <c r="CL85" s="45"/>
      <c r="CM85" s="45"/>
      <c r="CN85" s="45"/>
      <c r="CO85" s="45"/>
      <c r="CP85" s="45"/>
      <c r="CQ85" s="45"/>
      <c r="CR85" s="45"/>
      <c r="CS85" s="45"/>
      <c r="CT85" s="45"/>
      <c r="CU85" s="45"/>
      <c r="CV85" s="45"/>
      <c r="CW85" s="45"/>
      <c r="CX85" s="45"/>
      <c r="CY85" s="45"/>
      <c r="CZ85" s="45"/>
      <c r="DA85" s="45"/>
      <c r="DB85" s="45"/>
      <c r="DC85" s="45"/>
      <c r="DD85" s="45"/>
      <c r="DE85" s="45"/>
      <c r="DF85" s="45"/>
      <c r="DG85" s="45"/>
      <c r="DH85" s="45"/>
      <c r="DI85" s="45"/>
      <c r="DJ85" s="45"/>
      <c r="DK85" s="45"/>
      <c r="DL85" s="45"/>
      <c r="DM85" s="45"/>
      <c r="DN85" s="45"/>
      <c r="DO85" s="45"/>
      <c r="DP85" s="45"/>
      <c r="DQ85" s="45"/>
      <c r="DR85" s="45"/>
      <c r="DS85" s="45"/>
      <c r="DT85" s="45"/>
      <c r="DU85" s="45"/>
      <c r="DV85" s="45"/>
      <c r="DW85" s="45"/>
      <c r="DX85" s="45"/>
      <c r="DY85" s="45"/>
      <c r="DZ85" s="45"/>
      <c r="EA85" s="45"/>
      <c r="EB85" s="45"/>
      <c r="EC85" s="45"/>
      <c r="ED85" s="45"/>
      <c r="EE85" s="45"/>
      <c r="EF85" s="45"/>
      <c r="EG85" s="45"/>
      <c r="EH85" s="45"/>
      <c r="EI85" s="45"/>
      <c r="EJ85" s="45"/>
      <c r="EK85" s="45"/>
      <c r="EL85" s="45"/>
      <c r="EM85" s="45"/>
      <c r="EN85" s="45"/>
      <c r="EO85" s="45"/>
      <c r="EP85" s="45"/>
      <c r="EQ85" s="45"/>
    </row>
    <row r="86" spans="1:147" s="92" customFormat="1" ht="15" customHeight="1" x14ac:dyDescent="0.25">
      <c r="A86" s="102" t="s">
        <v>193</v>
      </c>
      <c r="B86" s="137"/>
      <c r="C86" s="104" t="s">
        <v>771</v>
      </c>
      <c r="D86" s="103"/>
      <c r="E86" s="103" t="s">
        <v>191</v>
      </c>
      <c r="F86" s="119"/>
      <c r="G86" s="119"/>
      <c r="H86" s="119"/>
      <c r="I86" s="102"/>
      <c r="J86" s="102"/>
      <c r="K86" s="45"/>
      <c r="L86" s="45"/>
      <c r="M86" s="45"/>
      <c r="N86" s="45"/>
      <c r="O86" s="45"/>
      <c r="P86" s="45"/>
      <c r="Q86" s="45"/>
      <c r="R86" s="45"/>
      <c r="S86" s="45"/>
      <c r="T86" s="45"/>
      <c r="U86" s="45"/>
      <c r="V86" s="45"/>
      <c r="W86" s="45"/>
      <c r="X86" s="45"/>
      <c r="Y86" s="45"/>
      <c r="Z86" s="45"/>
      <c r="AA86" s="45"/>
      <c r="AB86" s="45"/>
      <c r="AC86" s="45"/>
      <c r="AD86" s="45"/>
      <c r="AE86" s="45"/>
      <c r="AF86" s="45"/>
      <c r="AG86" s="45"/>
      <c r="AH86" s="45"/>
      <c r="AI86" s="45"/>
      <c r="AJ86" s="45"/>
      <c r="AK86" s="45"/>
      <c r="AL86" s="45"/>
      <c r="AM86" s="45"/>
      <c r="AN86" s="45"/>
      <c r="AO86" s="45"/>
      <c r="AP86" s="45"/>
      <c r="AQ86" s="45"/>
      <c r="AR86" s="45"/>
      <c r="AS86" s="45"/>
      <c r="AT86" s="45"/>
      <c r="AU86" s="45"/>
      <c r="AV86" s="45"/>
      <c r="AW86" s="45"/>
      <c r="AX86" s="45"/>
      <c r="AY86" s="45"/>
      <c r="AZ86" s="45"/>
      <c r="BA86" s="45"/>
      <c r="BB86" s="45"/>
      <c r="BC86" s="45"/>
      <c r="BD86" s="45"/>
      <c r="BE86" s="45"/>
      <c r="BF86" s="45"/>
      <c r="BG86" s="45"/>
      <c r="BH86" s="45"/>
      <c r="BI86" s="45"/>
      <c r="BJ86" s="45"/>
      <c r="BK86" s="45"/>
      <c r="BL86" s="45"/>
      <c r="BM86" s="45"/>
      <c r="BN86" s="45"/>
      <c r="BO86" s="45"/>
      <c r="BP86" s="45"/>
      <c r="BQ86" s="45"/>
      <c r="BR86" s="45"/>
      <c r="BS86" s="45"/>
      <c r="BT86" s="45"/>
      <c r="BU86" s="45"/>
      <c r="BV86" s="45"/>
      <c r="BW86" s="45"/>
      <c r="BX86" s="45"/>
      <c r="BY86" s="45"/>
      <c r="BZ86" s="45"/>
      <c r="CA86" s="45"/>
      <c r="CB86" s="45"/>
      <c r="CC86" s="45"/>
      <c r="CD86" s="45"/>
      <c r="CE86" s="45"/>
      <c r="CF86" s="45"/>
      <c r="CG86" s="45"/>
      <c r="CH86" s="45"/>
      <c r="CI86" s="45"/>
      <c r="CJ86" s="45"/>
      <c r="CK86" s="45"/>
      <c r="CL86" s="45"/>
      <c r="CM86" s="45"/>
      <c r="CN86" s="45"/>
      <c r="CO86" s="45"/>
      <c r="CP86" s="45"/>
      <c r="CQ86" s="45"/>
      <c r="CR86" s="45"/>
      <c r="CS86" s="45"/>
      <c r="CT86" s="45"/>
      <c r="CU86" s="45"/>
      <c r="CV86" s="45"/>
      <c r="CW86" s="45"/>
      <c r="CX86" s="45"/>
      <c r="CY86" s="45"/>
      <c r="CZ86" s="45"/>
      <c r="DA86" s="45"/>
      <c r="DB86" s="45"/>
      <c r="DC86" s="45"/>
      <c r="DD86" s="45"/>
      <c r="DE86" s="45"/>
      <c r="DF86" s="45"/>
      <c r="DG86" s="45"/>
      <c r="DH86" s="45"/>
      <c r="DI86" s="45"/>
      <c r="DJ86" s="45"/>
      <c r="DK86" s="45"/>
      <c r="DL86" s="45"/>
      <c r="DM86" s="45"/>
      <c r="DN86" s="45"/>
      <c r="DO86" s="45"/>
      <c r="DP86" s="45"/>
      <c r="DQ86" s="45"/>
      <c r="DR86" s="45"/>
      <c r="DS86" s="45"/>
      <c r="DT86" s="45"/>
      <c r="DU86" s="45"/>
      <c r="DV86" s="45"/>
      <c r="DW86" s="45"/>
      <c r="DX86" s="45"/>
      <c r="DY86" s="45"/>
      <c r="DZ86" s="45"/>
      <c r="EA86" s="45"/>
      <c r="EB86" s="45"/>
      <c r="EC86" s="45"/>
      <c r="ED86" s="45"/>
      <c r="EE86" s="45"/>
      <c r="EF86" s="45"/>
      <c r="EG86" s="45"/>
      <c r="EH86" s="45"/>
      <c r="EI86" s="45"/>
      <c r="EJ86" s="45"/>
      <c r="EK86" s="45"/>
      <c r="EL86" s="45"/>
      <c r="EM86" s="45"/>
      <c r="EN86" s="45"/>
      <c r="EO86" s="45"/>
      <c r="EP86" s="45"/>
      <c r="EQ86" s="45"/>
    </row>
    <row r="87" spans="1:147" s="92" customFormat="1" ht="15" customHeight="1" x14ac:dyDescent="0.25">
      <c r="A87" s="102" t="s">
        <v>772</v>
      </c>
      <c r="B87" s="137"/>
      <c r="C87" s="104" t="s">
        <v>774</v>
      </c>
      <c r="D87" s="103"/>
      <c r="E87" s="103" t="s">
        <v>191</v>
      </c>
      <c r="F87" s="119"/>
      <c r="G87" s="119"/>
      <c r="H87" s="119"/>
      <c r="I87" s="102"/>
      <c r="J87" s="102"/>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c r="AT87" s="45"/>
      <c r="AU87" s="45"/>
      <c r="AV87" s="45"/>
      <c r="AW87" s="45"/>
      <c r="AX87" s="45"/>
      <c r="AY87" s="45"/>
      <c r="AZ87" s="45"/>
      <c r="BA87" s="45"/>
      <c r="BB87" s="45"/>
      <c r="BC87" s="45"/>
      <c r="BD87" s="45"/>
      <c r="BE87" s="45"/>
      <c r="BF87" s="45"/>
      <c r="BG87" s="45"/>
      <c r="BH87" s="45"/>
      <c r="BI87" s="45"/>
      <c r="BJ87" s="45"/>
      <c r="BK87" s="45"/>
      <c r="BL87" s="45"/>
      <c r="BM87" s="45"/>
      <c r="BN87" s="45"/>
      <c r="BO87" s="45"/>
      <c r="BP87" s="45"/>
      <c r="BQ87" s="45"/>
      <c r="BR87" s="45"/>
      <c r="BS87" s="45"/>
      <c r="BT87" s="45"/>
      <c r="BU87" s="45"/>
      <c r="BV87" s="45"/>
      <c r="BW87" s="45"/>
      <c r="BX87" s="45"/>
      <c r="BY87" s="45"/>
      <c r="BZ87" s="45"/>
      <c r="CA87" s="45"/>
      <c r="CB87" s="45"/>
      <c r="CC87" s="45"/>
      <c r="CD87" s="45"/>
      <c r="CE87" s="45"/>
      <c r="CF87" s="45"/>
      <c r="CG87" s="45"/>
      <c r="CH87" s="45"/>
      <c r="CI87" s="45"/>
      <c r="CJ87" s="45"/>
      <c r="CK87" s="45"/>
      <c r="CL87" s="45"/>
      <c r="CM87" s="45"/>
      <c r="CN87" s="45"/>
      <c r="CO87" s="45"/>
      <c r="CP87" s="45"/>
      <c r="CQ87" s="45"/>
      <c r="CR87" s="45"/>
      <c r="CS87" s="45"/>
      <c r="CT87" s="45"/>
      <c r="CU87" s="45"/>
      <c r="CV87" s="45"/>
      <c r="CW87" s="45"/>
      <c r="CX87" s="45"/>
      <c r="CY87" s="45"/>
      <c r="CZ87" s="45"/>
      <c r="DA87" s="45"/>
      <c r="DB87" s="45"/>
      <c r="DC87" s="45"/>
      <c r="DD87" s="45"/>
      <c r="DE87" s="45"/>
      <c r="DF87" s="45"/>
      <c r="DG87" s="45"/>
      <c r="DH87" s="45"/>
      <c r="DI87" s="45"/>
      <c r="DJ87" s="45"/>
      <c r="DK87" s="45"/>
      <c r="DL87" s="45"/>
      <c r="DM87" s="45"/>
      <c r="DN87" s="45"/>
      <c r="DO87" s="45"/>
      <c r="DP87" s="45"/>
      <c r="DQ87" s="45"/>
      <c r="DR87" s="45"/>
      <c r="DS87" s="45"/>
      <c r="DT87" s="45"/>
      <c r="DU87" s="45"/>
      <c r="DV87" s="45"/>
      <c r="DW87" s="45"/>
      <c r="DX87" s="45"/>
      <c r="DY87" s="45"/>
      <c r="DZ87" s="45"/>
      <c r="EA87" s="45"/>
      <c r="EB87" s="45"/>
      <c r="EC87" s="45"/>
      <c r="ED87" s="45"/>
      <c r="EE87" s="45"/>
      <c r="EF87" s="45"/>
      <c r="EG87" s="45"/>
      <c r="EH87" s="45"/>
      <c r="EI87" s="45"/>
      <c r="EJ87" s="45"/>
      <c r="EK87" s="45"/>
      <c r="EL87" s="45"/>
      <c r="EM87" s="45"/>
      <c r="EN87" s="45"/>
      <c r="EO87" s="45"/>
      <c r="EP87" s="45"/>
      <c r="EQ87" s="45"/>
    </row>
    <row r="88" spans="1:147" s="92" customFormat="1" ht="15" customHeight="1" x14ac:dyDescent="0.25">
      <c r="A88" s="102" t="s">
        <v>773</v>
      </c>
      <c r="B88" s="137"/>
      <c r="C88" s="104" t="s">
        <v>775</v>
      </c>
      <c r="D88" s="103"/>
      <c r="E88" s="103" t="s">
        <v>191</v>
      </c>
      <c r="F88" s="119"/>
      <c r="G88" s="119"/>
      <c r="H88" s="119"/>
      <c r="I88" s="102"/>
      <c r="J88" s="102"/>
      <c r="K88" s="45"/>
      <c r="L88" s="45"/>
      <c r="M88" s="45"/>
      <c r="N88" s="45"/>
      <c r="O88" s="45"/>
      <c r="P88" s="45"/>
      <c r="Q88" s="45"/>
      <c r="R88" s="45"/>
      <c r="S88" s="45"/>
      <c r="T88" s="45"/>
      <c r="U88" s="45"/>
      <c r="V88" s="45"/>
      <c r="W88" s="45"/>
      <c r="X88" s="45"/>
      <c r="Y88" s="45"/>
      <c r="Z88" s="45"/>
      <c r="AA88" s="45"/>
      <c r="AB88" s="45"/>
      <c r="AC88" s="45"/>
      <c r="AD88" s="45"/>
      <c r="AE88" s="45"/>
      <c r="AF88" s="45"/>
      <c r="AG88" s="45"/>
      <c r="AH88" s="45"/>
      <c r="AI88" s="45"/>
      <c r="AJ88" s="45"/>
      <c r="AK88" s="45"/>
      <c r="AL88" s="45"/>
      <c r="AM88" s="45"/>
      <c r="AN88" s="45"/>
      <c r="AO88" s="45"/>
      <c r="AP88" s="45"/>
      <c r="AQ88" s="45"/>
      <c r="AR88" s="45"/>
      <c r="AS88" s="45"/>
      <c r="AT88" s="45"/>
      <c r="AU88" s="45"/>
      <c r="AV88" s="45"/>
      <c r="AW88" s="45"/>
      <c r="AX88" s="45"/>
      <c r="AY88" s="45"/>
      <c r="AZ88" s="45"/>
      <c r="BA88" s="45"/>
      <c r="BB88" s="45"/>
      <c r="BC88" s="45"/>
      <c r="BD88" s="45"/>
      <c r="BE88" s="45"/>
      <c r="BF88" s="45"/>
      <c r="BG88" s="45"/>
      <c r="BH88" s="45"/>
      <c r="BI88" s="45"/>
      <c r="BJ88" s="45"/>
      <c r="BK88" s="45"/>
      <c r="BL88" s="45"/>
      <c r="BM88" s="45"/>
      <c r="BN88" s="45"/>
      <c r="BO88" s="45"/>
      <c r="BP88" s="45"/>
      <c r="BQ88" s="45"/>
      <c r="BR88" s="45"/>
      <c r="BS88" s="45"/>
      <c r="BT88" s="45"/>
      <c r="BU88" s="45"/>
      <c r="BV88" s="45"/>
      <c r="BW88" s="45"/>
      <c r="BX88" s="45"/>
      <c r="BY88" s="45"/>
      <c r="BZ88" s="45"/>
      <c r="CA88" s="45"/>
      <c r="CB88" s="45"/>
      <c r="CC88" s="45"/>
      <c r="CD88" s="45"/>
      <c r="CE88" s="45"/>
      <c r="CF88" s="45"/>
      <c r="CG88" s="45"/>
      <c r="CH88" s="45"/>
      <c r="CI88" s="45"/>
      <c r="CJ88" s="45"/>
      <c r="CK88" s="45"/>
      <c r="CL88" s="45"/>
      <c r="CM88" s="45"/>
      <c r="CN88" s="45"/>
      <c r="CO88" s="45"/>
      <c r="CP88" s="45"/>
      <c r="CQ88" s="45"/>
      <c r="CR88" s="45"/>
      <c r="CS88" s="45"/>
      <c r="CT88" s="45"/>
      <c r="CU88" s="45"/>
      <c r="CV88" s="45"/>
      <c r="CW88" s="45"/>
      <c r="CX88" s="45"/>
      <c r="CY88" s="45"/>
      <c r="CZ88" s="45"/>
      <c r="DA88" s="45"/>
      <c r="DB88" s="45"/>
      <c r="DC88" s="45"/>
      <c r="DD88" s="45"/>
      <c r="DE88" s="45"/>
      <c r="DF88" s="45"/>
      <c r="DG88" s="45"/>
      <c r="DH88" s="45"/>
      <c r="DI88" s="45"/>
      <c r="DJ88" s="45"/>
      <c r="DK88" s="45"/>
      <c r="DL88" s="45"/>
      <c r="DM88" s="45"/>
      <c r="DN88" s="45"/>
      <c r="DO88" s="45"/>
      <c r="DP88" s="45"/>
      <c r="DQ88" s="45"/>
      <c r="DR88" s="45"/>
      <c r="DS88" s="45"/>
      <c r="DT88" s="45"/>
      <c r="DU88" s="45"/>
      <c r="DV88" s="45"/>
      <c r="DW88" s="45"/>
      <c r="DX88" s="45"/>
      <c r="DY88" s="45"/>
      <c r="DZ88" s="45"/>
      <c r="EA88" s="45"/>
      <c r="EB88" s="45"/>
      <c r="EC88" s="45"/>
      <c r="ED88" s="45"/>
      <c r="EE88" s="45"/>
      <c r="EF88" s="45"/>
      <c r="EG88" s="45"/>
      <c r="EH88" s="45"/>
      <c r="EI88" s="45"/>
      <c r="EJ88" s="45"/>
      <c r="EK88" s="45"/>
      <c r="EL88" s="45"/>
      <c r="EM88" s="45"/>
      <c r="EN88" s="45"/>
      <c r="EO88" s="45"/>
      <c r="EP88" s="45"/>
      <c r="EQ88" s="45"/>
    </row>
    <row r="89" spans="1:147" s="92" customFormat="1" ht="15" customHeight="1" x14ac:dyDescent="0.25">
      <c r="A89" s="102" t="s">
        <v>776</v>
      </c>
      <c r="B89" s="137"/>
      <c r="C89" s="104" t="s">
        <v>777</v>
      </c>
      <c r="D89" s="103"/>
      <c r="E89" s="103" t="s">
        <v>191</v>
      </c>
      <c r="F89" s="119"/>
      <c r="G89" s="119"/>
      <c r="H89" s="119"/>
      <c r="I89" s="102"/>
      <c r="J89" s="102"/>
      <c r="K89" s="45"/>
      <c r="L89" s="45"/>
      <c r="M89" s="45"/>
      <c r="N89" s="45"/>
      <c r="O89" s="45"/>
      <c r="P89" s="45"/>
      <c r="Q89" s="45"/>
      <c r="R89" s="45"/>
      <c r="S89" s="45"/>
      <c r="T89" s="45"/>
      <c r="U89" s="45"/>
      <c r="V89" s="45"/>
      <c r="W89" s="45"/>
      <c r="X89" s="45"/>
      <c r="Y89" s="45"/>
      <c r="Z89" s="45"/>
      <c r="AA89" s="45"/>
      <c r="AB89" s="45"/>
      <c r="AC89" s="45"/>
      <c r="AD89" s="45"/>
      <c r="AE89" s="45"/>
      <c r="AF89" s="45"/>
      <c r="AG89" s="45"/>
      <c r="AH89" s="45"/>
      <c r="AI89" s="45"/>
      <c r="AJ89" s="45"/>
      <c r="AK89" s="45"/>
      <c r="AL89" s="45"/>
      <c r="AM89" s="45"/>
      <c r="AN89" s="45"/>
      <c r="AO89" s="45"/>
      <c r="AP89" s="45"/>
      <c r="AQ89" s="45"/>
      <c r="AR89" s="45"/>
      <c r="AS89" s="45"/>
      <c r="AT89" s="45"/>
      <c r="AU89" s="45"/>
      <c r="AV89" s="45"/>
      <c r="AW89" s="45"/>
      <c r="AX89" s="45"/>
      <c r="AY89" s="45"/>
      <c r="AZ89" s="45"/>
      <c r="BA89" s="45"/>
      <c r="BB89" s="45"/>
      <c r="BC89" s="45"/>
      <c r="BD89" s="45"/>
      <c r="BE89" s="45"/>
      <c r="BF89" s="45"/>
      <c r="BG89" s="45"/>
      <c r="BH89" s="45"/>
      <c r="BI89" s="45"/>
      <c r="BJ89" s="45"/>
      <c r="BK89" s="45"/>
      <c r="BL89" s="45"/>
      <c r="BM89" s="45"/>
      <c r="BN89" s="45"/>
      <c r="BO89" s="45"/>
      <c r="BP89" s="45"/>
      <c r="BQ89" s="45"/>
      <c r="BR89" s="45"/>
      <c r="BS89" s="45"/>
      <c r="BT89" s="45"/>
      <c r="BU89" s="45"/>
      <c r="BV89" s="45"/>
      <c r="BW89" s="45"/>
      <c r="BX89" s="45"/>
      <c r="BY89" s="45"/>
      <c r="BZ89" s="45"/>
      <c r="CA89" s="45"/>
      <c r="CB89" s="45"/>
      <c r="CC89" s="45"/>
      <c r="CD89" s="45"/>
      <c r="CE89" s="45"/>
      <c r="CF89" s="45"/>
      <c r="CG89" s="45"/>
      <c r="CH89" s="45"/>
      <c r="CI89" s="45"/>
      <c r="CJ89" s="45"/>
      <c r="CK89" s="45"/>
      <c r="CL89" s="45"/>
      <c r="CM89" s="45"/>
      <c r="CN89" s="45"/>
      <c r="CO89" s="45"/>
      <c r="CP89" s="45"/>
      <c r="CQ89" s="45"/>
      <c r="CR89" s="45"/>
      <c r="CS89" s="45"/>
      <c r="CT89" s="45"/>
      <c r="CU89" s="45"/>
      <c r="CV89" s="45"/>
      <c r="CW89" s="45"/>
      <c r="CX89" s="45"/>
      <c r="CY89" s="45"/>
      <c r="CZ89" s="45"/>
      <c r="DA89" s="45"/>
      <c r="DB89" s="45"/>
      <c r="DC89" s="45"/>
      <c r="DD89" s="45"/>
      <c r="DE89" s="45"/>
      <c r="DF89" s="45"/>
      <c r="DG89" s="45"/>
      <c r="DH89" s="45"/>
      <c r="DI89" s="45"/>
      <c r="DJ89" s="45"/>
      <c r="DK89" s="45"/>
      <c r="DL89" s="45"/>
      <c r="DM89" s="45"/>
      <c r="DN89" s="45"/>
      <c r="DO89" s="45"/>
      <c r="DP89" s="45"/>
      <c r="DQ89" s="45"/>
      <c r="DR89" s="45"/>
      <c r="DS89" s="45"/>
      <c r="DT89" s="45"/>
      <c r="DU89" s="45"/>
      <c r="DV89" s="45"/>
      <c r="DW89" s="45"/>
      <c r="DX89" s="45"/>
      <c r="DY89" s="45"/>
      <c r="DZ89" s="45"/>
      <c r="EA89" s="45"/>
      <c r="EB89" s="45"/>
      <c r="EC89" s="45"/>
      <c r="ED89" s="45"/>
      <c r="EE89" s="45"/>
      <c r="EF89" s="45"/>
      <c r="EG89" s="45"/>
      <c r="EH89" s="45"/>
      <c r="EI89" s="45"/>
      <c r="EJ89" s="45"/>
      <c r="EK89" s="45"/>
      <c r="EL89" s="45"/>
      <c r="EM89" s="45"/>
      <c r="EN89" s="45"/>
      <c r="EO89" s="45"/>
      <c r="EP89" s="45"/>
      <c r="EQ89" s="45"/>
    </row>
    <row r="90" spans="1:147" s="92" customFormat="1" ht="15" customHeight="1" x14ac:dyDescent="0.25">
      <c r="A90" s="102" t="s">
        <v>778</v>
      </c>
      <c r="B90" s="137"/>
      <c r="C90" s="104" t="s">
        <v>779</v>
      </c>
      <c r="D90" s="103"/>
      <c r="E90" s="103" t="s">
        <v>191</v>
      </c>
      <c r="F90" s="119"/>
      <c r="G90" s="119"/>
      <c r="H90" s="119"/>
      <c r="I90" s="102"/>
      <c r="J90" s="102"/>
      <c r="K90" s="45"/>
      <c r="L90" s="45"/>
      <c r="M90" s="45"/>
      <c r="N90" s="45"/>
      <c r="O90" s="45"/>
      <c r="P90" s="45"/>
      <c r="Q90" s="45"/>
      <c r="R90" s="45"/>
      <c r="S90" s="45"/>
      <c r="T90" s="45"/>
      <c r="U90" s="45"/>
      <c r="V90" s="45"/>
      <c r="W90" s="45"/>
      <c r="X90" s="45"/>
      <c r="Y90" s="45"/>
      <c r="Z90" s="45"/>
      <c r="AA90" s="45"/>
      <c r="AB90" s="45"/>
      <c r="AC90" s="45"/>
      <c r="AD90" s="45"/>
      <c r="AE90" s="45"/>
      <c r="AF90" s="45"/>
      <c r="AG90" s="45"/>
      <c r="AH90" s="45"/>
      <c r="AI90" s="45"/>
      <c r="AJ90" s="45"/>
      <c r="AK90" s="45"/>
      <c r="AL90" s="45"/>
      <c r="AM90" s="45"/>
      <c r="AN90" s="45"/>
      <c r="AO90" s="45"/>
      <c r="AP90" s="45"/>
      <c r="AQ90" s="45"/>
      <c r="AR90" s="45"/>
      <c r="AS90" s="45"/>
      <c r="AT90" s="45"/>
      <c r="AU90" s="45"/>
      <c r="AV90" s="45"/>
      <c r="AW90" s="45"/>
      <c r="AX90" s="45"/>
      <c r="AY90" s="45"/>
      <c r="AZ90" s="45"/>
      <c r="BA90" s="45"/>
      <c r="BB90" s="45"/>
      <c r="BC90" s="45"/>
      <c r="BD90" s="45"/>
      <c r="BE90" s="45"/>
      <c r="BF90" s="45"/>
      <c r="BG90" s="45"/>
      <c r="BH90" s="45"/>
      <c r="BI90" s="45"/>
      <c r="BJ90" s="45"/>
      <c r="BK90" s="45"/>
      <c r="BL90" s="45"/>
      <c r="BM90" s="45"/>
      <c r="BN90" s="45"/>
      <c r="BO90" s="45"/>
      <c r="BP90" s="45"/>
      <c r="BQ90" s="45"/>
      <c r="BR90" s="45"/>
      <c r="BS90" s="45"/>
      <c r="BT90" s="45"/>
      <c r="BU90" s="45"/>
      <c r="BV90" s="45"/>
      <c r="BW90" s="45"/>
      <c r="BX90" s="45"/>
      <c r="BY90" s="45"/>
      <c r="BZ90" s="45"/>
      <c r="CA90" s="45"/>
      <c r="CB90" s="45"/>
      <c r="CC90" s="45"/>
      <c r="CD90" s="45"/>
      <c r="CE90" s="45"/>
      <c r="CF90" s="45"/>
      <c r="CG90" s="45"/>
      <c r="CH90" s="45"/>
      <c r="CI90" s="45"/>
      <c r="CJ90" s="45"/>
      <c r="CK90" s="45"/>
      <c r="CL90" s="45"/>
      <c r="CM90" s="45"/>
      <c r="CN90" s="45"/>
      <c r="CO90" s="45"/>
      <c r="CP90" s="45"/>
      <c r="CQ90" s="45"/>
      <c r="CR90" s="45"/>
      <c r="CS90" s="45"/>
      <c r="CT90" s="45"/>
      <c r="CU90" s="45"/>
      <c r="CV90" s="45"/>
      <c r="CW90" s="45"/>
      <c r="CX90" s="45"/>
      <c r="CY90" s="45"/>
      <c r="CZ90" s="45"/>
      <c r="DA90" s="45"/>
      <c r="DB90" s="45"/>
      <c r="DC90" s="45"/>
      <c r="DD90" s="45"/>
      <c r="DE90" s="45"/>
      <c r="DF90" s="45"/>
      <c r="DG90" s="45"/>
      <c r="DH90" s="45"/>
      <c r="DI90" s="45"/>
      <c r="DJ90" s="45"/>
      <c r="DK90" s="45"/>
      <c r="DL90" s="45"/>
      <c r="DM90" s="45"/>
      <c r="DN90" s="45"/>
      <c r="DO90" s="45"/>
      <c r="DP90" s="45"/>
      <c r="DQ90" s="45"/>
      <c r="DR90" s="45"/>
      <c r="DS90" s="45"/>
      <c r="DT90" s="45"/>
      <c r="DU90" s="45"/>
      <c r="DV90" s="45"/>
      <c r="DW90" s="45"/>
      <c r="DX90" s="45"/>
      <c r="DY90" s="45"/>
      <c r="DZ90" s="45"/>
      <c r="EA90" s="45"/>
      <c r="EB90" s="45"/>
      <c r="EC90" s="45"/>
      <c r="ED90" s="45"/>
      <c r="EE90" s="45"/>
      <c r="EF90" s="45"/>
      <c r="EG90" s="45"/>
      <c r="EH90" s="45"/>
      <c r="EI90" s="45"/>
      <c r="EJ90" s="45"/>
      <c r="EK90" s="45"/>
      <c r="EL90" s="45"/>
      <c r="EM90" s="45"/>
      <c r="EN90" s="45"/>
      <c r="EO90" s="45"/>
      <c r="EP90" s="45"/>
      <c r="EQ90" s="45"/>
    </row>
    <row r="91" spans="1:147" s="92" customFormat="1" ht="15" customHeight="1" x14ac:dyDescent="0.25">
      <c r="A91" s="102" t="s">
        <v>554</v>
      </c>
      <c r="B91" s="137"/>
      <c r="C91" s="104" t="s">
        <v>562</v>
      </c>
      <c r="D91" s="103"/>
      <c r="E91" s="103" t="s">
        <v>191</v>
      </c>
      <c r="F91" s="119"/>
      <c r="G91" s="119"/>
      <c r="H91" s="119"/>
      <c r="I91" s="102"/>
      <c r="J91" s="102"/>
      <c r="K91" s="45"/>
      <c r="L91" s="45"/>
      <c r="M91" s="45"/>
      <c r="N91" s="45"/>
      <c r="O91" s="45"/>
      <c r="P91" s="45"/>
      <c r="Q91" s="45"/>
      <c r="R91" s="45"/>
      <c r="S91" s="45"/>
      <c r="T91" s="45"/>
      <c r="U91" s="45"/>
      <c r="V91" s="45"/>
      <c r="W91" s="45"/>
      <c r="X91" s="45"/>
      <c r="Y91" s="45"/>
      <c r="Z91" s="45"/>
      <c r="AA91" s="45"/>
      <c r="AB91" s="45"/>
      <c r="AC91" s="45"/>
      <c r="AD91" s="45"/>
      <c r="AE91" s="45"/>
      <c r="AF91" s="45"/>
      <c r="AG91" s="45"/>
      <c r="AH91" s="45"/>
      <c r="AI91" s="45"/>
      <c r="AJ91" s="45"/>
      <c r="AK91" s="45"/>
      <c r="AL91" s="45"/>
      <c r="AM91" s="45"/>
      <c r="AN91" s="45"/>
      <c r="AO91" s="45"/>
      <c r="AP91" s="45"/>
      <c r="AQ91" s="45"/>
      <c r="AR91" s="45"/>
      <c r="AS91" s="45"/>
      <c r="AT91" s="45"/>
      <c r="AU91" s="45"/>
      <c r="AV91" s="45"/>
      <c r="AW91" s="45"/>
      <c r="AX91" s="45"/>
      <c r="AY91" s="45"/>
      <c r="AZ91" s="45"/>
      <c r="BA91" s="45"/>
      <c r="BB91" s="45"/>
      <c r="BC91" s="45"/>
      <c r="BD91" s="45"/>
      <c r="BE91" s="45"/>
      <c r="BF91" s="45"/>
      <c r="BG91" s="45"/>
      <c r="BH91" s="45"/>
      <c r="BI91" s="45"/>
      <c r="BJ91" s="45"/>
      <c r="BK91" s="45"/>
      <c r="BL91" s="45"/>
      <c r="BM91" s="45"/>
      <c r="BN91" s="45"/>
      <c r="BO91" s="45"/>
      <c r="BP91" s="45"/>
      <c r="BQ91" s="45"/>
      <c r="BR91" s="45"/>
      <c r="BS91" s="45"/>
      <c r="BT91" s="45"/>
      <c r="BU91" s="45"/>
      <c r="BV91" s="45"/>
      <c r="BW91" s="45"/>
      <c r="BX91" s="45"/>
      <c r="BY91" s="45"/>
      <c r="BZ91" s="45"/>
      <c r="CA91" s="45"/>
      <c r="CB91" s="45"/>
      <c r="CC91" s="45"/>
      <c r="CD91" s="45"/>
      <c r="CE91" s="45"/>
      <c r="CF91" s="45"/>
      <c r="CG91" s="45"/>
      <c r="CH91" s="45"/>
      <c r="CI91" s="45"/>
      <c r="CJ91" s="45"/>
      <c r="CK91" s="45"/>
      <c r="CL91" s="45"/>
      <c r="CM91" s="45"/>
      <c r="CN91" s="45"/>
      <c r="CO91" s="45"/>
      <c r="CP91" s="45"/>
      <c r="CQ91" s="45"/>
      <c r="CR91" s="45"/>
      <c r="CS91" s="45"/>
      <c r="CT91" s="45"/>
      <c r="CU91" s="45"/>
      <c r="CV91" s="45"/>
      <c r="CW91" s="45"/>
      <c r="CX91" s="45"/>
      <c r="CY91" s="45"/>
      <c r="CZ91" s="45"/>
      <c r="DA91" s="45"/>
      <c r="DB91" s="45"/>
      <c r="DC91" s="45"/>
      <c r="DD91" s="45"/>
      <c r="DE91" s="45"/>
      <c r="DF91" s="45"/>
      <c r="DG91" s="45"/>
      <c r="DH91" s="45"/>
      <c r="DI91" s="45"/>
      <c r="DJ91" s="45"/>
      <c r="DK91" s="45"/>
      <c r="DL91" s="45"/>
      <c r="DM91" s="45"/>
      <c r="DN91" s="45"/>
      <c r="DO91" s="45"/>
      <c r="DP91" s="45"/>
      <c r="DQ91" s="45"/>
      <c r="DR91" s="45"/>
      <c r="DS91" s="45"/>
      <c r="DT91" s="45"/>
      <c r="DU91" s="45"/>
      <c r="DV91" s="45"/>
      <c r="DW91" s="45"/>
      <c r="DX91" s="45"/>
      <c r="DY91" s="45"/>
      <c r="DZ91" s="45"/>
      <c r="EA91" s="45"/>
      <c r="EB91" s="45"/>
      <c r="EC91" s="45"/>
      <c r="ED91" s="45"/>
      <c r="EE91" s="45"/>
      <c r="EF91" s="45"/>
      <c r="EG91" s="45"/>
      <c r="EH91" s="45"/>
      <c r="EI91" s="45"/>
      <c r="EJ91" s="45"/>
      <c r="EK91" s="45"/>
      <c r="EL91" s="45"/>
      <c r="EM91" s="45"/>
      <c r="EN91" s="45"/>
      <c r="EO91" s="45"/>
      <c r="EP91" s="45"/>
      <c r="EQ91" s="45"/>
    </row>
    <row r="92" spans="1:147" s="92" customFormat="1" ht="15" customHeight="1" x14ac:dyDescent="0.25">
      <c r="A92" s="102" t="s">
        <v>780</v>
      </c>
      <c r="B92" s="137"/>
      <c r="C92" s="104" t="s">
        <v>781</v>
      </c>
      <c r="D92" s="103"/>
      <c r="E92" s="103" t="s">
        <v>191</v>
      </c>
      <c r="F92" s="119"/>
      <c r="G92" s="119"/>
      <c r="H92" s="119"/>
      <c r="I92" s="102"/>
      <c r="J92" s="102"/>
      <c r="K92" s="45"/>
      <c r="L92" s="45"/>
      <c r="M92" s="45"/>
      <c r="N92" s="45"/>
      <c r="O92" s="45"/>
      <c r="P92" s="45"/>
      <c r="Q92" s="45"/>
      <c r="R92" s="45"/>
      <c r="S92" s="45"/>
      <c r="T92" s="45"/>
      <c r="U92" s="45"/>
      <c r="V92" s="45"/>
      <c r="W92" s="45"/>
      <c r="X92" s="45"/>
      <c r="Y92" s="45"/>
      <c r="Z92" s="45"/>
      <c r="AA92" s="45"/>
      <c r="AB92" s="45"/>
      <c r="AC92" s="45"/>
      <c r="AD92" s="45"/>
      <c r="AE92" s="45"/>
      <c r="AF92" s="45"/>
      <c r="AG92" s="45"/>
      <c r="AH92" s="45"/>
      <c r="AI92" s="45"/>
      <c r="AJ92" s="45"/>
      <c r="AK92" s="45"/>
      <c r="AL92" s="45"/>
      <c r="AM92" s="45"/>
      <c r="AN92" s="45"/>
      <c r="AO92" s="45"/>
      <c r="AP92" s="45"/>
      <c r="AQ92" s="45"/>
      <c r="AR92" s="45"/>
      <c r="AS92" s="45"/>
      <c r="AT92" s="45"/>
      <c r="AU92" s="45"/>
      <c r="AV92" s="45"/>
      <c r="AW92" s="45"/>
      <c r="AX92" s="45"/>
      <c r="AY92" s="45"/>
      <c r="AZ92" s="45"/>
      <c r="BA92" s="45"/>
      <c r="BB92" s="45"/>
      <c r="BC92" s="45"/>
      <c r="BD92" s="45"/>
      <c r="BE92" s="45"/>
      <c r="BF92" s="45"/>
      <c r="BG92" s="45"/>
      <c r="BH92" s="45"/>
      <c r="BI92" s="45"/>
      <c r="BJ92" s="45"/>
      <c r="BK92" s="45"/>
      <c r="BL92" s="45"/>
      <c r="BM92" s="45"/>
      <c r="BN92" s="45"/>
      <c r="BO92" s="45"/>
      <c r="BP92" s="45"/>
      <c r="BQ92" s="45"/>
      <c r="BR92" s="45"/>
      <c r="BS92" s="45"/>
      <c r="BT92" s="45"/>
      <c r="BU92" s="45"/>
      <c r="BV92" s="45"/>
      <c r="BW92" s="45"/>
      <c r="BX92" s="45"/>
      <c r="BY92" s="45"/>
      <c r="BZ92" s="45"/>
      <c r="CA92" s="45"/>
      <c r="CB92" s="45"/>
      <c r="CC92" s="45"/>
      <c r="CD92" s="45"/>
      <c r="CE92" s="45"/>
      <c r="CF92" s="45"/>
      <c r="CG92" s="45"/>
      <c r="CH92" s="45"/>
      <c r="CI92" s="45"/>
      <c r="CJ92" s="45"/>
      <c r="CK92" s="45"/>
      <c r="CL92" s="45"/>
      <c r="CM92" s="45"/>
      <c r="CN92" s="45"/>
      <c r="CO92" s="45"/>
      <c r="CP92" s="45"/>
      <c r="CQ92" s="45"/>
      <c r="CR92" s="45"/>
      <c r="CS92" s="45"/>
      <c r="CT92" s="45"/>
      <c r="CU92" s="45"/>
      <c r="CV92" s="45"/>
      <c r="CW92" s="45"/>
      <c r="CX92" s="45"/>
      <c r="CY92" s="45"/>
      <c r="CZ92" s="45"/>
      <c r="DA92" s="45"/>
      <c r="DB92" s="45"/>
      <c r="DC92" s="45"/>
      <c r="DD92" s="45"/>
      <c r="DE92" s="45"/>
      <c r="DF92" s="45"/>
      <c r="DG92" s="45"/>
      <c r="DH92" s="45"/>
      <c r="DI92" s="45"/>
      <c r="DJ92" s="45"/>
      <c r="DK92" s="45"/>
      <c r="DL92" s="45"/>
      <c r="DM92" s="45"/>
      <c r="DN92" s="45"/>
      <c r="DO92" s="45"/>
      <c r="DP92" s="45"/>
      <c r="DQ92" s="45"/>
      <c r="DR92" s="45"/>
      <c r="DS92" s="45"/>
      <c r="DT92" s="45"/>
      <c r="DU92" s="45"/>
      <c r="DV92" s="45"/>
      <c r="DW92" s="45"/>
      <c r="DX92" s="45"/>
      <c r="DY92" s="45"/>
      <c r="DZ92" s="45"/>
      <c r="EA92" s="45"/>
      <c r="EB92" s="45"/>
      <c r="EC92" s="45"/>
      <c r="ED92" s="45"/>
      <c r="EE92" s="45"/>
      <c r="EF92" s="45"/>
      <c r="EG92" s="45"/>
      <c r="EH92" s="45"/>
      <c r="EI92" s="45"/>
      <c r="EJ92" s="45"/>
      <c r="EK92" s="45"/>
      <c r="EL92" s="45"/>
      <c r="EM92" s="45"/>
      <c r="EN92" s="45"/>
      <c r="EO92" s="45"/>
      <c r="EP92" s="45"/>
      <c r="EQ92" s="45"/>
    </row>
    <row r="93" spans="1:147" s="92" customFormat="1" ht="15" customHeight="1" x14ac:dyDescent="0.25">
      <c r="A93" s="102" t="s">
        <v>782</v>
      </c>
      <c r="B93" s="137"/>
      <c r="C93" s="104" t="s">
        <v>783</v>
      </c>
      <c r="D93" s="103"/>
      <c r="E93" s="103" t="s">
        <v>191</v>
      </c>
      <c r="F93" s="119"/>
      <c r="G93" s="119"/>
      <c r="H93" s="119"/>
      <c r="I93" s="102"/>
      <c r="J93" s="102"/>
      <c r="K93" s="45"/>
      <c r="L93" s="45"/>
      <c r="M93" s="45"/>
      <c r="N93" s="45"/>
      <c r="O93" s="45"/>
      <c r="P93" s="45"/>
      <c r="Q93" s="45"/>
      <c r="R93" s="45"/>
      <c r="S93" s="45"/>
      <c r="T93" s="45"/>
      <c r="U93" s="45"/>
      <c r="V93" s="45"/>
      <c r="W93" s="45"/>
      <c r="X93" s="45"/>
      <c r="Y93" s="45"/>
      <c r="Z93" s="45"/>
      <c r="AA93" s="45"/>
      <c r="AB93" s="45"/>
      <c r="AC93" s="45"/>
      <c r="AD93" s="45"/>
      <c r="AE93" s="45"/>
      <c r="AF93" s="45"/>
      <c r="AG93" s="45"/>
      <c r="AH93" s="45"/>
      <c r="AI93" s="45"/>
      <c r="AJ93" s="45"/>
      <c r="AK93" s="45"/>
      <c r="AL93" s="45"/>
      <c r="AM93" s="45"/>
      <c r="AN93" s="45"/>
      <c r="AO93" s="45"/>
      <c r="AP93" s="45"/>
      <c r="AQ93" s="45"/>
      <c r="AR93" s="45"/>
      <c r="AS93" s="45"/>
      <c r="AT93" s="45"/>
      <c r="AU93" s="45"/>
      <c r="AV93" s="45"/>
      <c r="AW93" s="45"/>
      <c r="AX93" s="45"/>
      <c r="AY93" s="45"/>
      <c r="AZ93" s="45"/>
      <c r="BA93" s="45"/>
      <c r="BB93" s="45"/>
      <c r="BC93" s="45"/>
      <c r="BD93" s="45"/>
      <c r="BE93" s="45"/>
      <c r="BF93" s="45"/>
      <c r="BG93" s="45"/>
      <c r="BH93" s="45"/>
      <c r="BI93" s="45"/>
      <c r="BJ93" s="45"/>
      <c r="BK93" s="45"/>
      <c r="BL93" s="45"/>
      <c r="BM93" s="45"/>
      <c r="BN93" s="45"/>
      <c r="BO93" s="45"/>
      <c r="BP93" s="45"/>
      <c r="BQ93" s="45"/>
      <c r="BR93" s="45"/>
      <c r="BS93" s="45"/>
      <c r="BT93" s="45"/>
      <c r="BU93" s="45"/>
      <c r="BV93" s="45"/>
      <c r="BW93" s="45"/>
      <c r="BX93" s="45"/>
      <c r="BY93" s="45"/>
      <c r="BZ93" s="45"/>
      <c r="CA93" s="45"/>
      <c r="CB93" s="45"/>
      <c r="CC93" s="45"/>
      <c r="CD93" s="45"/>
      <c r="CE93" s="45"/>
      <c r="CF93" s="45"/>
      <c r="CG93" s="45"/>
      <c r="CH93" s="45"/>
      <c r="CI93" s="45"/>
      <c r="CJ93" s="45"/>
      <c r="CK93" s="45"/>
      <c r="CL93" s="45"/>
      <c r="CM93" s="45"/>
      <c r="CN93" s="45"/>
      <c r="CO93" s="45"/>
      <c r="CP93" s="45"/>
      <c r="CQ93" s="45"/>
      <c r="CR93" s="45"/>
      <c r="CS93" s="45"/>
      <c r="CT93" s="45"/>
      <c r="CU93" s="45"/>
      <c r="CV93" s="45"/>
      <c r="CW93" s="45"/>
      <c r="CX93" s="45"/>
      <c r="CY93" s="45"/>
      <c r="CZ93" s="45"/>
      <c r="DA93" s="45"/>
      <c r="DB93" s="45"/>
      <c r="DC93" s="45"/>
      <c r="DD93" s="45"/>
      <c r="DE93" s="45"/>
      <c r="DF93" s="45"/>
      <c r="DG93" s="45"/>
      <c r="DH93" s="45"/>
      <c r="DI93" s="45"/>
      <c r="DJ93" s="45"/>
      <c r="DK93" s="45"/>
      <c r="DL93" s="45"/>
      <c r="DM93" s="45"/>
      <c r="DN93" s="45"/>
      <c r="DO93" s="45"/>
      <c r="DP93" s="45"/>
      <c r="DQ93" s="45"/>
      <c r="DR93" s="45"/>
      <c r="DS93" s="45"/>
      <c r="DT93" s="45"/>
      <c r="DU93" s="45"/>
      <c r="DV93" s="45"/>
      <c r="DW93" s="45"/>
      <c r="DX93" s="45"/>
      <c r="DY93" s="45"/>
      <c r="DZ93" s="45"/>
      <c r="EA93" s="45"/>
      <c r="EB93" s="45"/>
      <c r="EC93" s="45"/>
      <c r="ED93" s="45"/>
      <c r="EE93" s="45"/>
      <c r="EF93" s="45"/>
      <c r="EG93" s="45"/>
      <c r="EH93" s="45"/>
      <c r="EI93" s="45"/>
      <c r="EJ93" s="45"/>
      <c r="EK93" s="45"/>
      <c r="EL93" s="45"/>
      <c r="EM93" s="45"/>
      <c r="EN93" s="45"/>
      <c r="EO93" s="45"/>
      <c r="EP93" s="45"/>
      <c r="EQ93" s="45"/>
    </row>
    <row r="94" spans="1:147" s="92" customFormat="1" ht="15" customHeight="1" x14ac:dyDescent="0.25">
      <c r="A94" s="102" t="s">
        <v>784</v>
      </c>
      <c r="B94" s="137"/>
      <c r="C94" s="104" t="s">
        <v>785</v>
      </c>
      <c r="D94" s="103"/>
      <c r="E94" s="103" t="s">
        <v>191</v>
      </c>
      <c r="F94" s="119"/>
      <c r="G94" s="119"/>
      <c r="H94" s="119"/>
      <c r="I94" s="102"/>
      <c r="J94" s="102"/>
      <c r="K94" s="45"/>
      <c r="L94" s="45"/>
      <c r="M94" s="45"/>
      <c r="N94" s="45"/>
      <c r="O94" s="45"/>
      <c r="P94" s="45"/>
      <c r="Q94" s="45"/>
      <c r="R94" s="45"/>
      <c r="S94" s="45"/>
      <c r="T94" s="45"/>
      <c r="U94" s="45"/>
      <c r="V94" s="45"/>
      <c r="W94" s="45"/>
      <c r="X94" s="45"/>
      <c r="Y94" s="45"/>
      <c r="Z94" s="45"/>
      <c r="AA94" s="45"/>
      <c r="AB94" s="45"/>
      <c r="AC94" s="45"/>
      <c r="AD94" s="45"/>
      <c r="AE94" s="45"/>
      <c r="AF94" s="45"/>
      <c r="AG94" s="45"/>
      <c r="AH94" s="45"/>
      <c r="AI94" s="45"/>
      <c r="AJ94" s="45"/>
      <c r="AK94" s="45"/>
      <c r="AL94" s="45"/>
      <c r="AM94" s="45"/>
      <c r="AN94" s="45"/>
      <c r="AO94" s="45"/>
      <c r="AP94" s="45"/>
      <c r="AQ94" s="45"/>
      <c r="AR94" s="45"/>
      <c r="AS94" s="45"/>
      <c r="AT94" s="45"/>
      <c r="AU94" s="45"/>
      <c r="AV94" s="45"/>
      <c r="AW94" s="45"/>
      <c r="AX94" s="45"/>
      <c r="AY94" s="45"/>
      <c r="AZ94" s="45"/>
      <c r="BA94" s="45"/>
      <c r="BB94" s="45"/>
      <c r="BC94" s="45"/>
      <c r="BD94" s="45"/>
      <c r="BE94" s="45"/>
      <c r="BF94" s="45"/>
      <c r="BG94" s="45"/>
      <c r="BH94" s="45"/>
      <c r="BI94" s="45"/>
      <c r="BJ94" s="45"/>
      <c r="BK94" s="45"/>
      <c r="BL94" s="45"/>
      <c r="BM94" s="45"/>
      <c r="BN94" s="45"/>
      <c r="BO94" s="45"/>
      <c r="BP94" s="45"/>
      <c r="BQ94" s="45"/>
      <c r="BR94" s="45"/>
      <c r="BS94" s="45"/>
      <c r="BT94" s="45"/>
      <c r="BU94" s="45"/>
      <c r="BV94" s="45"/>
      <c r="BW94" s="45"/>
      <c r="BX94" s="45"/>
      <c r="BY94" s="45"/>
      <c r="BZ94" s="45"/>
      <c r="CA94" s="45"/>
      <c r="CB94" s="45"/>
      <c r="CC94" s="45"/>
      <c r="CD94" s="45"/>
      <c r="CE94" s="45"/>
      <c r="CF94" s="45"/>
      <c r="CG94" s="45"/>
      <c r="CH94" s="45"/>
      <c r="CI94" s="45"/>
      <c r="CJ94" s="45"/>
      <c r="CK94" s="45"/>
      <c r="CL94" s="45"/>
      <c r="CM94" s="45"/>
      <c r="CN94" s="45"/>
      <c r="CO94" s="45"/>
      <c r="CP94" s="45"/>
      <c r="CQ94" s="45"/>
      <c r="CR94" s="45"/>
      <c r="CS94" s="45"/>
      <c r="CT94" s="45"/>
      <c r="CU94" s="45"/>
      <c r="CV94" s="45"/>
      <c r="CW94" s="45"/>
      <c r="CX94" s="45"/>
      <c r="CY94" s="45"/>
      <c r="CZ94" s="45"/>
      <c r="DA94" s="45"/>
      <c r="DB94" s="45"/>
      <c r="DC94" s="45"/>
      <c r="DD94" s="45"/>
      <c r="DE94" s="45"/>
      <c r="DF94" s="45"/>
      <c r="DG94" s="45"/>
      <c r="DH94" s="45"/>
      <c r="DI94" s="45"/>
      <c r="DJ94" s="45"/>
      <c r="DK94" s="45"/>
      <c r="DL94" s="45"/>
      <c r="DM94" s="45"/>
      <c r="DN94" s="45"/>
      <c r="DO94" s="45"/>
      <c r="DP94" s="45"/>
      <c r="DQ94" s="45"/>
      <c r="DR94" s="45"/>
      <c r="DS94" s="45"/>
      <c r="DT94" s="45"/>
      <c r="DU94" s="45"/>
      <c r="DV94" s="45"/>
      <c r="DW94" s="45"/>
      <c r="DX94" s="45"/>
      <c r="DY94" s="45"/>
      <c r="DZ94" s="45"/>
      <c r="EA94" s="45"/>
      <c r="EB94" s="45"/>
      <c r="EC94" s="45"/>
      <c r="ED94" s="45"/>
      <c r="EE94" s="45"/>
      <c r="EF94" s="45"/>
      <c r="EG94" s="45"/>
      <c r="EH94" s="45"/>
      <c r="EI94" s="45"/>
      <c r="EJ94" s="45"/>
      <c r="EK94" s="45"/>
      <c r="EL94" s="45"/>
      <c r="EM94" s="45"/>
      <c r="EN94" s="45"/>
      <c r="EO94" s="45"/>
      <c r="EP94" s="45"/>
      <c r="EQ94" s="45"/>
    </row>
    <row r="95" spans="1:147" s="92" customFormat="1" ht="15" customHeight="1" x14ac:dyDescent="0.25">
      <c r="A95" s="102" t="s">
        <v>786</v>
      </c>
      <c r="B95" s="137"/>
      <c r="C95" s="104" t="s">
        <v>787</v>
      </c>
      <c r="D95" s="103"/>
      <c r="E95" s="103" t="s">
        <v>191</v>
      </c>
      <c r="F95" s="119"/>
      <c r="G95" s="119"/>
      <c r="H95" s="119"/>
      <c r="I95" s="102"/>
      <c r="J95" s="102"/>
      <c r="K95" s="45"/>
      <c r="L95" s="45"/>
      <c r="M95" s="45"/>
      <c r="N95" s="45"/>
      <c r="O95" s="45"/>
      <c r="P95" s="45"/>
      <c r="Q95" s="45"/>
      <c r="R95" s="45"/>
      <c r="S95" s="45"/>
      <c r="T95" s="45"/>
      <c r="U95" s="45"/>
      <c r="V95" s="45"/>
      <c r="W95" s="45"/>
      <c r="X95" s="45"/>
      <c r="Y95" s="45"/>
      <c r="Z95" s="45"/>
      <c r="AA95" s="45"/>
      <c r="AB95" s="45"/>
      <c r="AC95" s="45"/>
      <c r="AD95" s="45"/>
      <c r="AE95" s="45"/>
      <c r="AF95" s="45"/>
      <c r="AG95" s="45"/>
      <c r="AH95" s="45"/>
      <c r="AI95" s="45"/>
      <c r="AJ95" s="45"/>
      <c r="AK95" s="45"/>
      <c r="AL95" s="45"/>
      <c r="AM95" s="45"/>
      <c r="AN95" s="45"/>
      <c r="AO95" s="45"/>
      <c r="AP95" s="45"/>
      <c r="AQ95" s="45"/>
      <c r="AR95" s="45"/>
      <c r="AS95" s="45"/>
      <c r="AT95" s="45"/>
      <c r="AU95" s="45"/>
      <c r="AV95" s="45"/>
      <c r="AW95" s="45"/>
      <c r="AX95" s="45"/>
      <c r="AY95" s="45"/>
      <c r="AZ95" s="45"/>
      <c r="BA95" s="45"/>
      <c r="BB95" s="45"/>
      <c r="BC95" s="45"/>
      <c r="BD95" s="45"/>
      <c r="BE95" s="45"/>
      <c r="BF95" s="45"/>
      <c r="BG95" s="45"/>
      <c r="BH95" s="45"/>
      <c r="BI95" s="45"/>
      <c r="BJ95" s="45"/>
      <c r="BK95" s="45"/>
      <c r="BL95" s="45"/>
      <c r="BM95" s="45"/>
      <c r="BN95" s="45"/>
      <c r="BO95" s="45"/>
      <c r="BP95" s="45"/>
      <c r="BQ95" s="45"/>
      <c r="BR95" s="45"/>
      <c r="BS95" s="45"/>
      <c r="BT95" s="45"/>
      <c r="BU95" s="45"/>
      <c r="BV95" s="45"/>
      <c r="BW95" s="45"/>
      <c r="BX95" s="45"/>
      <c r="BY95" s="45"/>
      <c r="BZ95" s="45"/>
      <c r="CA95" s="45"/>
      <c r="CB95" s="45"/>
      <c r="CC95" s="45"/>
      <c r="CD95" s="45"/>
      <c r="CE95" s="45"/>
      <c r="CF95" s="45"/>
      <c r="CG95" s="45"/>
      <c r="CH95" s="45"/>
      <c r="CI95" s="45"/>
      <c r="CJ95" s="45"/>
      <c r="CK95" s="45"/>
      <c r="CL95" s="45"/>
      <c r="CM95" s="45"/>
      <c r="CN95" s="45"/>
      <c r="CO95" s="45"/>
      <c r="CP95" s="45"/>
      <c r="CQ95" s="45"/>
      <c r="CR95" s="45"/>
      <c r="CS95" s="45"/>
      <c r="CT95" s="45"/>
      <c r="CU95" s="45"/>
      <c r="CV95" s="45"/>
      <c r="CW95" s="45"/>
      <c r="CX95" s="45"/>
      <c r="CY95" s="45"/>
      <c r="CZ95" s="45"/>
      <c r="DA95" s="45"/>
      <c r="DB95" s="45"/>
      <c r="DC95" s="45"/>
      <c r="DD95" s="45"/>
      <c r="DE95" s="45"/>
      <c r="DF95" s="45"/>
      <c r="DG95" s="45"/>
      <c r="DH95" s="45"/>
      <c r="DI95" s="45"/>
      <c r="DJ95" s="45"/>
      <c r="DK95" s="45"/>
      <c r="DL95" s="45"/>
      <c r="DM95" s="45"/>
      <c r="DN95" s="45"/>
      <c r="DO95" s="45"/>
      <c r="DP95" s="45"/>
      <c r="DQ95" s="45"/>
      <c r="DR95" s="45"/>
      <c r="DS95" s="45"/>
      <c r="DT95" s="45"/>
      <c r="DU95" s="45"/>
      <c r="DV95" s="45"/>
      <c r="DW95" s="45"/>
      <c r="DX95" s="45"/>
      <c r="DY95" s="45"/>
      <c r="DZ95" s="45"/>
      <c r="EA95" s="45"/>
      <c r="EB95" s="45"/>
      <c r="EC95" s="45"/>
      <c r="ED95" s="45"/>
      <c r="EE95" s="45"/>
      <c r="EF95" s="45"/>
      <c r="EG95" s="45"/>
      <c r="EH95" s="45"/>
      <c r="EI95" s="45"/>
      <c r="EJ95" s="45"/>
      <c r="EK95" s="45"/>
      <c r="EL95" s="45"/>
      <c r="EM95" s="45"/>
      <c r="EN95" s="45"/>
      <c r="EO95" s="45"/>
      <c r="EP95" s="45"/>
      <c r="EQ95" s="45"/>
    </row>
    <row r="96" spans="1:147" s="92" customFormat="1" ht="15" customHeight="1" x14ac:dyDescent="0.25">
      <c r="A96" s="102" t="s">
        <v>788</v>
      </c>
      <c r="B96" s="137"/>
      <c r="C96" s="104" t="s">
        <v>791</v>
      </c>
      <c r="D96" s="103"/>
      <c r="E96" s="103" t="s">
        <v>191</v>
      </c>
      <c r="F96" s="119"/>
      <c r="G96" s="119"/>
      <c r="H96" s="119"/>
      <c r="I96" s="102"/>
      <c r="J96" s="102"/>
      <c r="K96" s="45"/>
      <c r="L96" s="45"/>
      <c r="M96" s="45"/>
      <c r="N96" s="45"/>
      <c r="O96" s="45"/>
      <c r="P96" s="45"/>
      <c r="Q96" s="45"/>
      <c r="R96" s="45"/>
      <c r="S96" s="45"/>
      <c r="T96" s="45"/>
      <c r="U96" s="45"/>
      <c r="V96" s="45"/>
      <c r="W96" s="45"/>
      <c r="X96" s="45"/>
      <c r="Y96" s="45"/>
      <c r="Z96" s="45"/>
      <c r="AA96" s="45"/>
      <c r="AB96" s="45"/>
      <c r="AC96" s="45"/>
      <c r="AD96" s="45"/>
      <c r="AE96" s="45"/>
      <c r="AF96" s="45"/>
      <c r="AG96" s="45"/>
      <c r="AH96" s="45"/>
      <c r="AI96" s="45"/>
      <c r="AJ96" s="45"/>
      <c r="AK96" s="45"/>
      <c r="AL96" s="45"/>
      <c r="AM96" s="45"/>
      <c r="AN96" s="45"/>
      <c r="AO96" s="45"/>
      <c r="AP96" s="45"/>
      <c r="AQ96" s="45"/>
      <c r="AR96" s="45"/>
      <c r="AS96" s="45"/>
      <c r="AT96" s="45"/>
      <c r="AU96" s="45"/>
      <c r="AV96" s="45"/>
      <c r="AW96" s="45"/>
      <c r="AX96" s="45"/>
      <c r="AY96" s="45"/>
      <c r="AZ96" s="45"/>
      <c r="BA96" s="45"/>
      <c r="BB96" s="45"/>
      <c r="BC96" s="45"/>
      <c r="BD96" s="45"/>
      <c r="BE96" s="45"/>
      <c r="BF96" s="45"/>
      <c r="BG96" s="45"/>
      <c r="BH96" s="45"/>
      <c r="BI96" s="45"/>
      <c r="BJ96" s="45"/>
      <c r="BK96" s="45"/>
      <c r="BL96" s="45"/>
      <c r="BM96" s="45"/>
      <c r="BN96" s="45"/>
      <c r="BO96" s="45"/>
      <c r="BP96" s="45"/>
      <c r="BQ96" s="45"/>
      <c r="BR96" s="45"/>
      <c r="BS96" s="45"/>
      <c r="BT96" s="45"/>
      <c r="BU96" s="45"/>
      <c r="BV96" s="45"/>
      <c r="BW96" s="45"/>
      <c r="BX96" s="45"/>
      <c r="BY96" s="45"/>
      <c r="BZ96" s="45"/>
      <c r="CA96" s="45"/>
      <c r="CB96" s="45"/>
      <c r="CC96" s="45"/>
      <c r="CD96" s="45"/>
      <c r="CE96" s="45"/>
      <c r="CF96" s="45"/>
      <c r="CG96" s="45"/>
      <c r="CH96" s="45"/>
      <c r="CI96" s="45"/>
      <c r="CJ96" s="45"/>
      <c r="CK96" s="45"/>
      <c r="CL96" s="45"/>
      <c r="CM96" s="45"/>
      <c r="CN96" s="45"/>
      <c r="CO96" s="45"/>
      <c r="CP96" s="45"/>
      <c r="CQ96" s="45"/>
      <c r="CR96" s="45"/>
      <c r="CS96" s="45"/>
      <c r="CT96" s="45"/>
      <c r="CU96" s="45"/>
      <c r="CV96" s="45"/>
      <c r="CW96" s="45"/>
      <c r="CX96" s="45"/>
      <c r="CY96" s="45"/>
      <c r="CZ96" s="45"/>
      <c r="DA96" s="45"/>
      <c r="DB96" s="45"/>
      <c r="DC96" s="45"/>
      <c r="DD96" s="45"/>
      <c r="DE96" s="45"/>
      <c r="DF96" s="45"/>
      <c r="DG96" s="45"/>
      <c r="DH96" s="45"/>
      <c r="DI96" s="45"/>
      <c r="DJ96" s="45"/>
      <c r="DK96" s="45"/>
      <c r="DL96" s="45"/>
      <c r="DM96" s="45"/>
      <c r="DN96" s="45"/>
      <c r="DO96" s="45"/>
      <c r="DP96" s="45"/>
      <c r="DQ96" s="45"/>
      <c r="DR96" s="45"/>
      <c r="DS96" s="45"/>
      <c r="DT96" s="45"/>
      <c r="DU96" s="45"/>
      <c r="DV96" s="45"/>
      <c r="DW96" s="45"/>
      <c r="DX96" s="45"/>
      <c r="DY96" s="45"/>
      <c r="DZ96" s="45"/>
      <c r="EA96" s="45"/>
      <c r="EB96" s="45"/>
      <c r="EC96" s="45"/>
      <c r="ED96" s="45"/>
      <c r="EE96" s="45"/>
      <c r="EF96" s="45"/>
      <c r="EG96" s="45"/>
      <c r="EH96" s="45"/>
      <c r="EI96" s="45"/>
      <c r="EJ96" s="45"/>
      <c r="EK96" s="45"/>
      <c r="EL96" s="45"/>
      <c r="EM96" s="45"/>
      <c r="EN96" s="45"/>
      <c r="EO96" s="45"/>
      <c r="EP96" s="45"/>
      <c r="EQ96" s="45"/>
    </row>
    <row r="97" spans="1:147" s="92" customFormat="1" ht="15" customHeight="1" x14ac:dyDescent="0.25">
      <c r="A97" s="102" t="s">
        <v>789</v>
      </c>
      <c r="B97" s="137"/>
      <c r="C97" s="104" t="s">
        <v>792</v>
      </c>
      <c r="D97" s="103"/>
      <c r="E97" s="103" t="s">
        <v>191</v>
      </c>
      <c r="F97" s="119"/>
      <c r="G97" s="119"/>
      <c r="H97" s="119"/>
      <c r="I97" s="102"/>
      <c r="J97" s="102"/>
      <c r="K97" s="45"/>
      <c r="L97" s="45"/>
      <c r="M97" s="45"/>
      <c r="N97" s="45"/>
      <c r="O97" s="45"/>
      <c r="P97" s="45"/>
      <c r="Q97" s="45"/>
      <c r="R97" s="45"/>
      <c r="S97" s="45"/>
      <c r="T97" s="45"/>
      <c r="U97" s="45"/>
      <c r="V97" s="45"/>
      <c r="W97" s="45"/>
      <c r="X97" s="45"/>
      <c r="Y97" s="45"/>
      <c r="Z97" s="45"/>
      <c r="AA97" s="45"/>
      <c r="AB97" s="45"/>
      <c r="AC97" s="45"/>
      <c r="AD97" s="45"/>
      <c r="AE97" s="45"/>
      <c r="AF97" s="45"/>
      <c r="AG97" s="45"/>
      <c r="AH97" s="45"/>
      <c r="AI97" s="45"/>
      <c r="AJ97" s="45"/>
      <c r="AK97" s="45"/>
      <c r="AL97" s="45"/>
      <c r="AM97" s="45"/>
      <c r="AN97" s="45"/>
      <c r="AO97" s="45"/>
      <c r="AP97" s="45"/>
      <c r="AQ97" s="45"/>
      <c r="AR97" s="45"/>
      <c r="AS97" s="45"/>
      <c r="AT97" s="45"/>
      <c r="AU97" s="45"/>
      <c r="AV97" s="45"/>
      <c r="AW97" s="45"/>
      <c r="AX97" s="45"/>
      <c r="AY97" s="45"/>
      <c r="AZ97" s="45"/>
      <c r="BA97" s="45"/>
      <c r="BB97" s="45"/>
      <c r="BC97" s="45"/>
      <c r="BD97" s="45"/>
      <c r="BE97" s="45"/>
      <c r="BF97" s="45"/>
      <c r="BG97" s="45"/>
      <c r="BH97" s="45"/>
      <c r="BI97" s="45"/>
      <c r="BJ97" s="45"/>
      <c r="BK97" s="45"/>
      <c r="BL97" s="45"/>
      <c r="BM97" s="45"/>
      <c r="BN97" s="45"/>
      <c r="BO97" s="45"/>
      <c r="BP97" s="45"/>
      <c r="BQ97" s="45"/>
      <c r="BR97" s="45"/>
      <c r="BS97" s="45"/>
      <c r="BT97" s="45"/>
      <c r="BU97" s="45"/>
      <c r="BV97" s="45"/>
      <c r="BW97" s="45"/>
      <c r="BX97" s="45"/>
      <c r="BY97" s="45"/>
      <c r="BZ97" s="45"/>
      <c r="CA97" s="45"/>
      <c r="CB97" s="45"/>
      <c r="CC97" s="45"/>
      <c r="CD97" s="45"/>
      <c r="CE97" s="45"/>
      <c r="CF97" s="45"/>
      <c r="CG97" s="45"/>
      <c r="CH97" s="45"/>
      <c r="CI97" s="45"/>
      <c r="CJ97" s="45"/>
      <c r="CK97" s="45"/>
      <c r="CL97" s="45"/>
      <c r="CM97" s="45"/>
      <c r="CN97" s="45"/>
      <c r="CO97" s="45"/>
      <c r="CP97" s="45"/>
      <c r="CQ97" s="45"/>
      <c r="CR97" s="45"/>
      <c r="CS97" s="45"/>
      <c r="CT97" s="45"/>
      <c r="CU97" s="45"/>
      <c r="CV97" s="45"/>
      <c r="CW97" s="45"/>
      <c r="CX97" s="45"/>
      <c r="CY97" s="45"/>
      <c r="CZ97" s="45"/>
      <c r="DA97" s="45"/>
      <c r="DB97" s="45"/>
      <c r="DC97" s="45"/>
      <c r="DD97" s="45"/>
      <c r="DE97" s="45"/>
      <c r="DF97" s="45"/>
      <c r="DG97" s="45"/>
      <c r="DH97" s="45"/>
      <c r="DI97" s="45"/>
      <c r="DJ97" s="45"/>
      <c r="DK97" s="45"/>
      <c r="DL97" s="45"/>
      <c r="DM97" s="45"/>
      <c r="DN97" s="45"/>
      <c r="DO97" s="45"/>
      <c r="DP97" s="45"/>
      <c r="DQ97" s="45"/>
      <c r="DR97" s="45"/>
      <c r="DS97" s="45"/>
      <c r="DT97" s="45"/>
      <c r="DU97" s="45"/>
      <c r="DV97" s="45"/>
      <c r="DW97" s="45"/>
      <c r="DX97" s="45"/>
      <c r="DY97" s="45"/>
      <c r="DZ97" s="45"/>
      <c r="EA97" s="45"/>
      <c r="EB97" s="45"/>
      <c r="EC97" s="45"/>
      <c r="ED97" s="45"/>
      <c r="EE97" s="45"/>
      <c r="EF97" s="45"/>
      <c r="EG97" s="45"/>
      <c r="EH97" s="45"/>
      <c r="EI97" s="45"/>
      <c r="EJ97" s="45"/>
      <c r="EK97" s="45"/>
      <c r="EL97" s="45"/>
      <c r="EM97" s="45"/>
      <c r="EN97" s="45"/>
      <c r="EO97" s="45"/>
      <c r="EP97" s="45"/>
      <c r="EQ97" s="45"/>
    </row>
    <row r="98" spans="1:147" s="92" customFormat="1" ht="15" customHeight="1" x14ac:dyDescent="0.25">
      <c r="A98" s="102" t="s">
        <v>790</v>
      </c>
      <c r="B98" s="137"/>
      <c r="C98" s="104" t="s">
        <v>793</v>
      </c>
      <c r="D98" s="103"/>
      <c r="E98" s="103" t="s">
        <v>191</v>
      </c>
      <c r="F98" s="119"/>
      <c r="G98" s="119"/>
      <c r="H98" s="119"/>
      <c r="I98" s="102"/>
      <c r="J98" s="102"/>
      <c r="K98" s="45"/>
      <c r="L98" s="45"/>
      <c r="M98" s="45"/>
      <c r="N98" s="45"/>
      <c r="O98" s="45"/>
      <c r="P98" s="45"/>
      <c r="Q98" s="45"/>
      <c r="R98" s="45"/>
      <c r="S98" s="45"/>
      <c r="T98" s="45"/>
      <c r="U98" s="45"/>
      <c r="V98" s="45"/>
      <c r="W98" s="45"/>
      <c r="X98" s="45"/>
      <c r="Y98" s="45"/>
      <c r="Z98" s="45"/>
      <c r="AA98" s="45"/>
      <c r="AB98" s="45"/>
      <c r="AC98" s="45"/>
      <c r="AD98" s="45"/>
      <c r="AE98" s="45"/>
      <c r="AF98" s="45"/>
      <c r="AG98" s="45"/>
      <c r="AH98" s="45"/>
      <c r="AI98" s="45"/>
      <c r="AJ98" s="45"/>
      <c r="AK98" s="45"/>
      <c r="AL98" s="45"/>
      <c r="AM98" s="45"/>
      <c r="AN98" s="45"/>
      <c r="AO98" s="45"/>
      <c r="AP98" s="45"/>
      <c r="AQ98" s="45"/>
      <c r="AR98" s="45"/>
      <c r="AS98" s="45"/>
      <c r="AT98" s="45"/>
      <c r="AU98" s="45"/>
      <c r="AV98" s="45"/>
      <c r="AW98" s="45"/>
      <c r="AX98" s="45"/>
      <c r="AY98" s="45"/>
      <c r="AZ98" s="45"/>
      <c r="BA98" s="45"/>
      <c r="BB98" s="45"/>
      <c r="BC98" s="45"/>
      <c r="BD98" s="45"/>
      <c r="BE98" s="45"/>
      <c r="BF98" s="45"/>
      <c r="BG98" s="45"/>
      <c r="BH98" s="45"/>
      <c r="BI98" s="45"/>
      <c r="BJ98" s="45"/>
      <c r="BK98" s="45"/>
      <c r="BL98" s="45"/>
      <c r="BM98" s="45"/>
      <c r="BN98" s="45"/>
      <c r="BO98" s="45"/>
      <c r="BP98" s="45"/>
      <c r="BQ98" s="45"/>
      <c r="BR98" s="45"/>
      <c r="BS98" s="45"/>
      <c r="BT98" s="45"/>
      <c r="BU98" s="45"/>
      <c r="BV98" s="45"/>
      <c r="BW98" s="45"/>
      <c r="BX98" s="45"/>
      <c r="BY98" s="45"/>
      <c r="BZ98" s="45"/>
      <c r="CA98" s="45"/>
      <c r="CB98" s="45"/>
      <c r="CC98" s="45"/>
      <c r="CD98" s="45"/>
      <c r="CE98" s="45"/>
      <c r="CF98" s="45"/>
      <c r="CG98" s="45"/>
      <c r="CH98" s="45"/>
      <c r="CI98" s="45"/>
      <c r="CJ98" s="45"/>
      <c r="CK98" s="45"/>
      <c r="CL98" s="45"/>
      <c r="CM98" s="45"/>
      <c r="CN98" s="45"/>
      <c r="CO98" s="45"/>
      <c r="CP98" s="45"/>
      <c r="CQ98" s="45"/>
      <c r="CR98" s="45"/>
      <c r="CS98" s="45"/>
      <c r="CT98" s="45"/>
      <c r="CU98" s="45"/>
      <c r="CV98" s="45"/>
      <c r="CW98" s="45"/>
      <c r="CX98" s="45"/>
      <c r="CY98" s="45"/>
      <c r="CZ98" s="45"/>
      <c r="DA98" s="45"/>
      <c r="DB98" s="45"/>
      <c r="DC98" s="45"/>
      <c r="DD98" s="45"/>
      <c r="DE98" s="45"/>
      <c r="DF98" s="45"/>
      <c r="DG98" s="45"/>
      <c r="DH98" s="45"/>
      <c r="DI98" s="45"/>
      <c r="DJ98" s="45"/>
      <c r="DK98" s="45"/>
      <c r="DL98" s="45"/>
      <c r="DM98" s="45"/>
      <c r="DN98" s="45"/>
      <c r="DO98" s="45"/>
      <c r="DP98" s="45"/>
      <c r="DQ98" s="45"/>
      <c r="DR98" s="45"/>
      <c r="DS98" s="45"/>
      <c r="DT98" s="45"/>
      <c r="DU98" s="45"/>
      <c r="DV98" s="45"/>
      <c r="DW98" s="45"/>
      <c r="DX98" s="45"/>
      <c r="DY98" s="45"/>
      <c r="DZ98" s="45"/>
      <c r="EA98" s="45"/>
      <c r="EB98" s="45"/>
      <c r="EC98" s="45"/>
      <c r="ED98" s="45"/>
      <c r="EE98" s="45"/>
      <c r="EF98" s="45"/>
      <c r="EG98" s="45"/>
      <c r="EH98" s="45"/>
      <c r="EI98" s="45"/>
      <c r="EJ98" s="45"/>
      <c r="EK98" s="45"/>
      <c r="EL98" s="45"/>
      <c r="EM98" s="45"/>
      <c r="EN98" s="45"/>
      <c r="EO98" s="45"/>
      <c r="EP98" s="45"/>
      <c r="EQ98" s="45"/>
    </row>
    <row r="99" spans="1:147" s="92" customFormat="1" ht="15" customHeight="1" x14ac:dyDescent="0.25">
      <c r="A99" s="102" t="s">
        <v>794</v>
      </c>
      <c r="B99" s="137"/>
      <c r="C99" s="104" t="s">
        <v>796</v>
      </c>
      <c r="D99" s="103"/>
      <c r="E99" s="103" t="s">
        <v>191</v>
      </c>
      <c r="F99" s="119"/>
      <c r="G99" s="119"/>
      <c r="H99" s="119"/>
      <c r="I99" s="102"/>
      <c r="J99" s="102"/>
      <c r="K99" s="45"/>
      <c r="L99" s="45"/>
      <c r="M99" s="45"/>
      <c r="N99" s="45"/>
      <c r="O99" s="45"/>
      <c r="P99" s="45"/>
      <c r="Q99" s="45"/>
      <c r="R99" s="45"/>
      <c r="S99" s="45"/>
      <c r="T99" s="45"/>
      <c r="U99" s="45"/>
      <c r="V99" s="45"/>
      <c r="W99" s="45"/>
      <c r="X99" s="45"/>
      <c r="Y99" s="45"/>
      <c r="Z99" s="45"/>
      <c r="AA99" s="45"/>
      <c r="AB99" s="45"/>
      <c r="AC99" s="45"/>
      <c r="AD99" s="45"/>
      <c r="AE99" s="45"/>
      <c r="AF99" s="45"/>
      <c r="AG99" s="45"/>
      <c r="AH99" s="45"/>
      <c r="AI99" s="45"/>
      <c r="AJ99" s="45"/>
      <c r="AK99" s="45"/>
      <c r="AL99" s="45"/>
      <c r="AM99" s="45"/>
      <c r="AN99" s="45"/>
      <c r="AO99" s="45"/>
      <c r="AP99" s="45"/>
      <c r="AQ99" s="45"/>
      <c r="AR99" s="45"/>
      <c r="AS99" s="45"/>
      <c r="AT99" s="45"/>
      <c r="AU99" s="45"/>
      <c r="AV99" s="45"/>
      <c r="AW99" s="45"/>
      <c r="AX99" s="45"/>
      <c r="AY99" s="45"/>
      <c r="AZ99" s="45"/>
      <c r="BA99" s="45"/>
      <c r="BB99" s="45"/>
      <c r="BC99" s="45"/>
      <c r="BD99" s="45"/>
      <c r="BE99" s="45"/>
      <c r="BF99" s="45"/>
      <c r="BG99" s="45"/>
      <c r="BH99" s="45"/>
      <c r="BI99" s="45"/>
      <c r="BJ99" s="45"/>
      <c r="BK99" s="45"/>
      <c r="BL99" s="45"/>
      <c r="BM99" s="45"/>
      <c r="BN99" s="45"/>
      <c r="BO99" s="45"/>
      <c r="BP99" s="45"/>
      <c r="BQ99" s="45"/>
      <c r="BR99" s="45"/>
      <c r="BS99" s="45"/>
      <c r="BT99" s="45"/>
      <c r="BU99" s="45"/>
      <c r="BV99" s="45"/>
      <c r="BW99" s="45"/>
      <c r="BX99" s="45"/>
      <c r="BY99" s="45"/>
      <c r="BZ99" s="45"/>
      <c r="CA99" s="45"/>
      <c r="CB99" s="45"/>
      <c r="CC99" s="45"/>
      <c r="CD99" s="45"/>
      <c r="CE99" s="45"/>
      <c r="CF99" s="45"/>
      <c r="CG99" s="45"/>
      <c r="CH99" s="45"/>
      <c r="CI99" s="45"/>
      <c r="CJ99" s="45"/>
      <c r="CK99" s="45"/>
      <c r="CL99" s="45"/>
      <c r="CM99" s="45"/>
      <c r="CN99" s="45"/>
      <c r="CO99" s="45"/>
      <c r="CP99" s="45"/>
      <c r="CQ99" s="45"/>
      <c r="CR99" s="45"/>
      <c r="CS99" s="45"/>
      <c r="CT99" s="45"/>
      <c r="CU99" s="45"/>
      <c r="CV99" s="45"/>
      <c r="CW99" s="45"/>
      <c r="CX99" s="45"/>
      <c r="CY99" s="45"/>
      <c r="CZ99" s="45"/>
      <c r="DA99" s="45"/>
      <c r="DB99" s="45"/>
      <c r="DC99" s="45"/>
      <c r="DD99" s="45"/>
      <c r="DE99" s="45"/>
      <c r="DF99" s="45"/>
      <c r="DG99" s="45"/>
      <c r="DH99" s="45"/>
      <c r="DI99" s="45"/>
      <c r="DJ99" s="45"/>
      <c r="DK99" s="45"/>
      <c r="DL99" s="45"/>
      <c r="DM99" s="45"/>
      <c r="DN99" s="45"/>
      <c r="DO99" s="45"/>
      <c r="DP99" s="45"/>
      <c r="DQ99" s="45"/>
      <c r="DR99" s="45"/>
      <c r="DS99" s="45"/>
      <c r="DT99" s="45"/>
      <c r="DU99" s="45"/>
      <c r="DV99" s="45"/>
      <c r="DW99" s="45"/>
      <c r="DX99" s="45"/>
      <c r="DY99" s="45"/>
      <c r="DZ99" s="45"/>
      <c r="EA99" s="45"/>
      <c r="EB99" s="45"/>
      <c r="EC99" s="45"/>
      <c r="ED99" s="45"/>
      <c r="EE99" s="45"/>
      <c r="EF99" s="45"/>
      <c r="EG99" s="45"/>
      <c r="EH99" s="45"/>
      <c r="EI99" s="45"/>
      <c r="EJ99" s="45"/>
      <c r="EK99" s="45"/>
      <c r="EL99" s="45"/>
      <c r="EM99" s="45"/>
      <c r="EN99" s="45"/>
      <c r="EO99" s="45"/>
      <c r="EP99" s="45"/>
      <c r="EQ99" s="45"/>
    </row>
    <row r="100" spans="1:147" s="92" customFormat="1" ht="15" customHeight="1" x14ac:dyDescent="0.25">
      <c r="A100" s="102" t="s">
        <v>795</v>
      </c>
      <c r="B100" s="137"/>
      <c r="C100" s="104" t="s">
        <v>797</v>
      </c>
      <c r="D100" s="103"/>
      <c r="E100" s="103" t="s">
        <v>191</v>
      </c>
      <c r="F100" s="119"/>
      <c r="G100" s="119"/>
      <c r="H100" s="119"/>
      <c r="I100" s="102"/>
      <c r="J100" s="102"/>
      <c r="K100" s="45"/>
      <c r="L100" s="45"/>
      <c r="M100" s="45"/>
      <c r="N100" s="45"/>
      <c r="O100" s="45"/>
      <c r="P100" s="45"/>
      <c r="Q100" s="45"/>
      <c r="R100" s="45"/>
      <c r="S100" s="45"/>
      <c r="T100" s="45"/>
      <c r="U100" s="45"/>
      <c r="V100" s="45"/>
      <c r="W100" s="45"/>
      <c r="X100" s="45"/>
      <c r="Y100" s="45"/>
      <c r="Z100" s="45"/>
      <c r="AA100" s="45"/>
      <c r="AB100" s="45"/>
      <c r="AC100" s="45"/>
      <c r="AD100" s="45"/>
      <c r="AE100" s="45"/>
      <c r="AF100" s="45"/>
      <c r="AG100" s="45"/>
      <c r="AH100" s="45"/>
      <c r="AI100" s="45"/>
      <c r="AJ100" s="45"/>
      <c r="AK100" s="45"/>
      <c r="AL100" s="45"/>
      <c r="AM100" s="45"/>
      <c r="AN100" s="45"/>
      <c r="AO100" s="45"/>
      <c r="AP100" s="45"/>
      <c r="AQ100" s="45"/>
      <c r="AR100" s="45"/>
      <c r="AS100" s="45"/>
      <c r="AT100" s="45"/>
      <c r="AU100" s="45"/>
      <c r="AV100" s="45"/>
      <c r="AW100" s="45"/>
      <c r="AX100" s="45"/>
      <c r="AY100" s="45"/>
      <c r="AZ100" s="45"/>
      <c r="BA100" s="45"/>
      <c r="BB100" s="45"/>
      <c r="BC100" s="45"/>
      <c r="BD100" s="45"/>
      <c r="BE100" s="45"/>
      <c r="BF100" s="45"/>
      <c r="BG100" s="45"/>
      <c r="BH100" s="45"/>
      <c r="BI100" s="45"/>
      <c r="BJ100" s="45"/>
      <c r="BK100" s="45"/>
      <c r="BL100" s="45"/>
      <c r="BM100" s="45"/>
      <c r="BN100" s="45"/>
      <c r="BO100" s="45"/>
      <c r="BP100" s="45"/>
      <c r="BQ100" s="45"/>
      <c r="BR100" s="45"/>
      <c r="BS100" s="45"/>
      <c r="BT100" s="45"/>
      <c r="BU100" s="45"/>
      <c r="BV100" s="45"/>
      <c r="BW100" s="45"/>
      <c r="BX100" s="45"/>
      <c r="BY100" s="45"/>
      <c r="BZ100" s="45"/>
      <c r="CA100" s="45"/>
      <c r="CB100" s="45"/>
      <c r="CC100" s="45"/>
      <c r="CD100" s="45"/>
      <c r="CE100" s="45"/>
      <c r="CF100" s="45"/>
      <c r="CG100" s="45"/>
      <c r="CH100" s="45"/>
      <c r="CI100" s="45"/>
      <c r="CJ100" s="45"/>
      <c r="CK100" s="45"/>
      <c r="CL100" s="45"/>
      <c r="CM100" s="45"/>
      <c r="CN100" s="45"/>
      <c r="CO100" s="45"/>
      <c r="CP100" s="45"/>
      <c r="CQ100" s="45"/>
      <c r="CR100" s="45"/>
      <c r="CS100" s="45"/>
      <c r="CT100" s="45"/>
      <c r="CU100" s="45"/>
      <c r="CV100" s="45"/>
      <c r="CW100" s="45"/>
      <c r="CX100" s="45"/>
      <c r="CY100" s="45"/>
      <c r="CZ100" s="45"/>
      <c r="DA100" s="45"/>
      <c r="DB100" s="45"/>
      <c r="DC100" s="45"/>
      <c r="DD100" s="45"/>
      <c r="DE100" s="45"/>
      <c r="DF100" s="45"/>
      <c r="DG100" s="45"/>
      <c r="DH100" s="45"/>
      <c r="DI100" s="45"/>
      <c r="DJ100" s="45"/>
      <c r="DK100" s="45"/>
      <c r="DL100" s="45"/>
      <c r="DM100" s="45"/>
      <c r="DN100" s="45"/>
      <c r="DO100" s="45"/>
      <c r="DP100" s="45"/>
      <c r="DQ100" s="45"/>
      <c r="DR100" s="45"/>
      <c r="DS100" s="45"/>
      <c r="DT100" s="45"/>
      <c r="DU100" s="45"/>
      <c r="DV100" s="45"/>
      <c r="DW100" s="45"/>
      <c r="DX100" s="45"/>
      <c r="DY100" s="45"/>
      <c r="DZ100" s="45"/>
      <c r="EA100" s="45"/>
      <c r="EB100" s="45"/>
      <c r="EC100" s="45"/>
      <c r="ED100" s="45"/>
      <c r="EE100" s="45"/>
      <c r="EF100" s="45"/>
      <c r="EG100" s="45"/>
      <c r="EH100" s="45"/>
      <c r="EI100" s="45"/>
      <c r="EJ100" s="45"/>
      <c r="EK100" s="45"/>
      <c r="EL100" s="45"/>
      <c r="EM100" s="45"/>
      <c r="EN100" s="45"/>
      <c r="EO100" s="45"/>
      <c r="EP100" s="45"/>
      <c r="EQ100" s="45"/>
    </row>
    <row r="101" spans="1:147" s="92" customFormat="1" ht="15" customHeight="1" x14ac:dyDescent="0.25">
      <c r="A101" s="102" t="s">
        <v>798</v>
      </c>
      <c r="B101" s="137"/>
      <c r="C101" s="104" t="s">
        <v>799</v>
      </c>
      <c r="D101" s="103"/>
      <c r="E101" s="103" t="s">
        <v>191</v>
      </c>
      <c r="F101" s="119"/>
      <c r="G101" s="119"/>
      <c r="H101" s="119"/>
      <c r="I101" s="102"/>
      <c r="J101" s="102"/>
      <c r="K101" s="45"/>
      <c r="L101" s="45"/>
      <c r="M101" s="45"/>
      <c r="N101" s="45"/>
      <c r="O101" s="45"/>
      <c r="P101" s="45"/>
      <c r="Q101" s="45"/>
      <c r="R101" s="45"/>
      <c r="S101" s="45"/>
      <c r="T101" s="45"/>
      <c r="U101" s="45"/>
      <c r="V101" s="45"/>
      <c r="W101" s="45"/>
      <c r="X101" s="45"/>
      <c r="Y101" s="45"/>
      <c r="Z101" s="45"/>
      <c r="AA101" s="45"/>
      <c r="AB101" s="45"/>
      <c r="AC101" s="45"/>
      <c r="AD101" s="45"/>
      <c r="AE101" s="45"/>
      <c r="AF101" s="45"/>
      <c r="AG101" s="45"/>
      <c r="AH101" s="45"/>
      <c r="AI101" s="45"/>
      <c r="AJ101" s="45"/>
      <c r="AK101" s="45"/>
      <c r="AL101" s="45"/>
      <c r="AM101" s="45"/>
      <c r="AN101" s="45"/>
      <c r="AO101" s="45"/>
      <c r="AP101" s="45"/>
      <c r="AQ101" s="45"/>
      <c r="AR101" s="45"/>
      <c r="AS101" s="45"/>
      <c r="AT101" s="45"/>
      <c r="AU101" s="45"/>
      <c r="AV101" s="45"/>
      <c r="AW101" s="45"/>
      <c r="AX101" s="45"/>
      <c r="AY101" s="45"/>
      <c r="AZ101" s="45"/>
      <c r="BA101" s="45"/>
      <c r="BB101" s="45"/>
      <c r="BC101" s="45"/>
      <c r="BD101" s="45"/>
      <c r="BE101" s="45"/>
      <c r="BF101" s="45"/>
      <c r="BG101" s="45"/>
      <c r="BH101" s="45"/>
      <c r="BI101" s="45"/>
      <c r="BJ101" s="45"/>
      <c r="BK101" s="45"/>
      <c r="BL101" s="45"/>
      <c r="BM101" s="45"/>
      <c r="BN101" s="45"/>
      <c r="BO101" s="45"/>
      <c r="BP101" s="45"/>
      <c r="BQ101" s="45"/>
      <c r="BR101" s="45"/>
      <c r="BS101" s="45"/>
      <c r="BT101" s="45"/>
      <c r="BU101" s="45"/>
      <c r="BV101" s="45"/>
      <c r="BW101" s="45"/>
      <c r="BX101" s="45"/>
      <c r="BY101" s="45"/>
      <c r="BZ101" s="45"/>
      <c r="CA101" s="45"/>
      <c r="CB101" s="45"/>
      <c r="CC101" s="45"/>
      <c r="CD101" s="45"/>
      <c r="CE101" s="45"/>
      <c r="CF101" s="45"/>
      <c r="CG101" s="45"/>
      <c r="CH101" s="45"/>
      <c r="CI101" s="45"/>
      <c r="CJ101" s="45"/>
      <c r="CK101" s="45"/>
      <c r="CL101" s="45"/>
      <c r="CM101" s="45"/>
      <c r="CN101" s="45"/>
      <c r="CO101" s="45"/>
      <c r="CP101" s="45"/>
      <c r="CQ101" s="45"/>
      <c r="CR101" s="45"/>
      <c r="CS101" s="45"/>
      <c r="CT101" s="45"/>
      <c r="CU101" s="45"/>
      <c r="CV101" s="45"/>
      <c r="CW101" s="45"/>
      <c r="CX101" s="45"/>
      <c r="CY101" s="45"/>
      <c r="CZ101" s="45"/>
      <c r="DA101" s="45"/>
      <c r="DB101" s="45"/>
      <c r="DC101" s="45"/>
      <c r="DD101" s="45"/>
      <c r="DE101" s="45"/>
      <c r="DF101" s="45"/>
      <c r="DG101" s="45"/>
      <c r="DH101" s="45"/>
      <c r="DI101" s="45"/>
      <c r="DJ101" s="45"/>
      <c r="DK101" s="45"/>
      <c r="DL101" s="45"/>
      <c r="DM101" s="45"/>
      <c r="DN101" s="45"/>
      <c r="DO101" s="45"/>
      <c r="DP101" s="45"/>
      <c r="DQ101" s="45"/>
      <c r="DR101" s="45"/>
      <c r="DS101" s="45"/>
      <c r="DT101" s="45"/>
      <c r="DU101" s="45"/>
      <c r="DV101" s="45"/>
      <c r="DW101" s="45"/>
      <c r="DX101" s="45"/>
      <c r="DY101" s="45"/>
      <c r="DZ101" s="45"/>
      <c r="EA101" s="45"/>
      <c r="EB101" s="45"/>
      <c r="EC101" s="45"/>
      <c r="ED101" s="45"/>
      <c r="EE101" s="45"/>
      <c r="EF101" s="45"/>
      <c r="EG101" s="45"/>
      <c r="EH101" s="45"/>
      <c r="EI101" s="45"/>
      <c r="EJ101" s="45"/>
      <c r="EK101" s="45"/>
      <c r="EL101" s="45"/>
      <c r="EM101" s="45"/>
      <c r="EN101" s="45"/>
      <c r="EO101" s="45"/>
      <c r="EP101" s="45"/>
      <c r="EQ101" s="45"/>
    </row>
    <row r="102" spans="1:147" s="92" customFormat="1" ht="15" customHeight="1" x14ac:dyDescent="0.25">
      <c r="A102" s="102" t="s">
        <v>800</v>
      </c>
      <c r="B102" s="137"/>
      <c r="C102" s="104" t="s">
        <v>801</v>
      </c>
      <c r="D102" s="103"/>
      <c r="E102" s="103" t="s">
        <v>191</v>
      </c>
      <c r="F102" s="119"/>
      <c r="G102" s="119"/>
      <c r="H102" s="119"/>
      <c r="I102" s="102"/>
      <c r="J102" s="102"/>
      <c r="K102" s="45"/>
      <c r="L102" s="45"/>
      <c r="M102" s="45"/>
      <c r="N102" s="45"/>
      <c r="O102" s="45"/>
      <c r="P102" s="45"/>
      <c r="Q102" s="45"/>
      <c r="R102" s="45"/>
      <c r="S102" s="45"/>
      <c r="T102" s="45"/>
      <c r="U102" s="45"/>
      <c r="V102" s="45"/>
      <c r="W102" s="45"/>
      <c r="X102" s="45"/>
      <c r="Y102" s="45"/>
      <c r="Z102" s="45"/>
      <c r="AA102" s="45"/>
      <c r="AB102" s="45"/>
      <c r="AC102" s="45"/>
      <c r="AD102" s="45"/>
      <c r="AE102" s="45"/>
      <c r="AF102" s="45"/>
      <c r="AG102" s="45"/>
      <c r="AH102" s="45"/>
      <c r="AI102" s="45"/>
      <c r="AJ102" s="45"/>
      <c r="AK102" s="45"/>
      <c r="AL102" s="45"/>
      <c r="AM102" s="45"/>
      <c r="AN102" s="45"/>
      <c r="AO102" s="45"/>
      <c r="AP102" s="45"/>
      <c r="AQ102" s="45"/>
      <c r="AR102" s="45"/>
      <c r="AS102" s="45"/>
      <c r="AT102" s="45"/>
      <c r="AU102" s="45"/>
      <c r="AV102" s="45"/>
      <c r="AW102" s="45"/>
      <c r="AX102" s="45"/>
      <c r="AY102" s="45"/>
      <c r="AZ102" s="45"/>
      <c r="BA102" s="45"/>
      <c r="BB102" s="45"/>
      <c r="BC102" s="45"/>
      <c r="BD102" s="45"/>
      <c r="BE102" s="45"/>
      <c r="BF102" s="45"/>
      <c r="BG102" s="45"/>
      <c r="BH102" s="45"/>
      <c r="BI102" s="45"/>
      <c r="BJ102" s="45"/>
      <c r="BK102" s="45"/>
      <c r="BL102" s="45"/>
      <c r="BM102" s="45"/>
      <c r="BN102" s="45"/>
      <c r="BO102" s="45"/>
      <c r="BP102" s="45"/>
      <c r="BQ102" s="45"/>
      <c r="BR102" s="45"/>
      <c r="BS102" s="45"/>
      <c r="BT102" s="45"/>
      <c r="BU102" s="45"/>
      <c r="BV102" s="45"/>
      <c r="BW102" s="45"/>
      <c r="BX102" s="45"/>
      <c r="BY102" s="45"/>
      <c r="BZ102" s="45"/>
      <c r="CA102" s="45"/>
      <c r="CB102" s="45"/>
      <c r="CC102" s="45"/>
      <c r="CD102" s="45"/>
      <c r="CE102" s="45"/>
      <c r="CF102" s="45"/>
      <c r="CG102" s="45"/>
      <c r="CH102" s="45"/>
      <c r="CI102" s="45"/>
      <c r="CJ102" s="45"/>
      <c r="CK102" s="45"/>
      <c r="CL102" s="45"/>
      <c r="CM102" s="45"/>
      <c r="CN102" s="45"/>
      <c r="CO102" s="45"/>
      <c r="CP102" s="45"/>
      <c r="CQ102" s="45"/>
      <c r="CR102" s="45"/>
      <c r="CS102" s="45"/>
      <c r="CT102" s="45"/>
      <c r="CU102" s="45"/>
      <c r="CV102" s="45"/>
      <c r="CW102" s="45"/>
      <c r="CX102" s="45"/>
      <c r="CY102" s="45"/>
      <c r="CZ102" s="45"/>
      <c r="DA102" s="45"/>
      <c r="DB102" s="45"/>
      <c r="DC102" s="45"/>
      <c r="DD102" s="45"/>
      <c r="DE102" s="45"/>
      <c r="DF102" s="45"/>
      <c r="DG102" s="45"/>
      <c r="DH102" s="45"/>
      <c r="DI102" s="45"/>
      <c r="DJ102" s="45"/>
      <c r="DK102" s="45"/>
      <c r="DL102" s="45"/>
      <c r="DM102" s="45"/>
      <c r="DN102" s="45"/>
      <c r="DO102" s="45"/>
      <c r="DP102" s="45"/>
      <c r="DQ102" s="45"/>
      <c r="DR102" s="45"/>
      <c r="DS102" s="45"/>
      <c r="DT102" s="45"/>
      <c r="DU102" s="45"/>
      <c r="DV102" s="45"/>
      <c r="DW102" s="45"/>
      <c r="DX102" s="45"/>
      <c r="DY102" s="45"/>
      <c r="DZ102" s="45"/>
      <c r="EA102" s="45"/>
      <c r="EB102" s="45"/>
      <c r="EC102" s="45"/>
      <c r="ED102" s="45"/>
      <c r="EE102" s="45"/>
      <c r="EF102" s="45"/>
      <c r="EG102" s="45"/>
      <c r="EH102" s="45"/>
      <c r="EI102" s="45"/>
      <c r="EJ102" s="45"/>
      <c r="EK102" s="45"/>
      <c r="EL102" s="45"/>
      <c r="EM102" s="45"/>
      <c r="EN102" s="45"/>
      <c r="EO102" s="45"/>
      <c r="EP102" s="45"/>
      <c r="EQ102" s="45"/>
    </row>
    <row r="103" spans="1:147" s="92" customFormat="1" ht="15" customHeight="1" x14ac:dyDescent="0.25">
      <c r="A103" s="102" t="s">
        <v>802</v>
      </c>
      <c r="B103" s="137"/>
      <c r="C103" s="104" t="s">
        <v>803</v>
      </c>
      <c r="D103" s="103"/>
      <c r="E103" s="103" t="s">
        <v>191</v>
      </c>
      <c r="F103" s="119"/>
      <c r="G103" s="119"/>
      <c r="H103" s="119"/>
      <c r="I103" s="102"/>
      <c r="J103" s="102"/>
      <c r="K103" s="45"/>
      <c r="L103" s="45"/>
      <c r="M103" s="45"/>
      <c r="N103" s="45"/>
      <c r="O103" s="45"/>
      <c r="P103" s="45"/>
      <c r="Q103" s="45"/>
      <c r="R103" s="45"/>
      <c r="S103" s="45"/>
      <c r="T103" s="45"/>
      <c r="U103" s="45"/>
      <c r="V103" s="45"/>
      <c r="W103" s="45"/>
      <c r="X103" s="45"/>
      <c r="Y103" s="45"/>
      <c r="Z103" s="45"/>
      <c r="AA103" s="45"/>
      <c r="AB103" s="45"/>
      <c r="AC103" s="45"/>
      <c r="AD103" s="45"/>
      <c r="AE103" s="45"/>
      <c r="AF103" s="45"/>
      <c r="AG103" s="45"/>
      <c r="AH103" s="45"/>
      <c r="AI103" s="45"/>
      <c r="AJ103" s="45"/>
      <c r="AK103" s="45"/>
      <c r="AL103" s="45"/>
      <c r="AM103" s="45"/>
      <c r="AN103" s="45"/>
      <c r="AO103" s="45"/>
      <c r="AP103" s="45"/>
      <c r="AQ103" s="45"/>
      <c r="AR103" s="45"/>
      <c r="AS103" s="45"/>
      <c r="AT103" s="45"/>
      <c r="AU103" s="45"/>
      <c r="AV103" s="45"/>
      <c r="AW103" s="45"/>
      <c r="AX103" s="45"/>
      <c r="AY103" s="45"/>
      <c r="AZ103" s="45"/>
      <c r="BA103" s="45"/>
      <c r="BB103" s="45"/>
      <c r="BC103" s="45"/>
      <c r="BD103" s="45"/>
      <c r="BE103" s="45"/>
      <c r="BF103" s="45"/>
      <c r="BG103" s="45"/>
      <c r="BH103" s="45"/>
      <c r="BI103" s="45"/>
      <c r="BJ103" s="45"/>
      <c r="BK103" s="45"/>
      <c r="BL103" s="45"/>
      <c r="BM103" s="45"/>
      <c r="BN103" s="45"/>
      <c r="BO103" s="45"/>
      <c r="BP103" s="45"/>
      <c r="BQ103" s="45"/>
      <c r="BR103" s="45"/>
      <c r="BS103" s="45"/>
      <c r="BT103" s="45"/>
      <c r="BU103" s="45"/>
      <c r="BV103" s="45"/>
      <c r="BW103" s="45"/>
      <c r="BX103" s="45"/>
      <c r="BY103" s="45"/>
      <c r="BZ103" s="45"/>
      <c r="CA103" s="45"/>
      <c r="CB103" s="45"/>
      <c r="CC103" s="45"/>
      <c r="CD103" s="45"/>
      <c r="CE103" s="45"/>
      <c r="CF103" s="45"/>
      <c r="CG103" s="45"/>
      <c r="CH103" s="45"/>
      <c r="CI103" s="45"/>
      <c r="CJ103" s="45"/>
      <c r="CK103" s="45"/>
      <c r="CL103" s="45"/>
      <c r="CM103" s="45"/>
      <c r="CN103" s="45"/>
      <c r="CO103" s="45"/>
      <c r="CP103" s="45"/>
      <c r="CQ103" s="45"/>
      <c r="CR103" s="45"/>
      <c r="CS103" s="45"/>
      <c r="CT103" s="45"/>
      <c r="CU103" s="45"/>
      <c r="CV103" s="45"/>
      <c r="CW103" s="45"/>
      <c r="CX103" s="45"/>
      <c r="CY103" s="45"/>
      <c r="CZ103" s="45"/>
      <c r="DA103" s="45"/>
      <c r="DB103" s="45"/>
      <c r="DC103" s="45"/>
      <c r="DD103" s="45"/>
      <c r="DE103" s="45"/>
      <c r="DF103" s="45"/>
      <c r="DG103" s="45"/>
      <c r="DH103" s="45"/>
      <c r="DI103" s="45"/>
      <c r="DJ103" s="45"/>
      <c r="DK103" s="45"/>
      <c r="DL103" s="45"/>
      <c r="DM103" s="45"/>
      <c r="DN103" s="45"/>
      <c r="DO103" s="45"/>
      <c r="DP103" s="45"/>
      <c r="DQ103" s="45"/>
      <c r="DR103" s="45"/>
      <c r="DS103" s="45"/>
      <c r="DT103" s="45"/>
      <c r="DU103" s="45"/>
      <c r="DV103" s="45"/>
      <c r="DW103" s="45"/>
      <c r="DX103" s="45"/>
      <c r="DY103" s="45"/>
      <c r="DZ103" s="45"/>
      <c r="EA103" s="45"/>
      <c r="EB103" s="45"/>
      <c r="EC103" s="45"/>
      <c r="ED103" s="45"/>
      <c r="EE103" s="45"/>
      <c r="EF103" s="45"/>
      <c r="EG103" s="45"/>
      <c r="EH103" s="45"/>
      <c r="EI103" s="45"/>
      <c r="EJ103" s="45"/>
      <c r="EK103" s="45"/>
      <c r="EL103" s="45"/>
      <c r="EM103" s="45"/>
      <c r="EN103" s="45"/>
      <c r="EO103" s="45"/>
      <c r="EP103" s="45"/>
      <c r="EQ103" s="45"/>
    </row>
    <row r="104" spans="1:147" s="92" customFormat="1" ht="15" customHeight="1" x14ac:dyDescent="0.25">
      <c r="A104" s="102" t="s">
        <v>305</v>
      </c>
      <c r="B104" s="137"/>
      <c r="C104" s="104" t="s">
        <v>564</v>
      </c>
      <c r="D104" s="103"/>
      <c r="E104" s="103" t="s">
        <v>191</v>
      </c>
      <c r="F104" s="119"/>
      <c r="G104" s="119"/>
      <c r="H104" s="119"/>
      <c r="I104" s="102"/>
      <c r="J104" s="102"/>
      <c r="K104" s="45"/>
      <c r="L104" s="45"/>
      <c r="M104" s="45"/>
      <c r="N104" s="45"/>
      <c r="O104" s="45"/>
      <c r="P104" s="45"/>
      <c r="Q104" s="45"/>
      <c r="R104" s="45"/>
      <c r="S104" s="45"/>
      <c r="T104" s="45"/>
      <c r="U104" s="45"/>
      <c r="V104" s="45"/>
      <c r="W104" s="45"/>
      <c r="X104" s="45"/>
      <c r="Y104" s="45"/>
      <c r="Z104" s="45"/>
      <c r="AA104" s="45"/>
      <c r="AB104" s="45"/>
      <c r="AC104" s="45"/>
      <c r="AD104" s="45"/>
      <c r="AE104" s="45"/>
      <c r="AF104" s="45"/>
      <c r="AG104" s="45"/>
      <c r="AH104" s="45"/>
      <c r="AI104" s="45"/>
      <c r="AJ104" s="45"/>
      <c r="AK104" s="45"/>
      <c r="AL104" s="45"/>
      <c r="AM104" s="45"/>
      <c r="AN104" s="45"/>
      <c r="AO104" s="45"/>
      <c r="AP104" s="45"/>
      <c r="AQ104" s="45"/>
      <c r="AR104" s="45"/>
      <c r="AS104" s="45"/>
      <c r="AT104" s="45"/>
      <c r="AU104" s="45"/>
      <c r="AV104" s="45"/>
      <c r="AW104" s="45"/>
      <c r="AX104" s="45"/>
      <c r="AY104" s="45"/>
      <c r="AZ104" s="45"/>
      <c r="BA104" s="45"/>
      <c r="BB104" s="45"/>
      <c r="BC104" s="45"/>
      <c r="BD104" s="45"/>
      <c r="BE104" s="45"/>
      <c r="BF104" s="45"/>
      <c r="BG104" s="45"/>
      <c r="BH104" s="45"/>
      <c r="BI104" s="45"/>
      <c r="BJ104" s="45"/>
      <c r="BK104" s="45"/>
      <c r="BL104" s="45"/>
      <c r="BM104" s="45"/>
      <c r="BN104" s="45"/>
      <c r="BO104" s="45"/>
      <c r="BP104" s="45"/>
      <c r="BQ104" s="45"/>
      <c r="BR104" s="45"/>
      <c r="BS104" s="45"/>
      <c r="BT104" s="45"/>
      <c r="BU104" s="45"/>
      <c r="BV104" s="45"/>
      <c r="BW104" s="45"/>
      <c r="BX104" s="45"/>
      <c r="BY104" s="45"/>
      <c r="BZ104" s="45"/>
      <c r="CA104" s="45"/>
      <c r="CB104" s="45"/>
      <c r="CC104" s="45"/>
      <c r="CD104" s="45"/>
      <c r="CE104" s="45"/>
      <c r="CF104" s="45"/>
      <c r="CG104" s="45"/>
      <c r="CH104" s="45"/>
      <c r="CI104" s="45"/>
      <c r="CJ104" s="45"/>
      <c r="CK104" s="45"/>
      <c r="CL104" s="45"/>
      <c r="CM104" s="45"/>
      <c r="CN104" s="45"/>
      <c r="CO104" s="45"/>
      <c r="CP104" s="45"/>
      <c r="CQ104" s="45"/>
      <c r="CR104" s="45"/>
      <c r="CS104" s="45"/>
      <c r="CT104" s="45"/>
      <c r="CU104" s="45"/>
      <c r="CV104" s="45"/>
      <c r="CW104" s="45"/>
      <c r="CX104" s="45"/>
      <c r="CY104" s="45"/>
      <c r="CZ104" s="45"/>
      <c r="DA104" s="45"/>
      <c r="DB104" s="45"/>
      <c r="DC104" s="45"/>
      <c r="DD104" s="45"/>
      <c r="DE104" s="45"/>
      <c r="DF104" s="45"/>
      <c r="DG104" s="45"/>
      <c r="DH104" s="45"/>
      <c r="DI104" s="45"/>
      <c r="DJ104" s="45"/>
      <c r="DK104" s="45"/>
      <c r="DL104" s="45"/>
      <c r="DM104" s="45"/>
      <c r="DN104" s="45"/>
      <c r="DO104" s="45"/>
      <c r="DP104" s="45"/>
      <c r="DQ104" s="45"/>
      <c r="DR104" s="45"/>
      <c r="DS104" s="45"/>
      <c r="DT104" s="45"/>
      <c r="DU104" s="45"/>
      <c r="DV104" s="45"/>
      <c r="DW104" s="45"/>
      <c r="DX104" s="45"/>
      <c r="DY104" s="45"/>
      <c r="DZ104" s="45"/>
      <c r="EA104" s="45"/>
      <c r="EB104" s="45"/>
      <c r="EC104" s="45"/>
      <c r="ED104" s="45"/>
      <c r="EE104" s="45"/>
      <c r="EF104" s="45"/>
      <c r="EG104" s="45"/>
      <c r="EH104" s="45"/>
      <c r="EI104" s="45"/>
      <c r="EJ104" s="45"/>
      <c r="EK104" s="45"/>
      <c r="EL104" s="45"/>
      <c r="EM104" s="45"/>
      <c r="EN104" s="45"/>
      <c r="EO104" s="45"/>
      <c r="EP104" s="45"/>
      <c r="EQ104" s="45"/>
    </row>
    <row r="105" spans="1:147" s="92" customFormat="1" ht="15" customHeight="1" x14ac:dyDescent="0.25">
      <c r="A105" s="102" t="s">
        <v>558</v>
      </c>
      <c r="B105" s="137"/>
      <c r="C105" s="104" t="s">
        <v>567</v>
      </c>
      <c r="D105" s="103"/>
      <c r="E105" s="103" t="s">
        <v>191</v>
      </c>
      <c r="F105" s="119"/>
      <c r="G105" s="119"/>
      <c r="H105" s="119"/>
      <c r="I105" s="102"/>
      <c r="J105" s="102"/>
      <c r="K105" s="45"/>
      <c r="L105" s="45"/>
      <c r="M105" s="45"/>
      <c r="N105" s="45"/>
      <c r="O105" s="45"/>
      <c r="P105" s="45"/>
      <c r="Q105" s="45"/>
      <c r="R105" s="45"/>
      <c r="S105" s="45"/>
      <c r="T105" s="45"/>
      <c r="U105" s="45"/>
      <c r="V105" s="45"/>
      <c r="W105" s="45"/>
      <c r="X105" s="45"/>
      <c r="Y105" s="45"/>
      <c r="Z105" s="45"/>
      <c r="AA105" s="45"/>
      <c r="AB105" s="45"/>
      <c r="AC105" s="45"/>
      <c r="AD105" s="45"/>
      <c r="AE105" s="45"/>
      <c r="AF105" s="45"/>
      <c r="AG105" s="45"/>
      <c r="AH105" s="45"/>
      <c r="AI105" s="45"/>
      <c r="AJ105" s="45"/>
      <c r="AK105" s="45"/>
      <c r="AL105" s="45"/>
      <c r="AM105" s="45"/>
      <c r="AN105" s="45"/>
      <c r="AO105" s="45"/>
      <c r="AP105" s="45"/>
      <c r="AQ105" s="45"/>
      <c r="AR105" s="45"/>
      <c r="AS105" s="45"/>
      <c r="AT105" s="45"/>
      <c r="AU105" s="45"/>
      <c r="AV105" s="45"/>
      <c r="AW105" s="45"/>
      <c r="AX105" s="45"/>
      <c r="AY105" s="45"/>
      <c r="AZ105" s="45"/>
      <c r="BA105" s="45"/>
      <c r="BB105" s="45"/>
      <c r="BC105" s="45"/>
      <c r="BD105" s="45"/>
      <c r="BE105" s="45"/>
      <c r="BF105" s="45"/>
      <c r="BG105" s="45"/>
      <c r="BH105" s="45"/>
      <c r="BI105" s="45"/>
      <c r="BJ105" s="45"/>
      <c r="BK105" s="45"/>
      <c r="BL105" s="45"/>
      <c r="BM105" s="45"/>
      <c r="BN105" s="45"/>
      <c r="BO105" s="45"/>
      <c r="BP105" s="45"/>
      <c r="BQ105" s="45"/>
      <c r="BR105" s="45"/>
      <c r="BS105" s="45"/>
      <c r="BT105" s="45"/>
      <c r="BU105" s="45"/>
      <c r="BV105" s="45"/>
      <c r="BW105" s="45"/>
      <c r="BX105" s="45"/>
      <c r="BY105" s="45"/>
      <c r="BZ105" s="45"/>
      <c r="CA105" s="45"/>
      <c r="CB105" s="45"/>
      <c r="CC105" s="45"/>
      <c r="CD105" s="45"/>
      <c r="CE105" s="45"/>
      <c r="CF105" s="45"/>
      <c r="CG105" s="45"/>
      <c r="CH105" s="45"/>
      <c r="CI105" s="45"/>
      <c r="CJ105" s="45"/>
      <c r="CK105" s="45"/>
      <c r="CL105" s="45"/>
      <c r="CM105" s="45"/>
      <c r="CN105" s="45"/>
      <c r="CO105" s="45"/>
      <c r="CP105" s="45"/>
      <c r="CQ105" s="45"/>
      <c r="CR105" s="45"/>
      <c r="CS105" s="45"/>
      <c r="CT105" s="45"/>
      <c r="CU105" s="45"/>
      <c r="CV105" s="45"/>
      <c r="CW105" s="45"/>
      <c r="CX105" s="45"/>
      <c r="CY105" s="45"/>
      <c r="CZ105" s="45"/>
      <c r="DA105" s="45"/>
      <c r="DB105" s="45"/>
      <c r="DC105" s="45"/>
      <c r="DD105" s="45"/>
      <c r="DE105" s="45"/>
      <c r="DF105" s="45"/>
      <c r="DG105" s="45"/>
      <c r="DH105" s="45"/>
      <c r="DI105" s="45"/>
      <c r="DJ105" s="45"/>
      <c r="DK105" s="45"/>
      <c r="DL105" s="45"/>
      <c r="DM105" s="45"/>
      <c r="DN105" s="45"/>
      <c r="DO105" s="45"/>
      <c r="DP105" s="45"/>
      <c r="DQ105" s="45"/>
      <c r="DR105" s="45"/>
      <c r="DS105" s="45"/>
      <c r="DT105" s="45"/>
      <c r="DU105" s="45"/>
      <c r="DV105" s="45"/>
      <c r="DW105" s="45"/>
      <c r="DX105" s="45"/>
      <c r="DY105" s="45"/>
      <c r="DZ105" s="45"/>
      <c r="EA105" s="45"/>
      <c r="EB105" s="45"/>
      <c r="EC105" s="45"/>
      <c r="ED105" s="45"/>
      <c r="EE105" s="45"/>
      <c r="EF105" s="45"/>
      <c r="EG105" s="45"/>
      <c r="EH105" s="45"/>
      <c r="EI105" s="45"/>
      <c r="EJ105" s="45"/>
      <c r="EK105" s="45"/>
      <c r="EL105" s="45"/>
      <c r="EM105" s="45"/>
      <c r="EN105" s="45"/>
      <c r="EO105" s="45"/>
      <c r="EP105" s="45"/>
      <c r="EQ105" s="45"/>
    </row>
    <row r="106" spans="1:147" s="92" customFormat="1" ht="15" customHeight="1" x14ac:dyDescent="0.25">
      <c r="A106" s="102" t="s">
        <v>553</v>
      </c>
      <c r="B106" s="137"/>
      <c r="C106" s="104" t="s">
        <v>561</v>
      </c>
      <c r="D106" s="103"/>
      <c r="E106" s="103" t="s">
        <v>191</v>
      </c>
      <c r="F106" s="119"/>
      <c r="G106" s="119"/>
      <c r="H106" s="119"/>
      <c r="I106" s="102"/>
      <c r="J106" s="102"/>
      <c r="K106" s="45"/>
      <c r="L106" s="45"/>
      <c r="M106" s="45"/>
      <c r="N106" s="45"/>
      <c r="O106" s="45"/>
      <c r="P106" s="45"/>
      <c r="Q106" s="45"/>
      <c r="R106" s="45"/>
      <c r="S106" s="45"/>
      <c r="T106" s="45"/>
      <c r="U106" s="45"/>
      <c r="V106" s="45"/>
      <c r="W106" s="45"/>
      <c r="X106" s="45"/>
      <c r="Y106" s="45"/>
      <c r="Z106" s="45"/>
      <c r="AA106" s="45"/>
      <c r="AB106" s="45"/>
      <c r="AC106" s="45"/>
      <c r="AD106" s="45"/>
      <c r="AE106" s="45"/>
      <c r="AF106" s="45"/>
      <c r="AG106" s="45"/>
      <c r="AH106" s="45"/>
      <c r="AI106" s="45"/>
      <c r="AJ106" s="45"/>
      <c r="AK106" s="45"/>
      <c r="AL106" s="45"/>
      <c r="AM106" s="45"/>
      <c r="AN106" s="45"/>
      <c r="AO106" s="45"/>
      <c r="AP106" s="45"/>
      <c r="AQ106" s="45"/>
      <c r="AR106" s="45"/>
      <c r="AS106" s="45"/>
      <c r="AT106" s="45"/>
      <c r="AU106" s="45"/>
      <c r="AV106" s="45"/>
      <c r="AW106" s="45"/>
      <c r="AX106" s="45"/>
      <c r="AY106" s="45"/>
      <c r="AZ106" s="45"/>
      <c r="BA106" s="45"/>
      <c r="BB106" s="45"/>
      <c r="BC106" s="45"/>
      <c r="BD106" s="45"/>
      <c r="BE106" s="45"/>
      <c r="BF106" s="45"/>
      <c r="BG106" s="45"/>
      <c r="BH106" s="45"/>
      <c r="BI106" s="45"/>
      <c r="BJ106" s="45"/>
      <c r="BK106" s="45"/>
      <c r="BL106" s="45"/>
      <c r="BM106" s="45"/>
      <c r="BN106" s="45"/>
      <c r="BO106" s="45"/>
      <c r="BP106" s="45"/>
      <c r="BQ106" s="45"/>
      <c r="BR106" s="45"/>
      <c r="BS106" s="45"/>
      <c r="BT106" s="45"/>
      <c r="BU106" s="45"/>
      <c r="BV106" s="45"/>
      <c r="BW106" s="45"/>
      <c r="BX106" s="45"/>
      <c r="BY106" s="45"/>
      <c r="BZ106" s="45"/>
      <c r="CA106" s="45"/>
      <c r="CB106" s="45"/>
      <c r="CC106" s="45"/>
      <c r="CD106" s="45"/>
      <c r="CE106" s="45"/>
      <c r="CF106" s="45"/>
      <c r="CG106" s="45"/>
      <c r="CH106" s="45"/>
      <c r="CI106" s="45"/>
      <c r="CJ106" s="45"/>
      <c r="CK106" s="45"/>
      <c r="CL106" s="45"/>
      <c r="CM106" s="45"/>
      <c r="CN106" s="45"/>
      <c r="CO106" s="45"/>
      <c r="CP106" s="45"/>
      <c r="CQ106" s="45"/>
      <c r="CR106" s="45"/>
      <c r="CS106" s="45"/>
      <c r="CT106" s="45"/>
      <c r="CU106" s="45"/>
      <c r="CV106" s="45"/>
      <c r="CW106" s="45"/>
      <c r="CX106" s="45"/>
      <c r="CY106" s="45"/>
      <c r="CZ106" s="45"/>
      <c r="DA106" s="45"/>
      <c r="DB106" s="45"/>
      <c r="DC106" s="45"/>
      <c r="DD106" s="45"/>
      <c r="DE106" s="45"/>
      <c r="DF106" s="45"/>
      <c r="DG106" s="45"/>
      <c r="DH106" s="45"/>
      <c r="DI106" s="45"/>
      <c r="DJ106" s="45"/>
      <c r="DK106" s="45"/>
      <c r="DL106" s="45"/>
      <c r="DM106" s="45"/>
      <c r="DN106" s="45"/>
      <c r="DO106" s="45"/>
      <c r="DP106" s="45"/>
      <c r="DQ106" s="45"/>
      <c r="DR106" s="45"/>
      <c r="DS106" s="45"/>
      <c r="DT106" s="45"/>
      <c r="DU106" s="45"/>
      <c r="DV106" s="45"/>
      <c r="DW106" s="45"/>
      <c r="DX106" s="45"/>
      <c r="DY106" s="45"/>
      <c r="DZ106" s="45"/>
      <c r="EA106" s="45"/>
      <c r="EB106" s="45"/>
      <c r="EC106" s="45"/>
      <c r="ED106" s="45"/>
      <c r="EE106" s="45"/>
      <c r="EF106" s="45"/>
      <c r="EG106" s="45"/>
      <c r="EH106" s="45"/>
      <c r="EI106" s="45"/>
      <c r="EJ106" s="45"/>
      <c r="EK106" s="45"/>
      <c r="EL106" s="45"/>
      <c r="EM106" s="45"/>
      <c r="EN106" s="45"/>
      <c r="EO106" s="45"/>
      <c r="EP106" s="45"/>
      <c r="EQ106" s="45"/>
    </row>
    <row r="107" spans="1:147" s="92" customFormat="1" ht="15" customHeight="1" x14ac:dyDescent="0.25">
      <c r="A107" s="102" t="s">
        <v>804</v>
      </c>
      <c r="B107" s="137"/>
      <c r="C107" s="104" t="s">
        <v>805</v>
      </c>
      <c r="D107" s="103"/>
      <c r="E107" s="103" t="s">
        <v>191</v>
      </c>
      <c r="F107" s="119"/>
      <c r="G107" s="119"/>
      <c r="H107" s="119"/>
      <c r="I107" s="102"/>
      <c r="J107" s="102"/>
      <c r="K107" s="45"/>
      <c r="L107" s="45"/>
      <c r="M107" s="45"/>
      <c r="N107" s="45"/>
      <c r="O107" s="45"/>
      <c r="P107" s="45"/>
      <c r="Q107" s="45"/>
      <c r="R107" s="45"/>
      <c r="S107" s="45"/>
      <c r="T107" s="45"/>
      <c r="U107" s="45"/>
      <c r="V107" s="45"/>
      <c r="W107" s="45"/>
      <c r="X107" s="45"/>
      <c r="Y107" s="45"/>
      <c r="Z107" s="45"/>
      <c r="AA107" s="45"/>
      <c r="AB107" s="45"/>
      <c r="AC107" s="45"/>
      <c r="AD107" s="45"/>
      <c r="AE107" s="45"/>
      <c r="AF107" s="45"/>
      <c r="AG107" s="45"/>
      <c r="AH107" s="45"/>
      <c r="AI107" s="45"/>
      <c r="AJ107" s="45"/>
      <c r="AK107" s="45"/>
      <c r="AL107" s="45"/>
      <c r="AM107" s="45"/>
      <c r="AN107" s="45"/>
      <c r="AO107" s="45"/>
      <c r="AP107" s="45"/>
      <c r="AQ107" s="45"/>
      <c r="AR107" s="45"/>
      <c r="AS107" s="45"/>
      <c r="AT107" s="45"/>
      <c r="AU107" s="45"/>
      <c r="AV107" s="45"/>
      <c r="AW107" s="45"/>
      <c r="AX107" s="45"/>
      <c r="AY107" s="45"/>
      <c r="AZ107" s="45"/>
      <c r="BA107" s="45"/>
      <c r="BB107" s="45"/>
      <c r="BC107" s="45"/>
      <c r="BD107" s="45"/>
      <c r="BE107" s="45"/>
      <c r="BF107" s="45"/>
      <c r="BG107" s="45"/>
      <c r="BH107" s="45"/>
      <c r="BI107" s="45"/>
      <c r="BJ107" s="45"/>
      <c r="BK107" s="45"/>
      <c r="BL107" s="45"/>
      <c r="BM107" s="45"/>
      <c r="BN107" s="45"/>
      <c r="BO107" s="45"/>
      <c r="BP107" s="45"/>
      <c r="BQ107" s="45"/>
      <c r="BR107" s="45"/>
      <c r="BS107" s="45"/>
      <c r="BT107" s="45"/>
      <c r="BU107" s="45"/>
      <c r="BV107" s="45"/>
      <c r="BW107" s="45"/>
      <c r="BX107" s="45"/>
      <c r="BY107" s="45"/>
      <c r="BZ107" s="45"/>
      <c r="CA107" s="45"/>
      <c r="CB107" s="45"/>
      <c r="CC107" s="45"/>
      <c r="CD107" s="45"/>
      <c r="CE107" s="45"/>
      <c r="CF107" s="45"/>
      <c r="CG107" s="45"/>
      <c r="CH107" s="45"/>
      <c r="CI107" s="45"/>
      <c r="CJ107" s="45"/>
      <c r="CK107" s="45"/>
      <c r="CL107" s="45"/>
      <c r="CM107" s="45"/>
      <c r="CN107" s="45"/>
      <c r="CO107" s="45"/>
      <c r="CP107" s="45"/>
      <c r="CQ107" s="45"/>
      <c r="CR107" s="45"/>
      <c r="CS107" s="45"/>
      <c r="CT107" s="45"/>
      <c r="CU107" s="45"/>
      <c r="CV107" s="45"/>
      <c r="CW107" s="45"/>
      <c r="CX107" s="45"/>
      <c r="CY107" s="45"/>
      <c r="CZ107" s="45"/>
      <c r="DA107" s="45"/>
      <c r="DB107" s="45"/>
      <c r="DC107" s="45"/>
      <c r="DD107" s="45"/>
      <c r="DE107" s="45"/>
      <c r="DF107" s="45"/>
      <c r="DG107" s="45"/>
      <c r="DH107" s="45"/>
      <c r="DI107" s="45"/>
      <c r="DJ107" s="45"/>
      <c r="DK107" s="45"/>
      <c r="DL107" s="45"/>
      <c r="DM107" s="45"/>
      <c r="DN107" s="45"/>
      <c r="DO107" s="45"/>
      <c r="DP107" s="45"/>
      <c r="DQ107" s="45"/>
      <c r="DR107" s="45"/>
      <c r="DS107" s="45"/>
      <c r="DT107" s="45"/>
      <c r="DU107" s="45"/>
      <c r="DV107" s="45"/>
      <c r="DW107" s="45"/>
      <c r="DX107" s="45"/>
      <c r="DY107" s="45"/>
      <c r="DZ107" s="45"/>
      <c r="EA107" s="45"/>
      <c r="EB107" s="45"/>
      <c r="EC107" s="45"/>
      <c r="ED107" s="45"/>
      <c r="EE107" s="45"/>
      <c r="EF107" s="45"/>
      <c r="EG107" s="45"/>
      <c r="EH107" s="45"/>
      <c r="EI107" s="45"/>
      <c r="EJ107" s="45"/>
      <c r="EK107" s="45"/>
      <c r="EL107" s="45"/>
      <c r="EM107" s="45"/>
      <c r="EN107" s="45"/>
      <c r="EO107" s="45"/>
      <c r="EP107" s="45"/>
      <c r="EQ107" s="45"/>
    </row>
    <row r="108" spans="1:147" s="92" customFormat="1" ht="15" customHeight="1" x14ac:dyDescent="0.25">
      <c r="A108" s="102" t="s">
        <v>552</v>
      </c>
      <c r="B108" s="137"/>
      <c r="C108" s="104" t="s">
        <v>560</v>
      </c>
      <c r="D108" s="103"/>
      <c r="E108" s="103" t="s">
        <v>191</v>
      </c>
      <c r="F108" s="119"/>
      <c r="G108" s="119"/>
      <c r="H108" s="119"/>
      <c r="I108" s="102"/>
      <c r="J108" s="102"/>
      <c r="K108" s="45"/>
      <c r="L108" s="45"/>
      <c r="M108" s="45"/>
      <c r="N108" s="45"/>
      <c r="O108" s="45"/>
      <c r="P108" s="45"/>
      <c r="Q108" s="45"/>
      <c r="R108" s="45"/>
      <c r="S108" s="45"/>
      <c r="T108" s="45"/>
      <c r="U108" s="45"/>
      <c r="V108" s="45"/>
      <c r="W108" s="45"/>
      <c r="X108" s="45"/>
      <c r="Y108" s="45"/>
      <c r="Z108" s="45"/>
      <c r="AA108" s="45"/>
      <c r="AB108" s="45"/>
      <c r="AC108" s="45"/>
      <c r="AD108" s="45"/>
      <c r="AE108" s="45"/>
      <c r="AF108" s="45"/>
      <c r="AG108" s="45"/>
      <c r="AH108" s="45"/>
      <c r="AI108" s="45"/>
      <c r="AJ108" s="45"/>
      <c r="AK108" s="45"/>
      <c r="AL108" s="45"/>
      <c r="AM108" s="45"/>
      <c r="AN108" s="45"/>
      <c r="AO108" s="45"/>
      <c r="AP108" s="45"/>
      <c r="AQ108" s="45"/>
      <c r="AR108" s="45"/>
      <c r="AS108" s="45"/>
      <c r="AT108" s="45"/>
      <c r="AU108" s="45"/>
      <c r="AV108" s="45"/>
      <c r="AW108" s="45"/>
      <c r="AX108" s="45"/>
      <c r="AY108" s="45"/>
      <c r="AZ108" s="45"/>
      <c r="BA108" s="45"/>
      <c r="BB108" s="45"/>
      <c r="BC108" s="45"/>
      <c r="BD108" s="45"/>
      <c r="BE108" s="45"/>
      <c r="BF108" s="45"/>
      <c r="BG108" s="45"/>
      <c r="BH108" s="45"/>
      <c r="BI108" s="45"/>
      <c r="BJ108" s="45"/>
      <c r="BK108" s="45"/>
      <c r="BL108" s="45"/>
      <c r="BM108" s="45"/>
      <c r="BN108" s="45"/>
      <c r="BO108" s="45"/>
      <c r="BP108" s="45"/>
      <c r="BQ108" s="45"/>
      <c r="BR108" s="45"/>
      <c r="BS108" s="45"/>
      <c r="BT108" s="45"/>
      <c r="BU108" s="45"/>
      <c r="BV108" s="45"/>
      <c r="BW108" s="45"/>
      <c r="BX108" s="45"/>
      <c r="BY108" s="45"/>
      <c r="BZ108" s="45"/>
      <c r="CA108" s="45"/>
      <c r="CB108" s="45"/>
      <c r="CC108" s="45"/>
      <c r="CD108" s="45"/>
      <c r="CE108" s="45"/>
      <c r="CF108" s="45"/>
      <c r="CG108" s="45"/>
      <c r="CH108" s="45"/>
      <c r="CI108" s="45"/>
      <c r="CJ108" s="45"/>
      <c r="CK108" s="45"/>
      <c r="CL108" s="45"/>
      <c r="CM108" s="45"/>
      <c r="CN108" s="45"/>
      <c r="CO108" s="45"/>
      <c r="CP108" s="45"/>
      <c r="CQ108" s="45"/>
      <c r="CR108" s="45"/>
      <c r="CS108" s="45"/>
      <c r="CT108" s="45"/>
      <c r="CU108" s="45"/>
      <c r="CV108" s="45"/>
      <c r="CW108" s="45"/>
      <c r="CX108" s="45"/>
      <c r="CY108" s="45"/>
      <c r="CZ108" s="45"/>
      <c r="DA108" s="45"/>
      <c r="DB108" s="45"/>
      <c r="DC108" s="45"/>
      <c r="DD108" s="45"/>
      <c r="DE108" s="45"/>
      <c r="DF108" s="45"/>
      <c r="DG108" s="45"/>
      <c r="DH108" s="45"/>
      <c r="DI108" s="45"/>
      <c r="DJ108" s="45"/>
      <c r="DK108" s="45"/>
      <c r="DL108" s="45"/>
      <c r="DM108" s="45"/>
      <c r="DN108" s="45"/>
      <c r="DO108" s="45"/>
      <c r="DP108" s="45"/>
      <c r="DQ108" s="45"/>
      <c r="DR108" s="45"/>
      <c r="DS108" s="45"/>
      <c r="DT108" s="45"/>
      <c r="DU108" s="45"/>
      <c r="DV108" s="45"/>
      <c r="DW108" s="45"/>
      <c r="DX108" s="45"/>
      <c r="DY108" s="45"/>
      <c r="DZ108" s="45"/>
      <c r="EA108" s="45"/>
      <c r="EB108" s="45"/>
      <c r="EC108" s="45"/>
      <c r="ED108" s="45"/>
      <c r="EE108" s="45"/>
      <c r="EF108" s="45"/>
      <c r="EG108" s="45"/>
      <c r="EH108" s="45"/>
      <c r="EI108" s="45"/>
      <c r="EJ108" s="45"/>
      <c r="EK108" s="45"/>
      <c r="EL108" s="45"/>
      <c r="EM108" s="45"/>
      <c r="EN108" s="45"/>
      <c r="EO108" s="45"/>
      <c r="EP108" s="45"/>
      <c r="EQ108" s="45"/>
    </row>
    <row r="109" spans="1:147" s="92" customFormat="1" ht="15" customHeight="1" x14ac:dyDescent="0.25">
      <c r="A109" s="102" t="s">
        <v>806</v>
      </c>
      <c r="B109" s="137"/>
      <c r="C109" s="104" t="s">
        <v>807</v>
      </c>
      <c r="D109" s="103"/>
      <c r="E109" s="103" t="s">
        <v>191</v>
      </c>
      <c r="F109" s="119"/>
      <c r="G109" s="119"/>
      <c r="H109" s="119"/>
      <c r="I109" s="102"/>
      <c r="J109" s="102"/>
      <c r="K109" s="45"/>
      <c r="L109" s="45"/>
      <c r="M109" s="45"/>
      <c r="N109" s="45"/>
      <c r="O109" s="45"/>
      <c r="P109" s="45"/>
      <c r="Q109" s="45"/>
      <c r="R109" s="45"/>
      <c r="S109" s="45"/>
      <c r="T109" s="45"/>
      <c r="U109" s="45"/>
      <c r="V109" s="45"/>
      <c r="W109" s="45"/>
      <c r="X109" s="45"/>
      <c r="Y109" s="45"/>
      <c r="Z109" s="45"/>
      <c r="AA109" s="45"/>
      <c r="AB109" s="45"/>
      <c r="AC109" s="45"/>
      <c r="AD109" s="45"/>
      <c r="AE109" s="45"/>
      <c r="AF109" s="45"/>
      <c r="AG109" s="45"/>
      <c r="AH109" s="45"/>
      <c r="AI109" s="45"/>
      <c r="AJ109" s="45"/>
      <c r="AK109" s="45"/>
      <c r="AL109" s="45"/>
      <c r="AM109" s="45"/>
      <c r="AN109" s="45"/>
      <c r="AO109" s="45"/>
      <c r="AP109" s="45"/>
      <c r="AQ109" s="45"/>
      <c r="AR109" s="45"/>
      <c r="AS109" s="45"/>
      <c r="AT109" s="45"/>
      <c r="AU109" s="45"/>
      <c r="AV109" s="45"/>
      <c r="AW109" s="45"/>
      <c r="AX109" s="45"/>
      <c r="AY109" s="45"/>
      <c r="AZ109" s="45"/>
      <c r="BA109" s="45"/>
      <c r="BB109" s="45"/>
      <c r="BC109" s="45"/>
      <c r="BD109" s="45"/>
      <c r="BE109" s="45"/>
      <c r="BF109" s="45"/>
      <c r="BG109" s="45"/>
      <c r="BH109" s="45"/>
      <c r="BI109" s="45"/>
      <c r="BJ109" s="45"/>
      <c r="BK109" s="45"/>
      <c r="BL109" s="45"/>
      <c r="BM109" s="45"/>
      <c r="BN109" s="45"/>
      <c r="BO109" s="45"/>
      <c r="BP109" s="45"/>
      <c r="BQ109" s="45"/>
      <c r="BR109" s="45"/>
      <c r="BS109" s="45"/>
      <c r="BT109" s="45"/>
      <c r="BU109" s="45"/>
      <c r="BV109" s="45"/>
      <c r="BW109" s="45"/>
      <c r="BX109" s="45"/>
      <c r="BY109" s="45"/>
      <c r="BZ109" s="45"/>
      <c r="CA109" s="45"/>
      <c r="CB109" s="45"/>
      <c r="CC109" s="45"/>
      <c r="CD109" s="45"/>
      <c r="CE109" s="45"/>
      <c r="CF109" s="45"/>
      <c r="CG109" s="45"/>
      <c r="CH109" s="45"/>
      <c r="CI109" s="45"/>
      <c r="CJ109" s="45"/>
      <c r="CK109" s="45"/>
      <c r="CL109" s="45"/>
      <c r="CM109" s="45"/>
      <c r="CN109" s="45"/>
      <c r="CO109" s="45"/>
      <c r="CP109" s="45"/>
      <c r="CQ109" s="45"/>
      <c r="CR109" s="45"/>
      <c r="CS109" s="45"/>
      <c r="CT109" s="45"/>
      <c r="CU109" s="45"/>
      <c r="CV109" s="45"/>
      <c r="CW109" s="45"/>
      <c r="CX109" s="45"/>
      <c r="CY109" s="45"/>
      <c r="CZ109" s="45"/>
      <c r="DA109" s="45"/>
      <c r="DB109" s="45"/>
      <c r="DC109" s="45"/>
      <c r="DD109" s="45"/>
      <c r="DE109" s="45"/>
      <c r="DF109" s="45"/>
      <c r="DG109" s="45"/>
      <c r="DH109" s="45"/>
      <c r="DI109" s="45"/>
      <c r="DJ109" s="45"/>
      <c r="DK109" s="45"/>
      <c r="DL109" s="45"/>
      <c r="DM109" s="45"/>
      <c r="DN109" s="45"/>
      <c r="DO109" s="45"/>
      <c r="DP109" s="45"/>
      <c r="DQ109" s="45"/>
      <c r="DR109" s="45"/>
      <c r="DS109" s="45"/>
      <c r="DT109" s="45"/>
      <c r="DU109" s="45"/>
      <c r="DV109" s="45"/>
      <c r="DW109" s="45"/>
      <c r="DX109" s="45"/>
      <c r="DY109" s="45"/>
      <c r="DZ109" s="45"/>
      <c r="EA109" s="45"/>
      <c r="EB109" s="45"/>
      <c r="EC109" s="45"/>
      <c r="ED109" s="45"/>
      <c r="EE109" s="45"/>
      <c r="EF109" s="45"/>
      <c r="EG109" s="45"/>
      <c r="EH109" s="45"/>
      <c r="EI109" s="45"/>
      <c r="EJ109" s="45"/>
      <c r="EK109" s="45"/>
      <c r="EL109" s="45"/>
      <c r="EM109" s="45"/>
      <c r="EN109" s="45"/>
      <c r="EO109" s="45"/>
      <c r="EP109" s="45"/>
      <c r="EQ109" s="45"/>
    </row>
    <row r="110" spans="1:147" s="92" customFormat="1" ht="15" customHeight="1" x14ac:dyDescent="0.25">
      <c r="A110" s="102" t="s">
        <v>808</v>
      </c>
      <c r="B110" s="137"/>
      <c r="C110" s="104" t="s">
        <v>809</v>
      </c>
      <c r="D110" s="103"/>
      <c r="E110" s="103" t="s">
        <v>191</v>
      </c>
      <c r="F110" s="119"/>
      <c r="G110" s="119"/>
      <c r="H110" s="119"/>
      <c r="I110" s="102"/>
      <c r="J110" s="102"/>
      <c r="K110" s="45"/>
      <c r="L110" s="45"/>
      <c r="M110" s="45"/>
      <c r="N110" s="45"/>
      <c r="O110" s="45"/>
      <c r="P110" s="45"/>
      <c r="Q110" s="45"/>
      <c r="R110" s="45"/>
      <c r="S110" s="45"/>
      <c r="T110" s="45"/>
      <c r="U110" s="45"/>
      <c r="V110" s="45"/>
      <c r="W110" s="45"/>
      <c r="X110" s="45"/>
      <c r="Y110" s="45"/>
      <c r="Z110" s="45"/>
      <c r="AA110" s="45"/>
      <c r="AB110" s="45"/>
      <c r="AC110" s="45"/>
      <c r="AD110" s="45"/>
      <c r="AE110" s="45"/>
      <c r="AF110" s="45"/>
      <c r="AG110" s="45"/>
      <c r="AH110" s="45"/>
      <c r="AI110" s="45"/>
      <c r="AJ110" s="45"/>
      <c r="AK110" s="45"/>
      <c r="AL110" s="45"/>
      <c r="AM110" s="45"/>
      <c r="AN110" s="45"/>
      <c r="AO110" s="45"/>
      <c r="AP110" s="45"/>
      <c r="AQ110" s="45"/>
      <c r="AR110" s="45"/>
      <c r="AS110" s="45"/>
      <c r="AT110" s="45"/>
      <c r="AU110" s="45"/>
      <c r="AV110" s="45"/>
      <c r="AW110" s="45"/>
      <c r="AX110" s="45"/>
      <c r="AY110" s="45"/>
      <c r="AZ110" s="45"/>
      <c r="BA110" s="45"/>
      <c r="BB110" s="45"/>
      <c r="BC110" s="45"/>
      <c r="BD110" s="45"/>
      <c r="BE110" s="45"/>
      <c r="BF110" s="45"/>
      <c r="BG110" s="45"/>
      <c r="BH110" s="45"/>
      <c r="BI110" s="45"/>
      <c r="BJ110" s="45"/>
      <c r="BK110" s="45"/>
      <c r="BL110" s="45"/>
      <c r="BM110" s="45"/>
      <c r="BN110" s="45"/>
      <c r="BO110" s="45"/>
      <c r="BP110" s="45"/>
      <c r="BQ110" s="45"/>
      <c r="BR110" s="45"/>
      <c r="BS110" s="45"/>
      <c r="BT110" s="45"/>
      <c r="BU110" s="45"/>
      <c r="BV110" s="45"/>
      <c r="BW110" s="45"/>
      <c r="BX110" s="45"/>
      <c r="BY110" s="45"/>
      <c r="BZ110" s="45"/>
      <c r="CA110" s="45"/>
      <c r="CB110" s="45"/>
      <c r="CC110" s="45"/>
      <c r="CD110" s="45"/>
      <c r="CE110" s="45"/>
      <c r="CF110" s="45"/>
      <c r="CG110" s="45"/>
      <c r="CH110" s="45"/>
      <c r="CI110" s="45"/>
      <c r="CJ110" s="45"/>
      <c r="CK110" s="45"/>
      <c r="CL110" s="45"/>
      <c r="CM110" s="45"/>
      <c r="CN110" s="45"/>
      <c r="CO110" s="45"/>
      <c r="CP110" s="45"/>
      <c r="CQ110" s="45"/>
      <c r="CR110" s="45"/>
      <c r="CS110" s="45"/>
      <c r="CT110" s="45"/>
      <c r="CU110" s="45"/>
      <c r="CV110" s="45"/>
      <c r="CW110" s="45"/>
      <c r="CX110" s="45"/>
      <c r="CY110" s="45"/>
      <c r="CZ110" s="45"/>
      <c r="DA110" s="45"/>
      <c r="DB110" s="45"/>
      <c r="DC110" s="45"/>
      <c r="DD110" s="45"/>
      <c r="DE110" s="45"/>
      <c r="DF110" s="45"/>
      <c r="DG110" s="45"/>
      <c r="DH110" s="45"/>
      <c r="DI110" s="45"/>
      <c r="DJ110" s="45"/>
      <c r="DK110" s="45"/>
      <c r="DL110" s="45"/>
      <c r="DM110" s="45"/>
      <c r="DN110" s="45"/>
      <c r="DO110" s="45"/>
      <c r="DP110" s="45"/>
      <c r="DQ110" s="45"/>
      <c r="DR110" s="45"/>
      <c r="DS110" s="45"/>
      <c r="DT110" s="45"/>
      <c r="DU110" s="45"/>
      <c r="DV110" s="45"/>
      <c r="DW110" s="45"/>
      <c r="DX110" s="45"/>
      <c r="DY110" s="45"/>
      <c r="DZ110" s="45"/>
      <c r="EA110" s="45"/>
      <c r="EB110" s="45"/>
      <c r="EC110" s="45"/>
      <c r="ED110" s="45"/>
      <c r="EE110" s="45"/>
      <c r="EF110" s="45"/>
      <c r="EG110" s="45"/>
      <c r="EH110" s="45"/>
      <c r="EI110" s="45"/>
      <c r="EJ110" s="45"/>
      <c r="EK110" s="45"/>
      <c r="EL110" s="45"/>
      <c r="EM110" s="45"/>
      <c r="EN110" s="45"/>
      <c r="EO110" s="45"/>
      <c r="EP110" s="45"/>
      <c r="EQ110" s="45"/>
    </row>
    <row r="111" spans="1:147" s="92" customFormat="1" ht="15" customHeight="1" x14ac:dyDescent="0.25">
      <c r="A111" s="102" t="s">
        <v>810</v>
      </c>
      <c r="B111" s="137"/>
      <c r="C111" s="104" t="s">
        <v>811</v>
      </c>
      <c r="D111" s="103"/>
      <c r="E111" s="103" t="s">
        <v>191</v>
      </c>
      <c r="F111" s="119"/>
      <c r="G111" s="119"/>
      <c r="H111" s="119"/>
      <c r="I111" s="102"/>
      <c r="J111" s="102"/>
      <c r="K111" s="45"/>
      <c r="L111" s="45"/>
      <c r="M111" s="45"/>
      <c r="N111" s="45"/>
      <c r="O111" s="45"/>
      <c r="P111" s="45"/>
      <c r="Q111" s="45"/>
      <c r="R111" s="45"/>
      <c r="S111" s="45"/>
      <c r="T111" s="45"/>
      <c r="U111" s="45"/>
      <c r="V111" s="45"/>
      <c r="W111" s="45"/>
      <c r="X111" s="45"/>
      <c r="Y111" s="45"/>
      <c r="Z111" s="45"/>
      <c r="AA111" s="45"/>
      <c r="AB111" s="45"/>
      <c r="AC111" s="45"/>
      <c r="AD111" s="45"/>
      <c r="AE111" s="45"/>
      <c r="AF111" s="45"/>
      <c r="AG111" s="45"/>
      <c r="AH111" s="45"/>
      <c r="AI111" s="45"/>
      <c r="AJ111" s="45"/>
      <c r="AK111" s="45"/>
      <c r="AL111" s="45"/>
      <c r="AM111" s="45"/>
      <c r="AN111" s="45"/>
      <c r="AO111" s="45"/>
      <c r="AP111" s="45"/>
      <c r="AQ111" s="45"/>
      <c r="AR111" s="45"/>
      <c r="AS111" s="45"/>
      <c r="AT111" s="45"/>
      <c r="AU111" s="45"/>
      <c r="AV111" s="45"/>
      <c r="AW111" s="45"/>
      <c r="AX111" s="45"/>
      <c r="AY111" s="45"/>
      <c r="AZ111" s="45"/>
      <c r="BA111" s="45"/>
      <c r="BB111" s="45"/>
      <c r="BC111" s="45"/>
      <c r="BD111" s="45"/>
      <c r="BE111" s="45"/>
      <c r="BF111" s="45"/>
      <c r="BG111" s="45"/>
      <c r="BH111" s="45"/>
      <c r="BI111" s="45"/>
      <c r="BJ111" s="45"/>
      <c r="BK111" s="45"/>
      <c r="BL111" s="45"/>
      <c r="BM111" s="45"/>
      <c r="BN111" s="45"/>
      <c r="BO111" s="45"/>
      <c r="BP111" s="45"/>
      <c r="BQ111" s="45"/>
      <c r="BR111" s="45"/>
      <c r="BS111" s="45"/>
      <c r="BT111" s="45"/>
      <c r="BU111" s="45"/>
      <c r="BV111" s="45"/>
      <c r="BW111" s="45"/>
      <c r="BX111" s="45"/>
      <c r="BY111" s="45"/>
      <c r="BZ111" s="45"/>
      <c r="CA111" s="45"/>
      <c r="CB111" s="45"/>
      <c r="CC111" s="45"/>
      <c r="CD111" s="45"/>
      <c r="CE111" s="45"/>
      <c r="CF111" s="45"/>
      <c r="CG111" s="45"/>
      <c r="CH111" s="45"/>
      <c r="CI111" s="45"/>
      <c r="CJ111" s="45"/>
      <c r="CK111" s="45"/>
      <c r="CL111" s="45"/>
      <c r="CM111" s="45"/>
      <c r="CN111" s="45"/>
      <c r="CO111" s="45"/>
      <c r="CP111" s="45"/>
      <c r="CQ111" s="45"/>
      <c r="CR111" s="45"/>
      <c r="CS111" s="45"/>
      <c r="CT111" s="45"/>
      <c r="CU111" s="45"/>
      <c r="CV111" s="45"/>
      <c r="CW111" s="45"/>
      <c r="CX111" s="45"/>
      <c r="CY111" s="45"/>
      <c r="CZ111" s="45"/>
      <c r="DA111" s="45"/>
      <c r="DB111" s="45"/>
      <c r="DC111" s="45"/>
      <c r="DD111" s="45"/>
      <c r="DE111" s="45"/>
      <c r="DF111" s="45"/>
      <c r="DG111" s="45"/>
      <c r="DH111" s="45"/>
      <c r="DI111" s="45"/>
      <c r="DJ111" s="45"/>
      <c r="DK111" s="45"/>
      <c r="DL111" s="45"/>
      <c r="DM111" s="45"/>
      <c r="DN111" s="45"/>
      <c r="DO111" s="45"/>
      <c r="DP111" s="45"/>
      <c r="DQ111" s="45"/>
      <c r="DR111" s="45"/>
      <c r="DS111" s="45"/>
      <c r="DT111" s="45"/>
      <c r="DU111" s="45"/>
      <c r="DV111" s="45"/>
      <c r="DW111" s="45"/>
      <c r="DX111" s="45"/>
      <c r="DY111" s="45"/>
      <c r="DZ111" s="45"/>
      <c r="EA111" s="45"/>
      <c r="EB111" s="45"/>
      <c r="EC111" s="45"/>
      <c r="ED111" s="45"/>
      <c r="EE111" s="45"/>
      <c r="EF111" s="45"/>
      <c r="EG111" s="45"/>
      <c r="EH111" s="45"/>
      <c r="EI111" s="45"/>
      <c r="EJ111" s="45"/>
      <c r="EK111" s="45"/>
      <c r="EL111" s="45"/>
      <c r="EM111" s="45"/>
      <c r="EN111" s="45"/>
      <c r="EO111" s="45"/>
      <c r="EP111" s="45"/>
      <c r="EQ111" s="45"/>
    </row>
    <row r="112" spans="1:147" s="92" customFormat="1" ht="15" customHeight="1" x14ac:dyDescent="0.25">
      <c r="A112" s="102" t="s">
        <v>812</v>
      </c>
      <c r="B112" s="137"/>
      <c r="C112" s="104" t="s">
        <v>813</v>
      </c>
      <c r="D112" s="103"/>
      <c r="E112" s="103" t="s">
        <v>191</v>
      </c>
      <c r="F112" s="119"/>
      <c r="G112" s="119"/>
      <c r="H112" s="119"/>
      <c r="I112" s="102"/>
      <c r="J112" s="102"/>
      <c r="K112" s="45"/>
      <c r="L112" s="45"/>
      <c r="M112" s="45"/>
      <c r="N112" s="45"/>
      <c r="O112" s="45"/>
      <c r="P112" s="45"/>
      <c r="Q112" s="45"/>
      <c r="R112" s="45"/>
      <c r="S112" s="45"/>
      <c r="T112" s="45"/>
      <c r="U112" s="45"/>
      <c r="V112" s="45"/>
      <c r="W112" s="45"/>
      <c r="X112" s="45"/>
      <c r="Y112" s="45"/>
      <c r="Z112" s="45"/>
      <c r="AA112" s="45"/>
      <c r="AB112" s="45"/>
      <c r="AC112" s="45"/>
      <c r="AD112" s="45"/>
      <c r="AE112" s="45"/>
      <c r="AF112" s="45"/>
      <c r="AG112" s="45"/>
      <c r="AH112" s="45"/>
      <c r="AI112" s="45"/>
      <c r="AJ112" s="45"/>
      <c r="AK112" s="45"/>
      <c r="AL112" s="45"/>
      <c r="AM112" s="45"/>
      <c r="AN112" s="45"/>
      <c r="AO112" s="45"/>
      <c r="AP112" s="45"/>
      <c r="AQ112" s="45"/>
      <c r="AR112" s="45"/>
      <c r="AS112" s="45"/>
      <c r="AT112" s="45"/>
      <c r="AU112" s="45"/>
      <c r="AV112" s="45"/>
      <c r="AW112" s="45"/>
      <c r="AX112" s="45"/>
      <c r="AY112" s="45"/>
      <c r="AZ112" s="45"/>
      <c r="BA112" s="45"/>
      <c r="BB112" s="45"/>
      <c r="BC112" s="45"/>
      <c r="BD112" s="45"/>
      <c r="BE112" s="45"/>
      <c r="BF112" s="45"/>
      <c r="BG112" s="45"/>
      <c r="BH112" s="45"/>
      <c r="BI112" s="45"/>
      <c r="BJ112" s="45"/>
      <c r="BK112" s="45"/>
      <c r="BL112" s="45"/>
      <c r="BM112" s="45"/>
      <c r="BN112" s="45"/>
      <c r="BO112" s="45"/>
      <c r="BP112" s="45"/>
      <c r="BQ112" s="45"/>
      <c r="BR112" s="45"/>
      <c r="BS112" s="45"/>
      <c r="BT112" s="45"/>
      <c r="BU112" s="45"/>
      <c r="BV112" s="45"/>
      <c r="BW112" s="45"/>
      <c r="BX112" s="45"/>
      <c r="BY112" s="45"/>
      <c r="BZ112" s="45"/>
      <c r="CA112" s="45"/>
      <c r="CB112" s="45"/>
      <c r="CC112" s="45"/>
      <c r="CD112" s="45"/>
      <c r="CE112" s="45"/>
      <c r="CF112" s="45"/>
      <c r="CG112" s="45"/>
      <c r="CH112" s="45"/>
      <c r="CI112" s="45"/>
      <c r="CJ112" s="45"/>
      <c r="CK112" s="45"/>
      <c r="CL112" s="45"/>
      <c r="CM112" s="45"/>
      <c r="CN112" s="45"/>
      <c r="CO112" s="45"/>
      <c r="CP112" s="45"/>
      <c r="CQ112" s="45"/>
      <c r="CR112" s="45"/>
      <c r="CS112" s="45"/>
      <c r="CT112" s="45"/>
      <c r="CU112" s="45"/>
      <c r="CV112" s="45"/>
      <c r="CW112" s="45"/>
      <c r="CX112" s="45"/>
      <c r="CY112" s="45"/>
      <c r="CZ112" s="45"/>
      <c r="DA112" s="45"/>
      <c r="DB112" s="45"/>
      <c r="DC112" s="45"/>
      <c r="DD112" s="45"/>
      <c r="DE112" s="45"/>
      <c r="DF112" s="45"/>
      <c r="DG112" s="45"/>
      <c r="DH112" s="45"/>
      <c r="DI112" s="45"/>
      <c r="DJ112" s="45"/>
      <c r="DK112" s="45"/>
      <c r="DL112" s="45"/>
      <c r="DM112" s="45"/>
      <c r="DN112" s="45"/>
      <c r="DO112" s="45"/>
      <c r="DP112" s="45"/>
      <c r="DQ112" s="45"/>
      <c r="DR112" s="45"/>
      <c r="DS112" s="45"/>
      <c r="DT112" s="45"/>
      <c r="DU112" s="45"/>
      <c r="DV112" s="45"/>
      <c r="DW112" s="45"/>
      <c r="DX112" s="45"/>
      <c r="DY112" s="45"/>
      <c r="DZ112" s="45"/>
      <c r="EA112" s="45"/>
      <c r="EB112" s="45"/>
      <c r="EC112" s="45"/>
      <c r="ED112" s="45"/>
      <c r="EE112" s="45"/>
      <c r="EF112" s="45"/>
      <c r="EG112" s="45"/>
      <c r="EH112" s="45"/>
      <c r="EI112" s="45"/>
      <c r="EJ112" s="45"/>
      <c r="EK112" s="45"/>
      <c r="EL112" s="45"/>
      <c r="EM112" s="45"/>
      <c r="EN112" s="45"/>
      <c r="EO112" s="45"/>
      <c r="EP112" s="45"/>
      <c r="EQ112" s="45"/>
    </row>
    <row r="113" spans="1:147" s="92" customFormat="1" ht="15" customHeight="1" x14ac:dyDescent="0.25">
      <c r="A113" s="102" t="s">
        <v>814</v>
      </c>
      <c r="B113" s="137"/>
      <c r="C113" s="104" t="s">
        <v>815</v>
      </c>
      <c r="D113" s="103"/>
      <c r="E113" s="103" t="s">
        <v>191</v>
      </c>
      <c r="F113" s="119"/>
      <c r="G113" s="119"/>
      <c r="H113" s="119"/>
      <c r="I113" s="102"/>
      <c r="J113" s="102"/>
      <c r="K113" s="45"/>
      <c r="L113" s="45"/>
      <c r="M113" s="45"/>
      <c r="N113" s="45"/>
      <c r="O113" s="45"/>
      <c r="P113" s="45"/>
      <c r="Q113" s="45"/>
      <c r="R113" s="45"/>
      <c r="S113" s="45"/>
      <c r="T113" s="45"/>
      <c r="U113" s="45"/>
      <c r="V113" s="45"/>
      <c r="W113" s="45"/>
      <c r="X113" s="45"/>
      <c r="Y113" s="45"/>
      <c r="Z113" s="45"/>
      <c r="AA113" s="45"/>
      <c r="AB113" s="45"/>
      <c r="AC113" s="45"/>
      <c r="AD113" s="45"/>
      <c r="AE113" s="45"/>
      <c r="AF113" s="45"/>
      <c r="AG113" s="45"/>
      <c r="AH113" s="45"/>
      <c r="AI113" s="45"/>
      <c r="AJ113" s="45"/>
      <c r="AK113" s="45"/>
      <c r="AL113" s="45"/>
      <c r="AM113" s="45"/>
      <c r="AN113" s="45"/>
      <c r="AO113" s="45"/>
      <c r="AP113" s="45"/>
      <c r="AQ113" s="45"/>
      <c r="AR113" s="45"/>
      <c r="AS113" s="45"/>
      <c r="AT113" s="45"/>
      <c r="AU113" s="45"/>
      <c r="AV113" s="45"/>
      <c r="AW113" s="45"/>
      <c r="AX113" s="45"/>
      <c r="AY113" s="45"/>
      <c r="AZ113" s="45"/>
      <c r="BA113" s="45"/>
      <c r="BB113" s="45"/>
      <c r="BC113" s="45"/>
      <c r="BD113" s="45"/>
      <c r="BE113" s="45"/>
      <c r="BF113" s="45"/>
      <c r="BG113" s="45"/>
      <c r="BH113" s="45"/>
      <c r="BI113" s="45"/>
      <c r="BJ113" s="45"/>
      <c r="BK113" s="45"/>
      <c r="BL113" s="45"/>
      <c r="BM113" s="45"/>
      <c r="BN113" s="45"/>
      <c r="BO113" s="45"/>
      <c r="BP113" s="45"/>
      <c r="BQ113" s="45"/>
      <c r="BR113" s="45"/>
      <c r="BS113" s="45"/>
      <c r="BT113" s="45"/>
      <c r="BU113" s="45"/>
      <c r="BV113" s="45"/>
      <c r="BW113" s="45"/>
      <c r="BX113" s="45"/>
      <c r="BY113" s="45"/>
      <c r="BZ113" s="45"/>
      <c r="CA113" s="45"/>
      <c r="CB113" s="45"/>
      <c r="CC113" s="45"/>
      <c r="CD113" s="45"/>
      <c r="CE113" s="45"/>
      <c r="CF113" s="45"/>
      <c r="CG113" s="45"/>
      <c r="CH113" s="45"/>
      <c r="CI113" s="45"/>
      <c r="CJ113" s="45"/>
      <c r="CK113" s="45"/>
      <c r="CL113" s="45"/>
      <c r="CM113" s="45"/>
      <c r="CN113" s="45"/>
      <c r="CO113" s="45"/>
      <c r="CP113" s="45"/>
      <c r="CQ113" s="45"/>
      <c r="CR113" s="45"/>
      <c r="CS113" s="45"/>
      <c r="CT113" s="45"/>
      <c r="CU113" s="45"/>
      <c r="CV113" s="45"/>
      <c r="CW113" s="45"/>
      <c r="CX113" s="45"/>
      <c r="CY113" s="45"/>
      <c r="CZ113" s="45"/>
      <c r="DA113" s="45"/>
      <c r="DB113" s="45"/>
      <c r="DC113" s="45"/>
      <c r="DD113" s="45"/>
      <c r="DE113" s="45"/>
      <c r="DF113" s="45"/>
      <c r="DG113" s="45"/>
      <c r="DH113" s="45"/>
      <c r="DI113" s="45"/>
      <c r="DJ113" s="45"/>
      <c r="DK113" s="45"/>
      <c r="DL113" s="45"/>
      <c r="DM113" s="45"/>
      <c r="DN113" s="45"/>
      <c r="DO113" s="45"/>
      <c r="DP113" s="45"/>
      <c r="DQ113" s="45"/>
      <c r="DR113" s="45"/>
      <c r="DS113" s="45"/>
      <c r="DT113" s="45"/>
      <c r="DU113" s="45"/>
      <c r="DV113" s="45"/>
      <c r="DW113" s="45"/>
      <c r="DX113" s="45"/>
      <c r="DY113" s="45"/>
      <c r="DZ113" s="45"/>
      <c r="EA113" s="45"/>
      <c r="EB113" s="45"/>
      <c r="EC113" s="45"/>
      <c r="ED113" s="45"/>
      <c r="EE113" s="45"/>
      <c r="EF113" s="45"/>
      <c r="EG113" s="45"/>
      <c r="EH113" s="45"/>
      <c r="EI113" s="45"/>
      <c r="EJ113" s="45"/>
      <c r="EK113" s="45"/>
      <c r="EL113" s="45"/>
      <c r="EM113" s="45"/>
      <c r="EN113" s="45"/>
      <c r="EO113" s="45"/>
      <c r="EP113" s="45"/>
      <c r="EQ113" s="45"/>
    </row>
    <row r="114" spans="1:147" s="92" customFormat="1" ht="15" customHeight="1" x14ac:dyDescent="0.25">
      <c r="A114" s="102" t="s">
        <v>816</v>
      </c>
      <c r="B114" s="137"/>
      <c r="C114" s="104" t="s">
        <v>817</v>
      </c>
      <c r="D114" s="103"/>
      <c r="E114" s="103" t="s">
        <v>191</v>
      </c>
      <c r="F114" s="119"/>
      <c r="G114" s="119"/>
      <c r="H114" s="119"/>
      <c r="I114" s="102"/>
      <c r="J114" s="102"/>
      <c r="K114" s="45"/>
      <c r="L114" s="45"/>
      <c r="M114" s="45"/>
      <c r="N114" s="45"/>
      <c r="O114" s="45"/>
      <c r="P114" s="45"/>
      <c r="Q114" s="45"/>
      <c r="R114" s="45"/>
      <c r="S114" s="45"/>
      <c r="T114" s="45"/>
      <c r="U114" s="45"/>
      <c r="V114" s="45"/>
      <c r="W114" s="45"/>
      <c r="X114" s="45"/>
      <c r="Y114" s="45"/>
      <c r="Z114" s="45"/>
      <c r="AA114" s="45"/>
      <c r="AB114" s="45"/>
      <c r="AC114" s="45"/>
      <c r="AD114" s="45"/>
      <c r="AE114" s="45"/>
      <c r="AF114" s="45"/>
      <c r="AG114" s="45"/>
      <c r="AH114" s="45"/>
      <c r="AI114" s="45"/>
      <c r="AJ114" s="45"/>
      <c r="AK114" s="45"/>
      <c r="AL114" s="45"/>
      <c r="AM114" s="45"/>
      <c r="AN114" s="45"/>
      <c r="AO114" s="45"/>
      <c r="AP114" s="45"/>
      <c r="AQ114" s="45"/>
      <c r="AR114" s="45"/>
      <c r="AS114" s="45"/>
      <c r="AT114" s="45"/>
      <c r="AU114" s="45"/>
      <c r="AV114" s="45"/>
      <c r="AW114" s="45"/>
      <c r="AX114" s="45"/>
      <c r="AY114" s="45"/>
      <c r="AZ114" s="45"/>
      <c r="BA114" s="45"/>
      <c r="BB114" s="45"/>
      <c r="BC114" s="45"/>
      <c r="BD114" s="45"/>
      <c r="BE114" s="45"/>
      <c r="BF114" s="45"/>
      <c r="BG114" s="45"/>
      <c r="BH114" s="45"/>
      <c r="BI114" s="45"/>
      <c r="BJ114" s="45"/>
      <c r="BK114" s="45"/>
      <c r="BL114" s="45"/>
      <c r="BM114" s="45"/>
      <c r="BN114" s="45"/>
      <c r="BO114" s="45"/>
      <c r="BP114" s="45"/>
      <c r="BQ114" s="45"/>
      <c r="BR114" s="45"/>
      <c r="BS114" s="45"/>
      <c r="BT114" s="45"/>
      <c r="BU114" s="45"/>
      <c r="BV114" s="45"/>
      <c r="BW114" s="45"/>
      <c r="BX114" s="45"/>
      <c r="BY114" s="45"/>
      <c r="BZ114" s="45"/>
      <c r="CA114" s="45"/>
      <c r="CB114" s="45"/>
      <c r="CC114" s="45"/>
      <c r="CD114" s="45"/>
      <c r="CE114" s="45"/>
      <c r="CF114" s="45"/>
      <c r="CG114" s="45"/>
      <c r="CH114" s="45"/>
      <c r="CI114" s="45"/>
      <c r="CJ114" s="45"/>
      <c r="CK114" s="45"/>
      <c r="CL114" s="45"/>
      <c r="CM114" s="45"/>
      <c r="CN114" s="45"/>
      <c r="CO114" s="45"/>
      <c r="CP114" s="45"/>
      <c r="CQ114" s="45"/>
      <c r="CR114" s="45"/>
      <c r="CS114" s="45"/>
      <c r="CT114" s="45"/>
      <c r="CU114" s="45"/>
      <c r="CV114" s="45"/>
      <c r="CW114" s="45"/>
      <c r="CX114" s="45"/>
      <c r="CY114" s="45"/>
      <c r="CZ114" s="45"/>
      <c r="DA114" s="45"/>
      <c r="DB114" s="45"/>
      <c r="DC114" s="45"/>
      <c r="DD114" s="45"/>
      <c r="DE114" s="45"/>
      <c r="DF114" s="45"/>
      <c r="DG114" s="45"/>
      <c r="DH114" s="45"/>
      <c r="DI114" s="45"/>
      <c r="DJ114" s="45"/>
      <c r="DK114" s="45"/>
      <c r="DL114" s="45"/>
      <c r="DM114" s="45"/>
      <c r="DN114" s="45"/>
      <c r="DO114" s="45"/>
      <c r="DP114" s="45"/>
      <c r="DQ114" s="45"/>
      <c r="DR114" s="45"/>
      <c r="DS114" s="45"/>
      <c r="DT114" s="45"/>
      <c r="DU114" s="45"/>
      <c r="DV114" s="45"/>
      <c r="DW114" s="45"/>
      <c r="DX114" s="45"/>
      <c r="DY114" s="45"/>
      <c r="DZ114" s="45"/>
      <c r="EA114" s="45"/>
      <c r="EB114" s="45"/>
      <c r="EC114" s="45"/>
      <c r="ED114" s="45"/>
      <c r="EE114" s="45"/>
      <c r="EF114" s="45"/>
      <c r="EG114" s="45"/>
      <c r="EH114" s="45"/>
      <c r="EI114" s="45"/>
      <c r="EJ114" s="45"/>
      <c r="EK114" s="45"/>
      <c r="EL114" s="45"/>
      <c r="EM114" s="45"/>
      <c r="EN114" s="45"/>
      <c r="EO114" s="45"/>
      <c r="EP114" s="45"/>
      <c r="EQ114" s="45"/>
    </row>
    <row r="115" spans="1:147" s="92" customFormat="1" ht="15" customHeight="1" x14ac:dyDescent="0.25">
      <c r="A115" s="102" t="s">
        <v>818</v>
      </c>
      <c r="B115" s="137"/>
      <c r="C115" s="104" t="s">
        <v>819</v>
      </c>
      <c r="D115" s="103"/>
      <c r="E115" s="103" t="s">
        <v>191</v>
      </c>
      <c r="F115" s="119"/>
      <c r="G115" s="119"/>
      <c r="H115" s="119"/>
      <c r="I115" s="102"/>
      <c r="J115" s="102"/>
      <c r="K115" s="45"/>
      <c r="L115" s="45"/>
      <c r="M115" s="45"/>
      <c r="N115" s="45"/>
      <c r="O115" s="45"/>
      <c r="P115" s="45"/>
      <c r="Q115" s="45"/>
      <c r="R115" s="45"/>
      <c r="S115" s="45"/>
      <c r="T115" s="45"/>
      <c r="U115" s="45"/>
      <c r="V115" s="45"/>
      <c r="W115" s="45"/>
      <c r="X115" s="45"/>
      <c r="Y115" s="45"/>
      <c r="Z115" s="45"/>
      <c r="AA115" s="45"/>
      <c r="AB115" s="45"/>
      <c r="AC115" s="45"/>
      <c r="AD115" s="45"/>
      <c r="AE115" s="45"/>
      <c r="AF115" s="45"/>
      <c r="AG115" s="45"/>
      <c r="AH115" s="45"/>
      <c r="AI115" s="45"/>
      <c r="AJ115" s="45"/>
      <c r="AK115" s="45"/>
      <c r="AL115" s="45"/>
      <c r="AM115" s="45"/>
      <c r="AN115" s="45"/>
      <c r="AO115" s="45"/>
      <c r="AP115" s="45"/>
      <c r="AQ115" s="45"/>
      <c r="AR115" s="45"/>
      <c r="AS115" s="45"/>
      <c r="AT115" s="45"/>
      <c r="AU115" s="45"/>
      <c r="AV115" s="45"/>
      <c r="AW115" s="45"/>
      <c r="AX115" s="45"/>
      <c r="AY115" s="45"/>
      <c r="AZ115" s="45"/>
      <c r="BA115" s="45"/>
      <c r="BB115" s="45"/>
      <c r="BC115" s="45"/>
      <c r="BD115" s="45"/>
      <c r="BE115" s="45"/>
      <c r="BF115" s="45"/>
      <c r="BG115" s="45"/>
      <c r="BH115" s="45"/>
      <c r="BI115" s="45"/>
      <c r="BJ115" s="45"/>
      <c r="BK115" s="45"/>
      <c r="BL115" s="45"/>
      <c r="BM115" s="45"/>
      <c r="BN115" s="45"/>
      <c r="BO115" s="45"/>
      <c r="BP115" s="45"/>
      <c r="BQ115" s="45"/>
      <c r="BR115" s="45"/>
      <c r="BS115" s="45"/>
      <c r="BT115" s="45"/>
      <c r="BU115" s="45"/>
      <c r="BV115" s="45"/>
      <c r="BW115" s="45"/>
      <c r="BX115" s="45"/>
      <c r="BY115" s="45"/>
      <c r="BZ115" s="45"/>
      <c r="CA115" s="45"/>
      <c r="CB115" s="45"/>
      <c r="CC115" s="45"/>
      <c r="CD115" s="45"/>
      <c r="CE115" s="45"/>
      <c r="CF115" s="45"/>
      <c r="CG115" s="45"/>
      <c r="CH115" s="45"/>
      <c r="CI115" s="45"/>
      <c r="CJ115" s="45"/>
      <c r="CK115" s="45"/>
      <c r="CL115" s="45"/>
      <c r="CM115" s="45"/>
      <c r="CN115" s="45"/>
      <c r="CO115" s="45"/>
      <c r="CP115" s="45"/>
      <c r="CQ115" s="45"/>
      <c r="CR115" s="45"/>
      <c r="CS115" s="45"/>
      <c r="CT115" s="45"/>
      <c r="CU115" s="45"/>
      <c r="CV115" s="45"/>
      <c r="CW115" s="45"/>
      <c r="CX115" s="45"/>
      <c r="CY115" s="45"/>
      <c r="CZ115" s="45"/>
      <c r="DA115" s="45"/>
      <c r="DB115" s="45"/>
      <c r="DC115" s="45"/>
      <c r="DD115" s="45"/>
      <c r="DE115" s="45"/>
      <c r="DF115" s="45"/>
      <c r="DG115" s="45"/>
      <c r="DH115" s="45"/>
      <c r="DI115" s="45"/>
      <c r="DJ115" s="45"/>
      <c r="DK115" s="45"/>
      <c r="DL115" s="45"/>
      <c r="DM115" s="45"/>
      <c r="DN115" s="45"/>
      <c r="DO115" s="45"/>
      <c r="DP115" s="45"/>
      <c r="DQ115" s="45"/>
      <c r="DR115" s="45"/>
      <c r="DS115" s="45"/>
      <c r="DT115" s="45"/>
      <c r="DU115" s="45"/>
      <c r="DV115" s="45"/>
      <c r="DW115" s="45"/>
      <c r="DX115" s="45"/>
      <c r="DY115" s="45"/>
      <c r="DZ115" s="45"/>
      <c r="EA115" s="45"/>
      <c r="EB115" s="45"/>
      <c r="EC115" s="45"/>
      <c r="ED115" s="45"/>
      <c r="EE115" s="45"/>
      <c r="EF115" s="45"/>
      <c r="EG115" s="45"/>
      <c r="EH115" s="45"/>
      <c r="EI115" s="45"/>
      <c r="EJ115" s="45"/>
      <c r="EK115" s="45"/>
      <c r="EL115" s="45"/>
      <c r="EM115" s="45"/>
      <c r="EN115" s="45"/>
      <c r="EO115" s="45"/>
      <c r="EP115" s="45"/>
      <c r="EQ115" s="45"/>
    </row>
    <row r="116" spans="1:147" s="92" customFormat="1" ht="15" customHeight="1" x14ac:dyDescent="0.25">
      <c r="A116" s="102" t="s">
        <v>820</v>
      </c>
      <c r="B116" s="137"/>
      <c r="C116" s="104" t="s">
        <v>821</v>
      </c>
      <c r="D116" s="103"/>
      <c r="E116" s="103" t="s">
        <v>191</v>
      </c>
      <c r="F116" s="119"/>
      <c r="G116" s="119"/>
      <c r="H116" s="119"/>
      <c r="I116" s="102"/>
      <c r="J116" s="102"/>
      <c r="K116" s="45"/>
      <c r="L116" s="45"/>
      <c r="M116" s="45"/>
      <c r="N116" s="45"/>
      <c r="O116" s="45"/>
      <c r="P116" s="45"/>
      <c r="Q116" s="45"/>
      <c r="R116" s="45"/>
      <c r="S116" s="45"/>
      <c r="T116" s="45"/>
      <c r="U116" s="45"/>
      <c r="V116" s="45"/>
      <c r="W116" s="45"/>
      <c r="X116" s="45"/>
      <c r="Y116" s="45"/>
      <c r="Z116" s="45"/>
      <c r="AA116" s="45"/>
      <c r="AB116" s="45"/>
      <c r="AC116" s="45"/>
      <c r="AD116" s="45"/>
      <c r="AE116" s="45"/>
      <c r="AF116" s="45"/>
      <c r="AG116" s="45"/>
      <c r="AH116" s="45"/>
      <c r="AI116" s="45"/>
      <c r="AJ116" s="45"/>
      <c r="AK116" s="45"/>
      <c r="AL116" s="45"/>
      <c r="AM116" s="45"/>
      <c r="AN116" s="45"/>
      <c r="AO116" s="45"/>
      <c r="AP116" s="45"/>
      <c r="AQ116" s="45"/>
      <c r="AR116" s="45"/>
      <c r="AS116" s="45"/>
      <c r="AT116" s="45"/>
      <c r="AU116" s="45"/>
      <c r="AV116" s="45"/>
      <c r="AW116" s="45"/>
      <c r="AX116" s="45"/>
      <c r="AY116" s="45"/>
      <c r="AZ116" s="45"/>
      <c r="BA116" s="45"/>
      <c r="BB116" s="45"/>
      <c r="BC116" s="45"/>
      <c r="BD116" s="45"/>
      <c r="BE116" s="45"/>
      <c r="BF116" s="45"/>
      <c r="BG116" s="45"/>
      <c r="BH116" s="45"/>
      <c r="BI116" s="45"/>
      <c r="BJ116" s="45"/>
      <c r="BK116" s="45"/>
      <c r="BL116" s="45"/>
      <c r="BM116" s="45"/>
      <c r="BN116" s="45"/>
      <c r="BO116" s="45"/>
      <c r="BP116" s="45"/>
      <c r="BQ116" s="45"/>
      <c r="BR116" s="45"/>
      <c r="BS116" s="45"/>
      <c r="BT116" s="45"/>
      <c r="BU116" s="45"/>
      <c r="BV116" s="45"/>
      <c r="BW116" s="45"/>
      <c r="BX116" s="45"/>
      <c r="BY116" s="45"/>
      <c r="BZ116" s="45"/>
      <c r="CA116" s="45"/>
      <c r="CB116" s="45"/>
      <c r="CC116" s="45"/>
      <c r="CD116" s="45"/>
      <c r="CE116" s="45"/>
      <c r="CF116" s="45"/>
      <c r="CG116" s="45"/>
      <c r="CH116" s="45"/>
      <c r="CI116" s="45"/>
      <c r="CJ116" s="45"/>
      <c r="CK116" s="45"/>
      <c r="CL116" s="45"/>
      <c r="CM116" s="45"/>
      <c r="CN116" s="45"/>
      <c r="CO116" s="45"/>
      <c r="CP116" s="45"/>
      <c r="CQ116" s="45"/>
      <c r="CR116" s="45"/>
      <c r="CS116" s="45"/>
      <c r="CT116" s="45"/>
      <c r="CU116" s="45"/>
      <c r="CV116" s="45"/>
      <c r="CW116" s="45"/>
      <c r="CX116" s="45"/>
      <c r="CY116" s="45"/>
      <c r="CZ116" s="45"/>
      <c r="DA116" s="45"/>
      <c r="DB116" s="45"/>
      <c r="DC116" s="45"/>
      <c r="DD116" s="45"/>
      <c r="DE116" s="45"/>
      <c r="DF116" s="45"/>
      <c r="DG116" s="45"/>
      <c r="DH116" s="45"/>
      <c r="DI116" s="45"/>
      <c r="DJ116" s="45"/>
      <c r="DK116" s="45"/>
      <c r="DL116" s="45"/>
      <c r="DM116" s="45"/>
      <c r="DN116" s="45"/>
      <c r="DO116" s="45"/>
      <c r="DP116" s="45"/>
      <c r="DQ116" s="45"/>
      <c r="DR116" s="45"/>
      <c r="DS116" s="45"/>
      <c r="DT116" s="45"/>
      <c r="DU116" s="45"/>
      <c r="DV116" s="45"/>
      <c r="DW116" s="45"/>
      <c r="DX116" s="45"/>
      <c r="DY116" s="45"/>
      <c r="DZ116" s="45"/>
      <c r="EA116" s="45"/>
      <c r="EB116" s="45"/>
      <c r="EC116" s="45"/>
      <c r="ED116" s="45"/>
      <c r="EE116" s="45"/>
      <c r="EF116" s="45"/>
      <c r="EG116" s="45"/>
      <c r="EH116" s="45"/>
      <c r="EI116" s="45"/>
      <c r="EJ116" s="45"/>
      <c r="EK116" s="45"/>
      <c r="EL116" s="45"/>
      <c r="EM116" s="45"/>
      <c r="EN116" s="45"/>
      <c r="EO116" s="45"/>
      <c r="EP116" s="45"/>
      <c r="EQ116" s="45"/>
    </row>
    <row r="117" spans="1:147" s="92" customFormat="1" ht="15" customHeight="1" x14ac:dyDescent="0.25">
      <c r="A117" s="102" t="s">
        <v>822</v>
      </c>
      <c r="B117" s="137"/>
      <c r="C117" s="104" t="s">
        <v>823</v>
      </c>
      <c r="D117" s="103"/>
      <c r="E117" s="103" t="s">
        <v>191</v>
      </c>
      <c r="F117" s="119"/>
      <c r="G117" s="119"/>
      <c r="H117" s="119"/>
      <c r="I117" s="102"/>
      <c r="J117" s="102"/>
      <c r="K117" s="45"/>
      <c r="L117" s="45"/>
      <c r="M117" s="45"/>
      <c r="N117" s="45"/>
      <c r="O117" s="45"/>
      <c r="P117" s="45"/>
      <c r="Q117" s="45"/>
      <c r="R117" s="45"/>
      <c r="S117" s="45"/>
      <c r="T117" s="45"/>
      <c r="U117" s="45"/>
      <c r="V117" s="45"/>
      <c r="W117" s="45"/>
      <c r="X117" s="45"/>
      <c r="Y117" s="45"/>
      <c r="Z117" s="45"/>
      <c r="AA117" s="45"/>
      <c r="AB117" s="45"/>
      <c r="AC117" s="45"/>
      <c r="AD117" s="45"/>
      <c r="AE117" s="45"/>
      <c r="AF117" s="45"/>
      <c r="AG117" s="45"/>
      <c r="AH117" s="45"/>
      <c r="AI117" s="45"/>
      <c r="AJ117" s="45"/>
      <c r="AK117" s="45"/>
      <c r="AL117" s="45"/>
      <c r="AM117" s="45"/>
      <c r="AN117" s="45"/>
      <c r="AO117" s="45"/>
      <c r="AP117" s="45"/>
      <c r="AQ117" s="45"/>
      <c r="AR117" s="45"/>
      <c r="AS117" s="45"/>
      <c r="AT117" s="45"/>
      <c r="AU117" s="45"/>
      <c r="AV117" s="45"/>
      <c r="AW117" s="45"/>
      <c r="AX117" s="45"/>
      <c r="AY117" s="45"/>
      <c r="AZ117" s="45"/>
      <c r="BA117" s="45"/>
      <c r="BB117" s="45"/>
      <c r="BC117" s="45"/>
      <c r="BD117" s="45"/>
      <c r="BE117" s="45"/>
      <c r="BF117" s="45"/>
      <c r="BG117" s="45"/>
      <c r="BH117" s="45"/>
      <c r="BI117" s="45"/>
      <c r="BJ117" s="45"/>
      <c r="BK117" s="45"/>
      <c r="BL117" s="45"/>
      <c r="BM117" s="45"/>
      <c r="BN117" s="45"/>
      <c r="BO117" s="45"/>
      <c r="BP117" s="45"/>
      <c r="BQ117" s="45"/>
      <c r="BR117" s="45"/>
      <c r="BS117" s="45"/>
      <c r="BT117" s="45"/>
      <c r="BU117" s="45"/>
      <c r="BV117" s="45"/>
      <c r="BW117" s="45"/>
      <c r="BX117" s="45"/>
      <c r="BY117" s="45"/>
      <c r="BZ117" s="45"/>
      <c r="CA117" s="45"/>
      <c r="CB117" s="45"/>
      <c r="CC117" s="45"/>
      <c r="CD117" s="45"/>
      <c r="CE117" s="45"/>
      <c r="CF117" s="45"/>
      <c r="CG117" s="45"/>
      <c r="CH117" s="45"/>
      <c r="CI117" s="45"/>
      <c r="CJ117" s="45"/>
      <c r="CK117" s="45"/>
      <c r="CL117" s="45"/>
      <c r="CM117" s="45"/>
      <c r="CN117" s="45"/>
      <c r="CO117" s="45"/>
      <c r="CP117" s="45"/>
      <c r="CQ117" s="45"/>
      <c r="CR117" s="45"/>
      <c r="CS117" s="45"/>
      <c r="CT117" s="45"/>
      <c r="CU117" s="45"/>
      <c r="CV117" s="45"/>
      <c r="CW117" s="45"/>
      <c r="CX117" s="45"/>
      <c r="CY117" s="45"/>
      <c r="CZ117" s="45"/>
      <c r="DA117" s="45"/>
      <c r="DB117" s="45"/>
      <c r="DC117" s="45"/>
      <c r="DD117" s="45"/>
      <c r="DE117" s="45"/>
      <c r="DF117" s="45"/>
      <c r="DG117" s="45"/>
      <c r="DH117" s="45"/>
      <c r="DI117" s="45"/>
      <c r="DJ117" s="45"/>
      <c r="DK117" s="45"/>
      <c r="DL117" s="45"/>
      <c r="DM117" s="45"/>
      <c r="DN117" s="45"/>
      <c r="DO117" s="45"/>
      <c r="DP117" s="45"/>
      <c r="DQ117" s="45"/>
      <c r="DR117" s="45"/>
      <c r="DS117" s="45"/>
      <c r="DT117" s="45"/>
      <c r="DU117" s="45"/>
      <c r="DV117" s="45"/>
      <c r="DW117" s="45"/>
      <c r="DX117" s="45"/>
      <c r="DY117" s="45"/>
      <c r="DZ117" s="45"/>
      <c r="EA117" s="45"/>
      <c r="EB117" s="45"/>
      <c r="EC117" s="45"/>
      <c r="ED117" s="45"/>
      <c r="EE117" s="45"/>
      <c r="EF117" s="45"/>
      <c r="EG117" s="45"/>
      <c r="EH117" s="45"/>
      <c r="EI117" s="45"/>
      <c r="EJ117" s="45"/>
      <c r="EK117" s="45"/>
      <c r="EL117" s="45"/>
      <c r="EM117" s="45"/>
      <c r="EN117" s="45"/>
      <c r="EO117" s="45"/>
      <c r="EP117" s="45"/>
      <c r="EQ117" s="45"/>
    </row>
    <row r="118" spans="1:147" s="126" customFormat="1" ht="15" customHeight="1" x14ac:dyDescent="0.25">
      <c r="A118" s="122"/>
      <c r="B118" s="138"/>
      <c r="C118" s="122"/>
      <c r="D118" s="123"/>
      <c r="E118" s="123"/>
      <c r="F118" s="124"/>
      <c r="G118" s="124"/>
      <c r="H118" s="124"/>
      <c r="I118" s="122"/>
      <c r="J118" s="122"/>
      <c r="K118" s="125"/>
      <c r="L118" s="125"/>
      <c r="M118" s="125"/>
      <c r="N118" s="125"/>
      <c r="O118" s="125"/>
      <c r="P118" s="125"/>
      <c r="Q118" s="125"/>
      <c r="R118" s="125"/>
      <c r="S118" s="125"/>
      <c r="T118" s="125"/>
      <c r="U118" s="125"/>
      <c r="V118" s="125"/>
      <c r="W118" s="125"/>
      <c r="X118" s="125"/>
      <c r="Y118" s="125"/>
      <c r="Z118" s="125"/>
      <c r="AA118" s="125"/>
      <c r="AB118" s="125"/>
      <c r="AC118" s="125"/>
      <c r="AD118" s="125"/>
      <c r="AE118" s="125"/>
      <c r="AF118" s="125"/>
      <c r="AG118" s="125"/>
      <c r="AH118" s="125"/>
      <c r="AI118" s="125"/>
      <c r="AJ118" s="125"/>
      <c r="AK118" s="125"/>
      <c r="AL118" s="125"/>
      <c r="AM118" s="125"/>
      <c r="AN118" s="125"/>
      <c r="AO118" s="125"/>
      <c r="AP118" s="125"/>
      <c r="AQ118" s="125"/>
      <c r="AR118" s="125"/>
      <c r="AS118" s="125"/>
      <c r="AT118" s="125"/>
      <c r="AU118" s="125"/>
      <c r="AV118" s="125"/>
      <c r="AW118" s="125"/>
      <c r="AX118" s="125"/>
      <c r="AY118" s="125"/>
      <c r="AZ118" s="125"/>
      <c r="BA118" s="125"/>
      <c r="BB118" s="125"/>
      <c r="BC118" s="125"/>
      <c r="BD118" s="125"/>
      <c r="BE118" s="125"/>
      <c r="BF118" s="125"/>
      <c r="BG118" s="125"/>
      <c r="BH118" s="125"/>
      <c r="BI118" s="125"/>
      <c r="BJ118" s="125"/>
      <c r="BK118" s="125"/>
      <c r="BL118" s="125"/>
      <c r="BM118" s="125"/>
      <c r="BN118" s="125"/>
      <c r="BO118" s="125"/>
      <c r="BP118" s="125"/>
      <c r="BQ118" s="125"/>
      <c r="BR118" s="125"/>
      <c r="BS118" s="125"/>
      <c r="BT118" s="125"/>
      <c r="BU118" s="125"/>
      <c r="BV118" s="125"/>
      <c r="BW118" s="125"/>
      <c r="BX118" s="125"/>
      <c r="BY118" s="125"/>
      <c r="BZ118" s="125"/>
      <c r="CA118" s="125"/>
      <c r="CB118" s="125"/>
      <c r="CC118" s="125"/>
      <c r="CD118" s="125"/>
      <c r="CE118" s="125"/>
      <c r="CF118" s="125"/>
      <c r="CG118" s="125"/>
      <c r="CH118" s="125"/>
      <c r="CI118" s="125"/>
      <c r="CJ118" s="125"/>
      <c r="CK118" s="125"/>
      <c r="CL118" s="125"/>
      <c r="CM118" s="125"/>
      <c r="CN118" s="125"/>
      <c r="CO118" s="125"/>
      <c r="CP118" s="125"/>
      <c r="CQ118" s="125"/>
      <c r="CR118" s="125"/>
      <c r="CS118" s="125"/>
      <c r="CT118" s="125"/>
      <c r="CU118" s="125"/>
      <c r="CV118" s="125"/>
      <c r="CW118" s="125"/>
      <c r="CX118" s="125"/>
      <c r="CY118" s="125"/>
      <c r="CZ118" s="125"/>
      <c r="DA118" s="125"/>
      <c r="DB118" s="125"/>
      <c r="DC118" s="125"/>
      <c r="DD118" s="125"/>
      <c r="DE118" s="125"/>
      <c r="DF118" s="125"/>
      <c r="DG118" s="125"/>
      <c r="DH118" s="125"/>
      <c r="DI118" s="125"/>
      <c r="DJ118" s="125"/>
      <c r="DK118" s="125"/>
      <c r="DL118" s="125"/>
      <c r="DM118" s="125"/>
      <c r="DN118" s="125"/>
      <c r="DO118" s="125"/>
      <c r="DP118" s="125"/>
      <c r="DQ118" s="125"/>
      <c r="DR118" s="125"/>
      <c r="DS118" s="125"/>
      <c r="DT118" s="125"/>
      <c r="DU118" s="125"/>
      <c r="DV118" s="125"/>
      <c r="DW118" s="125"/>
      <c r="DX118" s="125"/>
      <c r="DY118" s="125"/>
      <c r="DZ118" s="125"/>
      <c r="EA118" s="125"/>
      <c r="EB118" s="125"/>
      <c r="EC118" s="125"/>
      <c r="ED118" s="125"/>
      <c r="EE118" s="125"/>
      <c r="EF118" s="125"/>
      <c r="EG118" s="125"/>
      <c r="EH118" s="125"/>
      <c r="EI118" s="125"/>
      <c r="EJ118" s="125"/>
      <c r="EK118" s="125"/>
      <c r="EL118" s="125"/>
      <c r="EM118" s="125"/>
      <c r="EN118" s="125"/>
      <c r="EO118" s="125"/>
      <c r="EP118" s="125"/>
      <c r="EQ118" s="125"/>
    </row>
    <row r="119" spans="1:147" s="92" customFormat="1" ht="15" customHeight="1" x14ac:dyDescent="0.25">
      <c r="A119" s="102"/>
      <c r="B119" s="139"/>
      <c r="C119" s="102"/>
      <c r="D119" s="103"/>
      <c r="E119" s="103"/>
      <c r="F119" s="119"/>
      <c r="G119" s="119"/>
      <c r="H119" s="119"/>
      <c r="I119" s="102"/>
      <c r="J119" s="102"/>
      <c r="K119" s="45"/>
      <c r="L119" s="45"/>
      <c r="M119" s="45"/>
      <c r="N119" s="45"/>
      <c r="O119" s="45"/>
      <c r="P119" s="45"/>
      <c r="Q119" s="45"/>
      <c r="R119" s="45"/>
      <c r="S119" s="45"/>
      <c r="T119" s="45"/>
      <c r="U119" s="45"/>
      <c r="V119" s="45"/>
      <c r="W119" s="45"/>
      <c r="X119" s="45"/>
      <c r="Y119" s="45"/>
      <c r="Z119" s="45"/>
      <c r="AA119" s="45"/>
      <c r="AB119" s="45"/>
      <c r="AC119" s="45"/>
      <c r="AD119" s="45"/>
      <c r="AE119" s="45"/>
      <c r="AF119" s="45"/>
      <c r="AG119" s="45"/>
      <c r="AH119" s="45"/>
      <c r="AI119" s="45"/>
      <c r="AJ119" s="45"/>
      <c r="AK119" s="45"/>
      <c r="AL119" s="45"/>
      <c r="AM119" s="45"/>
      <c r="AN119" s="45"/>
      <c r="AO119" s="45"/>
      <c r="AP119" s="45"/>
      <c r="AQ119" s="45"/>
      <c r="AR119" s="45"/>
      <c r="AS119" s="45"/>
      <c r="AT119" s="45"/>
      <c r="AU119" s="45"/>
      <c r="AV119" s="45"/>
      <c r="AW119" s="45"/>
      <c r="AX119" s="45"/>
      <c r="AY119" s="45"/>
      <c r="AZ119" s="45"/>
      <c r="BA119" s="45"/>
      <c r="BB119" s="45"/>
      <c r="BC119" s="45"/>
      <c r="BD119" s="45"/>
      <c r="BE119" s="45"/>
      <c r="BF119" s="45"/>
      <c r="BG119" s="45"/>
      <c r="BH119" s="45"/>
      <c r="BI119" s="45"/>
      <c r="BJ119" s="45"/>
      <c r="BK119" s="45"/>
      <c r="BL119" s="45"/>
      <c r="BM119" s="45"/>
      <c r="BN119" s="45"/>
      <c r="BO119" s="45"/>
      <c r="BP119" s="45"/>
      <c r="BQ119" s="45"/>
      <c r="BR119" s="45"/>
      <c r="BS119" s="45"/>
      <c r="BT119" s="45"/>
      <c r="BU119" s="45"/>
      <c r="BV119" s="45"/>
      <c r="BW119" s="45"/>
      <c r="BX119" s="45"/>
      <c r="BY119" s="45"/>
      <c r="BZ119" s="45"/>
      <c r="CA119" s="45"/>
      <c r="CB119" s="45"/>
      <c r="CC119" s="45"/>
      <c r="CD119" s="45"/>
      <c r="CE119" s="45"/>
      <c r="CF119" s="45"/>
      <c r="CG119" s="45"/>
      <c r="CH119" s="45"/>
      <c r="CI119" s="45"/>
      <c r="CJ119" s="45"/>
      <c r="CK119" s="45"/>
      <c r="CL119" s="45"/>
      <c r="CM119" s="45"/>
      <c r="CN119" s="45"/>
      <c r="CO119" s="45"/>
      <c r="CP119" s="45"/>
      <c r="CQ119" s="45"/>
      <c r="CR119" s="45"/>
      <c r="CS119" s="45"/>
      <c r="CT119" s="45"/>
      <c r="CU119" s="45"/>
      <c r="CV119" s="45"/>
      <c r="CW119" s="45"/>
      <c r="CX119" s="45"/>
      <c r="CY119" s="45"/>
      <c r="CZ119" s="45"/>
      <c r="DA119" s="45"/>
      <c r="DB119" s="45"/>
      <c r="DC119" s="45"/>
      <c r="DD119" s="45"/>
      <c r="DE119" s="45"/>
      <c r="DF119" s="45"/>
      <c r="DG119" s="45"/>
      <c r="DH119" s="45"/>
      <c r="DI119" s="45"/>
      <c r="DJ119" s="45"/>
      <c r="DK119" s="45"/>
      <c r="DL119" s="45"/>
      <c r="DM119" s="45"/>
      <c r="DN119" s="45"/>
      <c r="DO119" s="45"/>
      <c r="DP119" s="45"/>
      <c r="DQ119" s="45"/>
      <c r="DR119" s="45"/>
      <c r="DS119" s="45"/>
      <c r="DT119" s="45"/>
      <c r="DU119" s="45"/>
      <c r="DV119" s="45"/>
      <c r="DW119" s="45"/>
      <c r="DX119" s="45"/>
      <c r="DY119" s="45"/>
      <c r="DZ119" s="45"/>
      <c r="EA119" s="45"/>
      <c r="EB119" s="45"/>
      <c r="EC119" s="45"/>
      <c r="ED119" s="45"/>
      <c r="EE119" s="45"/>
      <c r="EF119" s="45"/>
      <c r="EG119" s="45"/>
      <c r="EH119" s="45"/>
      <c r="EI119" s="45"/>
      <c r="EJ119" s="45"/>
      <c r="EK119" s="45"/>
      <c r="EL119" s="45"/>
      <c r="EM119" s="45"/>
      <c r="EN119" s="45"/>
      <c r="EO119" s="45"/>
      <c r="EP119" s="45"/>
      <c r="EQ119" s="45"/>
    </row>
    <row r="120" spans="1:147" s="92" customFormat="1" ht="15" customHeight="1" x14ac:dyDescent="0.25">
      <c r="A120" s="102"/>
      <c r="B120" s="139"/>
      <c r="C120" s="102"/>
      <c r="D120" s="103"/>
      <c r="E120" s="103"/>
      <c r="F120" s="119"/>
      <c r="G120" s="119"/>
      <c r="H120" s="119"/>
      <c r="I120" s="102"/>
      <c r="J120" s="102"/>
      <c r="K120" s="45"/>
      <c r="L120" s="45"/>
      <c r="M120" s="45"/>
      <c r="N120" s="45"/>
      <c r="O120" s="45"/>
      <c r="P120" s="45"/>
      <c r="Q120" s="45"/>
      <c r="R120" s="45"/>
      <c r="S120" s="45"/>
      <c r="T120" s="45"/>
      <c r="U120" s="45"/>
      <c r="V120" s="45"/>
      <c r="W120" s="45"/>
      <c r="X120" s="45"/>
      <c r="Y120" s="45"/>
      <c r="Z120" s="45"/>
      <c r="AA120" s="45"/>
      <c r="AB120" s="45"/>
      <c r="AC120" s="45"/>
      <c r="AD120" s="45"/>
      <c r="AE120" s="45"/>
      <c r="AF120" s="45"/>
      <c r="AG120" s="45"/>
      <c r="AH120" s="45"/>
      <c r="AI120" s="45"/>
      <c r="AJ120" s="45"/>
      <c r="AK120" s="45"/>
      <c r="AL120" s="45"/>
      <c r="AM120" s="45"/>
      <c r="AN120" s="45"/>
      <c r="AO120" s="45"/>
      <c r="AP120" s="45"/>
      <c r="AQ120" s="45"/>
      <c r="AR120" s="45"/>
      <c r="AS120" s="45"/>
      <c r="AT120" s="45"/>
      <c r="AU120" s="45"/>
      <c r="AV120" s="45"/>
      <c r="AW120" s="45"/>
      <c r="AX120" s="45"/>
      <c r="AY120" s="45"/>
      <c r="AZ120" s="45"/>
      <c r="BA120" s="45"/>
      <c r="BB120" s="45"/>
      <c r="BC120" s="45"/>
      <c r="BD120" s="45"/>
      <c r="BE120" s="45"/>
      <c r="BF120" s="45"/>
      <c r="BG120" s="45"/>
      <c r="BH120" s="45"/>
      <c r="BI120" s="45"/>
      <c r="BJ120" s="45"/>
      <c r="BK120" s="45"/>
      <c r="BL120" s="45"/>
      <c r="BM120" s="45"/>
      <c r="BN120" s="45"/>
      <c r="BO120" s="45"/>
      <c r="BP120" s="45"/>
      <c r="BQ120" s="45"/>
      <c r="BR120" s="45"/>
      <c r="BS120" s="45"/>
      <c r="BT120" s="45"/>
      <c r="BU120" s="45"/>
      <c r="BV120" s="45"/>
      <c r="BW120" s="45"/>
      <c r="BX120" s="45"/>
      <c r="BY120" s="45"/>
      <c r="BZ120" s="45"/>
      <c r="CA120" s="45"/>
      <c r="CB120" s="45"/>
      <c r="CC120" s="45"/>
      <c r="CD120" s="45"/>
      <c r="CE120" s="45"/>
      <c r="CF120" s="45"/>
      <c r="CG120" s="45"/>
      <c r="CH120" s="45"/>
      <c r="CI120" s="45"/>
      <c r="CJ120" s="45"/>
      <c r="CK120" s="45"/>
      <c r="CL120" s="45"/>
      <c r="CM120" s="45"/>
      <c r="CN120" s="45"/>
      <c r="CO120" s="45"/>
      <c r="CP120" s="45"/>
      <c r="CQ120" s="45"/>
      <c r="CR120" s="45"/>
      <c r="CS120" s="45"/>
      <c r="CT120" s="45"/>
      <c r="CU120" s="45"/>
      <c r="CV120" s="45"/>
      <c r="CW120" s="45"/>
      <c r="CX120" s="45"/>
      <c r="CY120" s="45"/>
      <c r="CZ120" s="45"/>
      <c r="DA120" s="45"/>
      <c r="DB120" s="45"/>
      <c r="DC120" s="45"/>
      <c r="DD120" s="45"/>
      <c r="DE120" s="45"/>
      <c r="DF120" s="45"/>
      <c r="DG120" s="45"/>
      <c r="DH120" s="45"/>
      <c r="DI120" s="45"/>
      <c r="DJ120" s="45"/>
      <c r="DK120" s="45"/>
      <c r="DL120" s="45"/>
      <c r="DM120" s="45"/>
      <c r="DN120" s="45"/>
      <c r="DO120" s="45"/>
      <c r="DP120" s="45"/>
      <c r="DQ120" s="45"/>
      <c r="DR120" s="45"/>
      <c r="DS120" s="45"/>
      <c r="DT120" s="45"/>
      <c r="DU120" s="45"/>
      <c r="DV120" s="45"/>
      <c r="DW120" s="45"/>
      <c r="DX120" s="45"/>
      <c r="DY120" s="45"/>
      <c r="DZ120" s="45"/>
      <c r="EA120" s="45"/>
      <c r="EB120" s="45"/>
      <c r="EC120" s="45"/>
      <c r="ED120" s="45"/>
      <c r="EE120" s="45"/>
      <c r="EF120" s="45"/>
      <c r="EG120" s="45"/>
      <c r="EH120" s="45"/>
      <c r="EI120" s="45"/>
      <c r="EJ120" s="45"/>
      <c r="EK120" s="45"/>
      <c r="EL120" s="45"/>
      <c r="EM120" s="45"/>
      <c r="EN120" s="45"/>
      <c r="EO120" s="45"/>
      <c r="EP120" s="45"/>
      <c r="EQ120" s="45"/>
    </row>
    <row r="121" spans="1:147" s="92" customFormat="1" ht="15" customHeight="1" x14ac:dyDescent="0.25">
      <c r="A121" s="102"/>
      <c r="B121" s="139"/>
      <c r="C121" s="102"/>
      <c r="D121" s="103"/>
      <c r="E121" s="103"/>
      <c r="F121" s="119"/>
      <c r="G121" s="119"/>
      <c r="H121" s="119"/>
      <c r="I121" s="102"/>
      <c r="J121" s="102"/>
      <c r="K121" s="45"/>
      <c r="L121" s="45"/>
      <c r="M121" s="45"/>
      <c r="N121" s="45"/>
      <c r="O121" s="45"/>
      <c r="P121" s="45"/>
      <c r="Q121" s="45"/>
      <c r="R121" s="45"/>
      <c r="S121" s="45"/>
      <c r="T121" s="45"/>
      <c r="U121" s="45"/>
      <c r="V121" s="45"/>
      <c r="W121" s="45"/>
      <c r="X121" s="45"/>
      <c r="Y121" s="45"/>
      <c r="Z121" s="45"/>
      <c r="AA121" s="45"/>
      <c r="AB121" s="45"/>
      <c r="AC121" s="45"/>
      <c r="AD121" s="45"/>
      <c r="AE121" s="45"/>
      <c r="AF121" s="45"/>
      <c r="AG121" s="45"/>
      <c r="AH121" s="45"/>
      <c r="AI121" s="45"/>
      <c r="AJ121" s="45"/>
      <c r="AK121" s="45"/>
      <c r="AL121" s="45"/>
      <c r="AM121" s="45"/>
      <c r="AN121" s="45"/>
      <c r="AO121" s="45"/>
      <c r="AP121" s="45"/>
      <c r="AQ121" s="45"/>
      <c r="AR121" s="45"/>
      <c r="AS121" s="45"/>
      <c r="AT121" s="45"/>
      <c r="AU121" s="45"/>
      <c r="AV121" s="45"/>
      <c r="AW121" s="45"/>
      <c r="AX121" s="45"/>
      <c r="AY121" s="45"/>
      <c r="AZ121" s="45"/>
      <c r="BA121" s="45"/>
      <c r="BB121" s="45"/>
      <c r="BC121" s="45"/>
      <c r="BD121" s="45"/>
      <c r="BE121" s="45"/>
      <c r="BF121" s="45"/>
      <c r="BG121" s="45"/>
      <c r="BH121" s="45"/>
      <c r="BI121" s="45"/>
      <c r="BJ121" s="45"/>
      <c r="BK121" s="45"/>
      <c r="BL121" s="45"/>
      <c r="BM121" s="45"/>
      <c r="BN121" s="45"/>
      <c r="BO121" s="45"/>
      <c r="BP121" s="45"/>
      <c r="BQ121" s="45"/>
      <c r="BR121" s="45"/>
      <c r="BS121" s="45"/>
      <c r="BT121" s="45"/>
      <c r="BU121" s="45"/>
      <c r="BV121" s="45"/>
      <c r="BW121" s="45"/>
      <c r="BX121" s="45"/>
      <c r="BY121" s="45"/>
      <c r="BZ121" s="45"/>
      <c r="CA121" s="45"/>
      <c r="CB121" s="45"/>
      <c r="CC121" s="45"/>
      <c r="CD121" s="45"/>
      <c r="CE121" s="45"/>
      <c r="CF121" s="45"/>
      <c r="CG121" s="45"/>
      <c r="CH121" s="45"/>
      <c r="CI121" s="45"/>
      <c r="CJ121" s="45"/>
      <c r="CK121" s="45"/>
      <c r="CL121" s="45"/>
      <c r="CM121" s="45"/>
      <c r="CN121" s="45"/>
      <c r="CO121" s="45"/>
      <c r="CP121" s="45"/>
      <c r="CQ121" s="45"/>
      <c r="CR121" s="45"/>
      <c r="CS121" s="45"/>
      <c r="CT121" s="45"/>
      <c r="CU121" s="45"/>
      <c r="CV121" s="45"/>
      <c r="CW121" s="45"/>
      <c r="CX121" s="45"/>
      <c r="CY121" s="45"/>
      <c r="CZ121" s="45"/>
      <c r="DA121" s="45"/>
      <c r="DB121" s="45"/>
      <c r="DC121" s="45"/>
      <c r="DD121" s="45"/>
      <c r="DE121" s="45"/>
      <c r="DF121" s="45"/>
      <c r="DG121" s="45"/>
      <c r="DH121" s="45"/>
      <c r="DI121" s="45"/>
      <c r="DJ121" s="45"/>
      <c r="DK121" s="45"/>
      <c r="DL121" s="45"/>
      <c r="DM121" s="45"/>
      <c r="DN121" s="45"/>
      <c r="DO121" s="45"/>
      <c r="DP121" s="45"/>
      <c r="DQ121" s="45"/>
      <c r="DR121" s="45"/>
      <c r="DS121" s="45"/>
      <c r="DT121" s="45"/>
      <c r="DU121" s="45"/>
      <c r="DV121" s="45"/>
      <c r="DW121" s="45"/>
      <c r="DX121" s="45"/>
      <c r="DY121" s="45"/>
      <c r="DZ121" s="45"/>
      <c r="EA121" s="45"/>
      <c r="EB121" s="45"/>
      <c r="EC121" s="45"/>
      <c r="ED121" s="45"/>
      <c r="EE121" s="45"/>
      <c r="EF121" s="45"/>
      <c r="EG121" s="45"/>
      <c r="EH121" s="45"/>
      <c r="EI121" s="45"/>
      <c r="EJ121" s="45"/>
      <c r="EK121" s="45"/>
      <c r="EL121" s="45"/>
      <c r="EM121" s="45"/>
      <c r="EN121" s="45"/>
      <c r="EO121" s="45"/>
      <c r="EP121" s="45"/>
      <c r="EQ121" s="45"/>
    </row>
    <row r="122" spans="1:147" s="92" customFormat="1" ht="15" customHeight="1" x14ac:dyDescent="0.25">
      <c r="A122" s="102"/>
      <c r="B122" s="139"/>
      <c r="C122" s="102"/>
      <c r="D122" s="103"/>
      <c r="E122" s="103"/>
      <c r="F122" s="119"/>
      <c r="G122" s="119"/>
      <c r="H122" s="119"/>
      <c r="I122" s="102"/>
      <c r="J122" s="102"/>
      <c r="K122" s="45"/>
      <c r="L122" s="45"/>
      <c r="M122" s="45"/>
      <c r="N122" s="45"/>
      <c r="O122" s="45"/>
      <c r="P122" s="45"/>
      <c r="Q122" s="45"/>
      <c r="R122" s="45"/>
      <c r="S122" s="45"/>
      <c r="T122" s="45"/>
      <c r="U122" s="45"/>
      <c r="V122" s="45"/>
      <c r="W122" s="45"/>
      <c r="X122" s="45"/>
      <c r="Y122" s="45"/>
      <c r="Z122" s="45"/>
      <c r="AA122" s="45"/>
      <c r="AB122" s="45"/>
      <c r="AC122" s="45"/>
      <c r="AD122" s="45"/>
      <c r="AE122" s="45"/>
      <c r="AF122" s="45"/>
      <c r="AG122" s="45"/>
      <c r="AH122" s="45"/>
      <c r="AI122" s="45"/>
      <c r="AJ122" s="45"/>
      <c r="AK122" s="45"/>
      <c r="AL122" s="45"/>
      <c r="AM122" s="45"/>
      <c r="AN122" s="45"/>
      <c r="AO122" s="45"/>
      <c r="AP122" s="45"/>
      <c r="AQ122" s="45"/>
      <c r="AR122" s="45"/>
      <c r="AS122" s="45"/>
      <c r="AT122" s="45"/>
      <c r="AU122" s="45"/>
      <c r="AV122" s="45"/>
      <c r="AW122" s="45"/>
      <c r="AX122" s="45"/>
      <c r="AY122" s="45"/>
      <c r="AZ122" s="45"/>
      <c r="BA122" s="45"/>
      <c r="BB122" s="45"/>
      <c r="BC122" s="45"/>
      <c r="BD122" s="45"/>
      <c r="BE122" s="45"/>
      <c r="BF122" s="45"/>
      <c r="BG122" s="45"/>
      <c r="BH122" s="45"/>
      <c r="BI122" s="45"/>
      <c r="BJ122" s="45"/>
      <c r="BK122" s="45"/>
      <c r="BL122" s="45"/>
      <c r="BM122" s="45"/>
      <c r="BN122" s="45"/>
      <c r="BO122" s="45"/>
      <c r="BP122" s="45"/>
      <c r="BQ122" s="45"/>
      <c r="BR122" s="45"/>
      <c r="BS122" s="45"/>
      <c r="BT122" s="45"/>
      <c r="BU122" s="45"/>
      <c r="BV122" s="45"/>
      <c r="BW122" s="45"/>
      <c r="BX122" s="45"/>
      <c r="BY122" s="45"/>
      <c r="BZ122" s="45"/>
      <c r="CA122" s="45"/>
      <c r="CB122" s="45"/>
      <c r="CC122" s="45"/>
      <c r="CD122" s="45"/>
      <c r="CE122" s="45"/>
      <c r="CF122" s="45"/>
      <c r="CG122" s="45"/>
      <c r="CH122" s="45"/>
      <c r="CI122" s="45"/>
      <c r="CJ122" s="45"/>
      <c r="CK122" s="45"/>
      <c r="CL122" s="45"/>
      <c r="CM122" s="45"/>
      <c r="CN122" s="45"/>
      <c r="CO122" s="45"/>
      <c r="CP122" s="45"/>
      <c r="CQ122" s="45"/>
      <c r="CR122" s="45"/>
      <c r="CS122" s="45"/>
      <c r="CT122" s="45"/>
      <c r="CU122" s="45"/>
      <c r="CV122" s="45"/>
      <c r="CW122" s="45"/>
      <c r="CX122" s="45"/>
      <c r="CY122" s="45"/>
      <c r="CZ122" s="45"/>
      <c r="DA122" s="45"/>
      <c r="DB122" s="45"/>
      <c r="DC122" s="45"/>
      <c r="DD122" s="45"/>
      <c r="DE122" s="45"/>
      <c r="DF122" s="45"/>
      <c r="DG122" s="45"/>
      <c r="DH122" s="45"/>
      <c r="DI122" s="45"/>
      <c r="DJ122" s="45"/>
      <c r="DK122" s="45"/>
      <c r="DL122" s="45"/>
      <c r="DM122" s="45"/>
      <c r="DN122" s="45"/>
      <c r="DO122" s="45"/>
      <c r="DP122" s="45"/>
      <c r="DQ122" s="45"/>
      <c r="DR122" s="45"/>
      <c r="DS122" s="45"/>
      <c r="DT122" s="45"/>
      <c r="DU122" s="45"/>
      <c r="DV122" s="45"/>
      <c r="DW122" s="45"/>
      <c r="DX122" s="45"/>
      <c r="DY122" s="45"/>
      <c r="DZ122" s="45"/>
      <c r="EA122" s="45"/>
      <c r="EB122" s="45"/>
      <c r="EC122" s="45"/>
      <c r="ED122" s="45"/>
      <c r="EE122" s="45"/>
      <c r="EF122" s="45"/>
      <c r="EG122" s="45"/>
      <c r="EH122" s="45"/>
      <c r="EI122" s="45"/>
      <c r="EJ122" s="45"/>
      <c r="EK122" s="45"/>
      <c r="EL122" s="45"/>
      <c r="EM122" s="45"/>
      <c r="EN122" s="45"/>
      <c r="EO122" s="45"/>
      <c r="EP122" s="45"/>
      <c r="EQ122" s="45"/>
    </row>
    <row r="123" spans="1:147" s="92" customFormat="1" ht="15" customHeight="1" x14ac:dyDescent="0.25">
      <c r="A123" s="102"/>
      <c r="B123" s="139"/>
      <c r="C123" s="102"/>
      <c r="D123" s="103"/>
      <c r="E123" s="103"/>
      <c r="F123" s="119"/>
      <c r="G123" s="119"/>
      <c r="H123" s="119"/>
      <c r="I123" s="102"/>
      <c r="J123" s="102"/>
      <c r="K123" s="45"/>
      <c r="L123" s="45"/>
      <c r="M123" s="45"/>
      <c r="N123" s="45"/>
      <c r="O123" s="45"/>
      <c r="P123" s="45"/>
      <c r="Q123" s="45"/>
      <c r="R123" s="45"/>
      <c r="S123" s="45"/>
      <c r="T123" s="45"/>
      <c r="U123" s="45"/>
      <c r="V123" s="45"/>
      <c r="W123" s="45"/>
      <c r="X123" s="45"/>
      <c r="Y123" s="45"/>
      <c r="Z123" s="45"/>
      <c r="AA123" s="45"/>
      <c r="AB123" s="45"/>
      <c r="AC123" s="45"/>
      <c r="AD123" s="45"/>
      <c r="AE123" s="45"/>
      <c r="AF123" s="45"/>
      <c r="AG123" s="45"/>
      <c r="AH123" s="45"/>
      <c r="AI123" s="45"/>
      <c r="AJ123" s="45"/>
      <c r="AK123" s="45"/>
      <c r="AL123" s="45"/>
      <c r="AM123" s="45"/>
      <c r="AN123" s="45"/>
      <c r="AO123" s="45"/>
      <c r="AP123" s="45"/>
      <c r="AQ123" s="45"/>
      <c r="AR123" s="45"/>
      <c r="AS123" s="45"/>
      <c r="AT123" s="45"/>
      <c r="AU123" s="45"/>
      <c r="AV123" s="45"/>
      <c r="AW123" s="45"/>
      <c r="AX123" s="45"/>
      <c r="AY123" s="45"/>
      <c r="AZ123" s="45"/>
      <c r="BA123" s="45"/>
      <c r="BB123" s="45"/>
      <c r="BC123" s="45"/>
      <c r="BD123" s="45"/>
      <c r="BE123" s="45"/>
      <c r="BF123" s="45"/>
      <c r="BG123" s="45"/>
      <c r="BH123" s="45"/>
      <c r="BI123" s="45"/>
      <c r="BJ123" s="45"/>
      <c r="BK123" s="45"/>
      <c r="BL123" s="45"/>
      <c r="BM123" s="45"/>
      <c r="BN123" s="45"/>
      <c r="BO123" s="45"/>
      <c r="BP123" s="45"/>
      <c r="BQ123" s="45"/>
      <c r="BR123" s="45"/>
      <c r="BS123" s="45"/>
      <c r="BT123" s="45"/>
      <c r="BU123" s="45"/>
      <c r="BV123" s="45"/>
      <c r="BW123" s="45"/>
      <c r="BX123" s="45"/>
      <c r="BY123" s="45"/>
      <c r="BZ123" s="45"/>
      <c r="CA123" s="45"/>
      <c r="CB123" s="45"/>
      <c r="CC123" s="45"/>
      <c r="CD123" s="45"/>
      <c r="CE123" s="45"/>
      <c r="CF123" s="45"/>
      <c r="CG123" s="45"/>
      <c r="CH123" s="45"/>
      <c r="CI123" s="45"/>
      <c r="CJ123" s="45"/>
      <c r="CK123" s="45"/>
      <c r="CL123" s="45"/>
      <c r="CM123" s="45"/>
      <c r="CN123" s="45"/>
      <c r="CO123" s="45"/>
      <c r="CP123" s="45"/>
      <c r="CQ123" s="45"/>
      <c r="CR123" s="45"/>
      <c r="CS123" s="45"/>
      <c r="CT123" s="45"/>
      <c r="CU123" s="45"/>
      <c r="CV123" s="45"/>
      <c r="CW123" s="45"/>
      <c r="CX123" s="45"/>
      <c r="CY123" s="45"/>
      <c r="CZ123" s="45"/>
      <c r="DA123" s="45"/>
      <c r="DB123" s="45"/>
      <c r="DC123" s="45"/>
      <c r="DD123" s="45"/>
      <c r="DE123" s="45"/>
      <c r="DF123" s="45"/>
      <c r="DG123" s="45"/>
      <c r="DH123" s="45"/>
      <c r="DI123" s="45"/>
      <c r="DJ123" s="45"/>
      <c r="DK123" s="45"/>
      <c r="DL123" s="45"/>
      <c r="DM123" s="45"/>
      <c r="DN123" s="45"/>
      <c r="DO123" s="45"/>
      <c r="DP123" s="45"/>
      <c r="DQ123" s="45"/>
      <c r="DR123" s="45"/>
      <c r="DS123" s="45"/>
      <c r="DT123" s="45"/>
      <c r="DU123" s="45"/>
      <c r="DV123" s="45"/>
      <c r="DW123" s="45"/>
      <c r="DX123" s="45"/>
      <c r="DY123" s="45"/>
      <c r="DZ123" s="45"/>
      <c r="EA123" s="45"/>
      <c r="EB123" s="45"/>
      <c r="EC123" s="45"/>
      <c r="ED123" s="45"/>
      <c r="EE123" s="45"/>
      <c r="EF123" s="45"/>
      <c r="EG123" s="45"/>
      <c r="EH123" s="45"/>
      <c r="EI123" s="45"/>
      <c r="EJ123" s="45"/>
      <c r="EK123" s="45"/>
      <c r="EL123" s="45"/>
      <c r="EM123" s="45"/>
      <c r="EN123" s="45"/>
      <c r="EO123" s="45"/>
      <c r="EP123" s="45"/>
      <c r="EQ123" s="45"/>
    </row>
    <row r="124" spans="1:147" s="92" customFormat="1" ht="15" customHeight="1" x14ac:dyDescent="0.25">
      <c r="A124" s="102"/>
      <c r="B124" s="139"/>
      <c r="C124" s="102"/>
      <c r="D124" s="103"/>
      <c r="E124" s="103"/>
      <c r="F124" s="119"/>
      <c r="G124" s="119"/>
      <c r="H124" s="119"/>
      <c r="I124" s="102"/>
      <c r="J124" s="102"/>
      <c r="K124" s="45"/>
      <c r="L124" s="45"/>
      <c r="M124" s="45"/>
      <c r="N124" s="45"/>
      <c r="O124" s="45"/>
      <c r="P124" s="45"/>
      <c r="Q124" s="45"/>
      <c r="R124" s="45"/>
      <c r="S124" s="45"/>
      <c r="T124" s="45"/>
      <c r="U124" s="45"/>
      <c r="V124" s="45"/>
      <c r="W124" s="45"/>
      <c r="X124" s="45"/>
      <c r="Y124" s="45"/>
      <c r="Z124" s="45"/>
      <c r="AA124" s="45"/>
      <c r="AB124" s="45"/>
      <c r="AC124" s="45"/>
      <c r="AD124" s="45"/>
      <c r="AE124" s="45"/>
      <c r="AF124" s="45"/>
      <c r="AG124" s="45"/>
      <c r="AH124" s="45"/>
      <c r="AI124" s="45"/>
      <c r="AJ124" s="45"/>
      <c r="AK124" s="45"/>
      <c r="AL124" s="45"/>
      <c r="AM124" s="45"/>
      <c r="AN124" s="45"/>
      <c r="AO124" s="45"/>
      <c r="AP124" s="45"/>
      <c r="AQ124" s="45"/>
      <c r="AR124" s="45"/>
      <c r="AS124" s="45"/>
      <c r="AT124" s="45"/>
      <c r="AU124" s="45"/>
      <c r="AV124" s="45"/>
      <c r="AW124" s="45"/>
      <c r="AX124" s="45"/>
      <c r="AY124" s="45"/>
      <c r="AZ124" s="45"/>
      <c r="BA124" s="45"/>
      <c r="BB124" s="45"/>
      <c r="BC124" s="45"/>
      <c r="BD124" s="45"/>
      <c r="BE124" s="45"/>
      <c r="BF124" s="45"/>
      <c r="BG124" s="45"/>
      <c r="BH124" s="45"/>
      <c r="BI124" s="45"/>
      <c r="BJ124" s="45"/>
      <c r="BK124" s="45"/>
      <c r="BL124" s="45"/>
      <c r="BM124" s="45"/>
      <c r="BN124" s="45"/>
      <c r="BO124" s="45"/>
      <c r="BP124" s="45"/>
      <c r="BQ124" s="45"/>
      <c r="BR124" s="45"/>
      <c r="BS124" s="45"/>
      <c r="BT124" s="45"/>
      <c r="BU124" s="45"/>
      <c r="BV124" s="45"/>
      <c r="BW124" s="45"/>
      <c r="BX124" s="45"/>
      <c r="BY124" s="45"/>
      <c r="BZ124" s="45"/>
      <c r="CA124" s="45"/>
      <c r="CB124" s="45"/>
      <c r="CC124" s="45"/>
      <c r="CD124" s="45"/>
      <c r="CE124" s="45"/>
      <c r="CF124" s="45"/>
      <c r="CG124" s="45"/>
      <c r="CH124" s="45"/>
      <c r="CI124" s="45"/>
      <c r="CJ124" s="45"/>
      <c r="CK124" s="45"/>
      <c r="CL124" s="45"/>
      <c r="CM124" s="45"/>
      <c r="CN124" s="45"/>
      <c r="CO124" s="45"/>
      <c r="CP124" s="45"/>
      <c r="CQ124" s="45"/>
      <c r="CR124" s="45"/>
      <c r="CS124" s="45"/>
      <c r="CT124" s="45"/>
      <c r="CU124" s="45"/>
      <c r="CV124" s="45"/>
      <c r="CW124" s="45"/>
      <c r="CX124" s="45"/>
      <c r="CY124" s="45"/>
      <c r="CZ124" s="45"/>
      <c r="DA124" s="45"/>
      <c r="DB124" s="45"/>
      <c r="DC124" s="45"/>
      <c r="DD124" s="45"/>
      <c r="DE124" s="45"/>
      <c r="DF124" s="45"/>
      <c r="DG124" s="45"/>
      <c r="DH124" s="45"/>
      <c r="DI124" s="45"/>
      <c r="DJ124" s="45"/>
      <c r="DK124" s="45"/>
      <c r="DL124" s="45"/>
      <c r="DM124" s="45"/>
      <c r="DN124" s="45"/>
      <c r="DO124" s="45"/>
      <c r="DP124" s="45"/>
      <c r="DQ124" s="45"/>
      <c r="DR124" s="45"/>
      <c r="DS124" s="45"/>
      <c r="DT124" s="45"/>
      <c r="DU124" s="45"/>
      <c r="DV124" s="45"/>
      <c r="DW124" s="45"/>
      <c r="DX124" s="45"/>
      <c r="DY124" s="45"/>
      <c r="DZ124" s="45"/>
      <c r="EA124" s="45"/>
      <c r="EB124" s="45"/>
      <c r="EC124" s="45"/>
      <c r="ED124" s="45"/>
      <c r="EE124" s="45"/>
      <c r="EF124" s="45"/>
      <c r="EG124" s="45"/>
      <c r="EH124" s="45"/>
      <c r="EI124" s="45"/>
      <c r="EJ124" s="45"/>
      <c r="EK124" s="45"/>
      <c r="EL124" s="45"/>
      <c r="EM124" s="45"/>
      <c r="EN124" s="45"/>
      <c r="EO124" s="45"/>
      <c r="EP124" s="45"/>
      <c r="EQ124" s="45"/>
    </row>
    <row r="125" spans="1:147" s="92" customFormat="1" ht="15" customHeight="1" x14ac:dyDescent="0.25">
      <c r="A125" s="102"/>
      <c r="B125" s="139"/>
      <c r="C125" s="102"/>
      <c r="D125" s="103"/>
      <c r="E125" s="103"/>
      <c r="F125" s="119"/>
      <c r="G125" s="119"/>
      <c r="H125" s="119"/>
      <c r="I125" s="102"/>
      <c r="J125" s="102"/>
      <c r="K125" s="45"/>
      <c r="L125" s="45"/>
      <c r="M125" s="45"/>
      <c r="N125" s="45"/>
      <c r="O125" s="45"/>
      <c r="P125" s="45"/>
      <c r="Q125" s="45"/>
      <c r="R125" s="45"/>
      <c r="S125" s="45"/>
      <c r="T125" s="45"/>
      <c r="U125" s="45"/>
      <c r="V125" s="45"/>
      <c r="W125" s="45"/>
      <c r="X125" s="45"/>
      <c r="Y125" s="45"/>
      <c r="Z125" s="45"/>
      <c r="AA125" s="45"/>
      <c r="AB125" s="45"/>
      <c r="AC125" s="45"/>
      <c r="AD125" s="45"/>
      <c r="AE125" s="45"/>
      <c r="AF125" s="45"/>
      <c r="AG125" s="45"/>
      <c r="AH125" s="45"/>
      <c r="AI125" s="45"/>
      <c r="AJ125" s="45"/>
      <c r="AK125" s="45"/>
      <c r="AL125" s="45"/>
      <c r="AM125" s="45"/>
      <c r="AN125" s="45"/>
      <c r="AO125" s="45"/>
      <c r="AP125" s="45"/>
      <c r="AQ125" s="45"/>
      <c r="AR125" s="45"/>
      <c r="AS125" s="45"/>
      <c r="AT125" s="45"/>
      <c r="AU125" s="45"/>
      <c r="AV125" s="45"/>
      <c r="AW125" s="45"/>
      <c r="AX125" s="45"/>
      <c r="AY125" s="45"/>
      <c r="AZ125" s="45"/>
      <c r="BA125" s="45"/>
      <c r="BB125" s="45"/>
      <c r="BC125" s="45"/>
      <c r="BD125" s="45"/>
      <c r="BE125" s="45"/>
      <c r="BF125" s="45"/>
      <c r="BG125" s="45"/>
      <c r="BH125" s="45"/>
      <c r="BI125" s="45"/>
      <c r="BJ125" s="45"/>
      <c r="BK125" s="45"/>
      <c r="BL125" s="45"/>
      <c r="BM125" s="45"/>
      <c r="BN125" s="45"/>
      <c r="BO125" s="45"/>
      <c r="BP125" s="45"/>
      <c r="BQ125" s="45"/>
      <c r="BR125" s="45"/>
      <c r="BS125" s="45"/>
      <c r="BT125" s="45"/>
      <c r="BU125" s="45"/>
      <c r="BV125" s="45"/>
      <c r="BW125" s="45"/>
      <c r="BX125" s="45"/>
      <c r="BY125" s="45"/>
      <c r="BZ125" s="45"/>
      <c r="CA125" s="45"/>
      <c r="CB125" s="45"/>
      <c r="CC125" s="45"/>
      <c r="CD125" s="45"/>
      <c r="CE125" s="45"/>
      <c r="CF125" s="45"/>
      <c r="CG125" s="45"/>
      <c r="CH125" s="45"/>
      <c r="CI125" s="45"/>
      <c r="CJ125" s="45"/>
      <c r="CK125" s="45"/>
      <c r="CL125" s="45"/>
      <c r="CM125" s="45"/>
      <c r="CN125" s="45"/>
      <c r="CO125" s="45"/>
      <c r="CP125" s="45"/>
      <c r="CQ125" s="45"/>
      <c r="CR125" s="45"/>
      <c r="CS125" s="45"/>
      <c r="CT125" s="45"/>
      <c r="CU125" s="45"/>
      <c r="CV125" s="45"/>
      <c r="CW125" s="45"/>
      <c r="CX125" s="45"/>
      <c r="CY125" s="45"/>
      <c r="CZ125" s="45"/>
      <c r="DA125" s="45"/>
      <c r="DB125" s="45"/>
      <c r="DC125" s="45"/>
      <c r="DD125" s="45"/>
      <c r="DE125" s="45"/>
      <c r="DF125" s="45"/>
      <c r="DG125" s="45"/>
      <c r="DH125" s="45"/>
      <c r="DI125" s="45"/>
      <c r="DJ125" s="45"/>
      <c r="DK125" s="45"/>
      <c r="DL125" s="45"/>
      <c r="DM125" s="45"/>
      <c r="DN125" s="45"/>
      <c r="DO125" s="45"/>
      <c r="DP125" s="45"/>
      <c r="DQ125" s="45"/>
      <c r="DR125" s="45"/>
      <c r="DS125" s="45"/>
      <c r="DT125" s="45"/>
      <c r="DU125" s="45"/>
      <c r="DV125" s="45"/>
      <c r="DW125" s="45"/>
      <c r="DX125" s="45"/>
      <c r="DY125" s="45"/>
      <c r="DZ125" s="45"/>
      <c r="EA125" s="45"/>
      <c r="EB125" s="45"/>
      <c r="EC125" s="45"/>
      <c r="ED125" s="45"/>
      <c r="EE125" s="45"/>
      <c r="EF125" s="45"/>
      <c r="EG125" s="45"/>
      <c r="EH125" s="45"/>
      <c r="EI125" s="45"/>
      <c r="EJ125" s="45"/>
      <c r="EK125" s="45"/>
      <c r="EL125" s="45"/>
      <c r="EM125" s="45"/>
      <c r="EN125" s="45"/>
      <c r="EO125" s="45"/>
      <c r="EP125" s="45"/>
      <c r="EQ125" s="45"/>
    </row>
    <row r="126" spans="1:147" s="92" customFormat="1" ht="15" customHeight="1" x14ac:dyDescent="0.25">
      <c r="A126" s="102"/>
      <c r="B126" s="139"/>
      <c r="C126" s="102"/>
      <c r="D126" s="103"/>
      <c r="E126" s="103"/>
      <c r="F126" s="119"/>
      <c r="G126" s="119"/>
      <c r="H126" s="119"/>
      <c r="I126" s="102"/>
      <c r="J126" s="102"/>
      <c r="K126" s="45"/>
      <c r="L126" s="45"/>
      <c r="M126" s="45"/>
      <c r="N126" s="45"/>
      <c r="O126" s="45"/>
      <c r="P126" s="45"/>
      <c r="Q126" s="45"/>
      <c r="R126" s="45"/>
      <c r="S126" s="45"/>
      <c r="T126" s="45"/>
      <c r="U126" s="45"/>
      <c r="V126" s="45"/>
      <c r="W126" s="45"/>
      <c r="X126" s="45"/>
      <c r="Y126" s="45"/>
      <c r="Z126" s="45"/>
      <c r="AA126" s="45"/>
      <c r="AB126" s="45"/>
      <c r="AC126" s="45"/>
      <c r="AD126" s="45"/>
      <c r="AE126" s="45"/>
      <c r="AF126" s="45"/>
      <c r="AG126" s="45"/>
      <c r="AH126" s="45"/>
      <c r="AI126" s="45"/>
      <c r="AJ126" s="45"/>
      <c r="AK126" s="45"/>
      <c r="AL126" s="45"/>
      <c r="AM126" s="45"/>
      <c r="AN126" s="45"/>
      <c r="AO126" s="45"/>
      <c r="AP126" s="45"/>
      <c r="AQ126" s="45"/>
      <c r="AR126" s="45"/>
      <c r="AS126" s="45"/>
      <c r="AT126" s="45"/>
      <c r="AU126" s="45"/>
      <c r="AV126" s="45"/>
      <c r="AW126" s="45"/>
      <c r="AX126" s="45"/>
      <c r="AY126" s="45"/>
      <c r="AZ126" s="45"/>
      <c r="BA126" s="45"/>
      <c r="BB126" s="45"/>
      <c r="BC126" s="45"/>
      <c r="BD126" s="45"/>
      <c r="BE126" s="45"/>
      <c r="BF126" s="45"/>
      <c r="BG126" s="45"/>
      <c r="BH126" s="45"/>
      <c r="BI126" s="45"/>
      <c r="BJ126" s="45"/>
      <c r="BK126" s="45"/>
      <c r="BL126" s="45"/>
      <c r="BM126" s="45"/>
      <c r="BN126" s="45"/>
      <c r="BO126" s="45"/>
      <c r="BP126" s="45"/>
      <c r="BQ126" s="45"/>
      <c r="BR126" s="45"/>
      <c r="BS126" s="45"/>
      <c r="BT126" s="45"/>
      <c r="BU126" s="45"/>
      <c r="BV126" s="45"/>
      <c r="BW126" s="45"/>
      <c r="BX126" s="45"/>
      <c r="BY126" s="45"/>
      <c r="BZ126" s="45"/>
      <c r="CA126" s="45"/>
      <c r="CB126" s="45"/>
      <c r="CC126" s="45"/>
      <c r="CD126" s="45"/>
      <c r="CE126" s="45"/>
      <c r="CF126" s="45"/>
      <c r="CG126" s="45"/>
      <c r="CH126" s="45"/>
      <c r="CI126" s="45"/>
      <c r="CJ126" s="45"/>
      <c r="CK126" s="45"/>
      <c r="CL126" s="45"/>
      <c r="CM126" s="45"/>
      <c r="CN126" s="45"/>
      <c r="CO126" s="45"/>
      <c r="CP126" s="45"/>
      <c r="CQ126" s="45"/>
      <c r="CR126" s="45"/>
      <c r="CS126" s="45"/>
      <c r="CT126" s="45"/>
      <c r="CU126" s="45"/>
      <c r="CV126" s="45"/>
      <c r="CW126" s="45"/>
      <c r="CX126" s="45"/>
      <c r="CY126" s="45"/>
      <c r="CZ126" s="45"/>
      <c r="DA126" s="45"/>
      <c r="DB126" s="45"/>
      <c r="DC126" s="45"/>
      <c r="DD126" s="45"/>
      <c r="DE126" s="45"/>
      <c r="DF126" s="45"/>
      <c r="DG126" s="45"/>
      <c r="DH126" s="45"/>
      <c r="DI126" s="45"/>
      <c r="DJ126" s="45"/>
      <c r="DK126" s="45"/>
      <c r="DL126" s="45"/>
      <c r="DM126" s="45"/>
      <c r="DN126" s="45"/>
      <c r="DO126" s="45"/>
      <c r="DP126" s="45"/>
      <c r="DQ126" s="45"/>
      <c r="DR126" s="45"/>
      <c r="DS126" s="45"/>
      <c r="DT126" s="45"/>
      <c r="DU126" s="45"/>
      <c r="DV126" s="45"/>
      <c r="DW126" s="45"/>
      <c r="DX126" s="45"/>
      <c r="DY126" s="45"/>
      <c r="DZ126" s="45"/>
      <c r="EA126" s="45"/>
      <c r="EB126" s="45"/>
      <c r="EC126" s="45"/>
      <c r="ED126" s="45"/>
      <c r="EE126" s="45"/>
      <c r="EF126" s="45"/>
      <c r="EG126" s="45"/>
      <c r="EH126" s="45"/>
      <c r="EI126" s="45"/>
      <c r="EJ126" s="45"/>
      <c r="EK126" s="45"/>
      <c r="EL126" s="45"/>
      <c r="EM126" s="45"/>
      <c r="EN126" s="45"/>
      <c r="EO126" s="45"/>
      <c r="EP126" s="45"/>
      <c r="EQ126" s="45"/>
    </row>
    <row r="127" spans="1:147" s="92" customFormat="1" ht="15" customHeight="1" x14ac:dyDescent="0.25">
      <c r="A127" s="111" t="s">
        <v>603</v>
      </c>
      <c r="B127" s="140"/>
      <c r="C127" s="112"/>
      <c r="D127" s="113"/>
      <c r="E127" s="113"/>
      <c r="F127" s="120"/>
      <c r="G127" s="120"/>
      <c r="H127" s="120"/>
      <c r="I127" s="112"/>
      <c r="J127" s="112"/>
      <c r="K127" s="3" t="s">
        <v>52</v>
      </c>
      <c r="L127" s="3" t="s">
        <v>53</v>
      </c>
      <c r="M127" s="3" t="s">
        <v>54</v>
      </c>
      <c r="N127" s="110"/>
      <c r="O127" s="110"/>
      <c r="P127" s="110"/>
      <c r="Q127" s="110"/>
      <c r="R127" s="110"/>
      <c r="S127" s="110"/>
      <c r="T127" s="110"/>
      <c r="U127" s="110"/>
      <c r="V127" s="110"/>
      <c r="W127" s="110"/>
      <c r="X127" s="110"/>
      <c r="Y127" s="110"/>
      <c r="Z127" s="110"/>
      <c r="AA127" s="110"/>
      <c r="AB127" s="110"/>
      <c r="AC127" s="110"/>
      <c r="AD127" s="110"/>
      <c r="AE127" s="7"/>
      <c r="AF127" s="7"/>
      <c r="AG127" s="7"/>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c r="CV127" s="27"/>
      <c r="CW127" s="27"/>
      <c r="CX127" s="27"/>
      <c r="CY127" s="27"/>
      <c r="CZ127" s="27"/>
      <c r="DA127" s="27"/>
      <c r="DB127" s="28"/>
      <c r="DC127" s="28"/>
      <c r="DD127" s="28"/>
      <c r="DE127" s="28"/>
      <c r="DF127" s="28"/>
      <c r="DG127" s="28"/>
      <c r="DH127" s="28"/>
      <c r="DI127" s="28"/>
      <c r="DJ127" s="28"/>
      <c r="DK127" s="28"/>
      <c r="DL127" s="28"/>
      <c r="DM127" s="28"/>
      <c r="DN127" s="28"/>
      <c r="DO127" s="28"/>
      <c r="DP127" s="28"/>
      <c r="DQ127" s="28"/>
      <c r="DR127" s="28"/>
      <c r="DS127" s="28"/>
      <c r="DT127" s="28"/>
      <c r="DU127" s="28"/>
      <c r="DV127" s="28"/>
      <c r="DW127" s="28"/>
      <c r="DX127" s="28"/>
      <c r="DY127" s="28"/>
      <c r="DZ127" s="28"/>
      <c r="EA127" s="28"/>
      <c r="EB127" s="28"/>
      <c r="EC127" s="28"/>
      <c r="ED127" s="28"/>
      <c r="EE127" s="28"/>
      <c r="EF127" s="28"/>
      <c r="EG127" s="28"/>
      <c r="EH127" s="28"/>
      <c r="EI127" s="28"/>
      <c r="EJ127" s="28"/>
      <c r="EK127" s="28"/>
      <c r="EL127" s="31"/>
      <c r="EM127" s="31"/>
      <c r="EN127" s="31"/>
      <c r="EO127" s="11"/>
      <c r="EP127" s="11"/>
      <c r="EQ127" s="11"/>
    </row>
    <row r="128" spans="1:147" s="92" customFormat="1" ht="15" customHeight="1" x14ac:dyDescent="0.25">
      <c r="A128" s="106" t="s">
        <v>568</v>
      </c>
      <c r="B128" s="134" t="s">
        <v>902</v>
      </c>
      <c r="C128" s="108" t="s">
        <v>570</v>
      </c>
      <c r="D128" s="107" t="s">
        <v>600</v>
      </c>
      <c r="E128" s="107" t="s">
        <v>46</v>
      </c>
      <c r="F128" s="118" t="s">
        <v>48</v>
      </c>
      <c r="G128" s="118">
        <v>16</v>
      </c>
      <c r="H128" s="118">
        <v>512</v>
      </c>
      <c r="I128" s="106"/>
      <c r="J128" s="109" t="s">
        <v>233</v>
      </c>
      <c r="K128" s="45">
        <v>3040.5714285714284</v>
      </c>
      <c r="L128" s="45">
        <v>5935.5646706211146</v>
      </c>
      <c r="M128" s="45">
        <v>152.75295757243828</v>
      </c>
      <c r="N128" s="45"/>
      <c r="O128" s="45"/>
      <c r="P128" s="45"/>
      <c r="Q128" s="45">
        <v>3.9330754928807228E-2</v>
      </c>
      <c r="R128" s="45">
        <v>6051.9409556404917</v>
      </c>
      <c r="S128" s="45"/>
      <c r="T128" s="45"/>
      <c r="U128" s="45"/>
      <c r="V128" s="45"/>
      <c r="W128" s="45"/>
      <c r="X128" s="45"/>
      <c r="Y128" s="45"/>
      <c r="Z128" s="45"/>
      <c r="AA128" s="45">
        <v>17144.795732609295</v>
      </c>
      <c r="AB128" s="45"/>
      <c r="AC128" s="45"/>
      <c r="AD128" s="45"/>
      <c r="AE128" s="45">
        <v>98.726384595519079</v>
      </c>
      <c r="AF128" s="45">
        <v>43758.664541423095</v>
      </c>
      <c r="AG128" s="45">
        <v>13632.749140884422</v>
      </c>
      <c r="AH128" s="45">
        <v>0.39118263460626113</v>
      </c>
      <c r="AI128" s="45"/>
      <c r="AJ128" s="45">
        <v>0.16131446247070425</v>
      </c>
      <c r="AK128" s="45"/>
      <c r="AL128" s="45">
        <v>1.4363628422530139</v>
      </c>
      <c r="AM128" s="45">
        <v>0.76722983711386739</v>
      </c>
      <c r="AN128" s="45"/>
      <c r="AO128" s="45">
        <v>14.87448498002626</v>
      </c>
      <c r="AP128" s="45">
        <v>1.4592808996895361</v>
      </c>
      <c r="AQ128" s="45">
        <v>0.24674745886941321</v>
      </c>
      <c r="AR128" s="45">
        <v>0.62580777063386961</v>
      </c>
      <c r="AS128" s="45">
        <v>13.212146930214905</v>
      </c>
      <c r="AT128" s="45">
        <v>3.7175845217077501E-2</v>
      </c>
      <c r="AU128" s="45">
        <v>0.43005099677037573</v>
      </c>
      <c r="AV128" s="45">
        <v>0.22071956365228995</v>
      </c>
      <c r="AW128" s="45"/>
      <c r="AX128" s="45">
        <v>0.82284576063046488</v>
      </c>
      <c r="AY128" s="45">
        <v>4.0289966096484997E-2</v>
      </c>
      <c r="AZ128" s="45">
        <v>2.6198096494856329</v>
      </c>
      <c r="BA128" s="45"/>
      <c r="BB128" s="45"/>
      <c r="BC128" s="45"/>
      <c r="BD128" s="45"/>
      <c r="BE128" s="45"/>
      <c r="BF128" s="45"/>
      <c r="BG128" s="45"/>
      <c r="BH128" s="45"/>
      <c r="BI128" s="45"/>
      <c r="BJ128" s="45"/>
      <c r="BK128" s="45"/>
      <c r="BL128" s="45"/>
      <c r="BM128" s="45"/>
      <c r="BN128" s="45"/>
      <c r="BO128" s="45"/>
      <c r="BP128" s="45">
        <v>0.1001916506167863</v>
      </c>
      <c r="BQ128" s="45">
        <v>1.4760701410392216</v>
      </c>
      <c r="BR128" s="45">
        <v>42.675638178420598</v>
      </c>
      <c r="BS128" s="45"/>
      <c r="BT128" s="45">
        <v>96.506754960252081</v>
      </c>
      <c r="BU128" s="45"/>
      <c r="BV128" s="45">
        <v>2909.9574523389088</v>
      </c>
      <c r="BW128" s="45">
        <v>117.50783250765276</v>
      </c>
      <c r="BX128" s="45"/>
      <c r="BY128" s="45">
        <v>43069.812718378125</v>
      </c>
      <c r="BZ128" s="45">
        <v>2469.4632488358784</v>
      </c>
      <c r="CA128" s="45">
        <v>164.20173548380131</v>
      </c>
      <c r="CB128" s="45">
        <v>837.99095473185253</v>
      </c>
      <c r="CC128" s="45">
        <v>95315.914365065764</v>
      </c>
      <c r="CD128" s="45">
        <v>175.55187294545985</v>
      </c>
      <c r="CE128" s="45">
        <v>11331.341470486424</v>
      </c>
      <c r="CF128" s="45">
        <v>5240.4804696775473</v>
      </c>
      <c r="CG128" s="45"/>
      <c r="CH128" s="45">
        <v>31.991928388155671</v>
      </c>
      <c r="CI128" s="45">
        <v>120.30927366702912</v>
      </c>
      <c r="CJ128" s="45">
        <v>6800.2452141145413</v>
      </c>
      <c r="CK128" s="45"/>
      <c r="CL128" s="45"/>
      <c r="CM128" s="45"/>
      <c r="CN128" s="45"/>
      <c r="CO128" s="45"/>
      <c r="CP128" s="45"/>
      <c r="CQ128" s="45"/>
      <c r="CR128" s="45"/>
      <c r="CS128" s="45"/>
      <c r="CT128" s="45"/>
      <c r="CU128" s="45"/>
      <c r="CV128" s="45"/>
      <c r="CW128" s="45"/>
      <c r="CX128" s="45"/>
      <c r="CY128" s="45"/>
      <c r="CZ128" s="45">
        <v>13.249693146832641</v>
      </c>
      <c r="DA128" s="45">
        <v>11.977344384831516</v>
      </c>
      <c r="DB128" s="45">
        <v>501982717.86962551</v>
      </c>
      <c r="DC128" s="45"/>
      <c r="DD128" s="45">
        <v>24098335.955617197</v>
      </c>
      <c r="DE128" s="45"/>
      <c r="DF128" s="45">
        <v>138856399.16970548</v>
      </c>
      <c r="DG128" s="45">
        <v>62349953.952843271</v>
      </c>
      <c r="DH128" s="45"/>
      <c r="DI128" s="45">
        <v>2226034486.3245492</v>
      </c>
      <c r="DJ128" s="45">
        <v>143567771.16227463</v>
      </c>
      <c r="DK128" s="45">
        <v>105648497.26490985</v>
      </c>
      <c r="DL128" s="45">
        <v>180586095.48959777</v>
      </c>
      <c r="DM128" s="45">
        <v>395571716.97087377</v>
      </c>
      <c r="DN128" s="45">
        <v>44652132.127600558</v>
      </c>
      <c r="DO128" s="45">
        <v>166426206.44660193</v>
      </c>
      <c r="DP128" s="45">
        <v>93950542.823855758</v>
      </c>
      <c r="DQ128" s="45"/>
      <c r="DR128" s="45">
        <v>113553822.71289875</v>
      </c>
      <c r="DS128" s="45">
        <v>22545122.529819693</v>
      </c>
      <c r="DT128" s="45">
        <v>985870165.57004166</v>
      </c>
      <c r="DU128" s="45"/>
      <c r="DV128" s="45"/>
      <c r="DW128" s="45"/>
      <c r="DX128" s="45"/>
      <c r="DY128" s="45"/>
      <c r="DZ128" s="45"/>
      <c r="EA128" s="45"/>
      <c r="EB128" s="45"/>
      <c r="EC128" s="45"/>
      <c r="ED128" s="45"/>
      <c r="EE128" s="45"/>
      <c r="EF128" s="45"/>
      <c r="EG128" s="45"/>
      <c r="EH128" s="45"/>
      <c r="EI128" s="45"/>
      <c r="EJ128" s="45">
        <v>76609237.747572809</v>
      </c>
      <c r="EK128" s="45">
        <v>28178071.256588072</v>
      </c>
      <c r="EL128" s="45">
        <v>7.0241287680728259</v>
      </c>
      <c r="EM128" s="45">
        <v>12.205090780530984</v>
      </c>
      <c r="EN128" s="45">
        <v>5.1813074311679088</v>
      </c>
      <c r="EO128" s="45"/>
      <c r="EP128" s="45"/>
      <c r="EQ128" s="45"/>
    </row>
    <row r="129" spans="1:147" s="92" customFormat="1" ht="15" customHeight="1" x14ac:dyDescent="0.25">
      <c r="A129" s="106" t="s">
        <v>569</v>
      </c>
      <c r="B129" s="134" t="s">
        <v>903</v>
      </c>
      <c r="C129" s="108" t="s">
        <v>571</v>
      </c>
      <c r="D129" s="107" t="s">
        <v>543</v>
      </c>
      <c r="E129" s="107" t="s">
        <v>46</v>
      </c>
      <c r="F129" s="118" t="s">
        <v>47</v>
      </c>
      <c r="G129" s="118">
        <v>16</v>
      </c>
      <c r="H129" s="118">
        <v>256</v>
      </c>
      <c r="I129" s="106"/>
      <c r="J129" s="109" t="s">
        <v>233</v>
      </c>
      <c r="K129" s="45">
        <v>4879.0953678474116</v>
      </c>
      <c r="L129" s="45">
        <v>4151.0018054560087</v>
      </c>
      <c r="M129" s="45">
        <v>87.385716581057821</v>
      </c>
      <c r="N129" s="45"/>
      <c r="O129" s="45"/>
      <c r="P129" s="45"/>
      <c r="Q129" s="45">
        <v>2.4621826684630688</v>
      </c>
      <c r="R129" s="45"/>
      <c r="S129" s="45"/>
      <c r="T129" s="45"/>
      <c r="U129" s="45"/>
      <c r="V129" s="45"/>
      <c r="W129" s="45"/>
      <c r="X129" s="45"/>
      <c r="Y129" s="45"/>
      <c r="Z129" s="45"/>
      <c r="AA129" s="45">
        <v>26047.500339697443</v>
      </c>
      <c r="AB129" s="45"/>
      <c r="AC129" s="45"/>
      <c r="AD129" s="45"/>
      <c r="AE129" s="45">
        <v>98.009235338188958</v>
      </c>
      <c r="AF129" s="45">
        <v>21927.666140914145</v>
      </c>
      <c r="AG129" s="45">
        <v>12776.543004751724</v>
      </c>
      <c r="AH129" s="45"/>
      <c r="AI129" s="45"/>
      <c r="AJ129" s="45">
        <v>0.21975218545784042</v>
      </c>
      <c r="AK129" s="45"/>
      <c r="AL129" s="45"/>
      <c r="AM129" s="45">
        <v>6.9586617741073706E-2</v>
      </c>
      <c r="AN129" s="45"/>
      <c r="AO129" s="45"/>
      <c r="AP129" s="45">
        <v>1.08519166326697</v>
      </c>
      <c r="AQ129" s="45">
        <v>0.27468712351439395</v>
      </c>
      <c r="AR129" s="45">
        <v>0.4429252552432778</v>
      </c>
      <c r="AS129" s="45">
        <v>5.6762872637726591</v>
      </c>
      <c r="AT129" s="45">
        <v>3.4822944757595529E-2</v>
      </c>
      <c r="AU129" s="45">
        <v>8.0059415412630702E-2</v>
      </c>
      <c r="AV129" s="45">
        <v>8.7329838550508215E-2</v>
      </c>
      <c r="AW129" s="45">
        <v>5.1368584980625437E-3</v>
      </c>
      <c r="AX129" s="45">
        <v>0.39983610477314696</v>
      </c>
      <c r="AY129" s="45">
        <v>3.6429044675557826E-2</v>
      </c>
      <c r="AZ129" s="45"/>
      <c r="BA129" s="45"/>
      <c r="BB129" s="45"/>
      <c r="BC129" s="45"/>
      <c r="BD129" s="45"/>
      <c r="BE129" s="45"/>
      <c r="BF129" s="45"/>
      <c r="BG129" s="45"/>
      <c r="BH129" s="45"/>
      <c r="BI129" s="45"/>
      <c r="BJ129" s="45"/>
      <c r="BK129" s="45"/>
      <c r="BL129" s="45"/>
      <c r="BM129" s="45"/>
      <c r="BN129" s="45"/>
      <c r="BO129" s="45"/>
      <c r="BP129" s="45">
        <v>4.5662881680534756E-2</v>
      </c>
      <c r="BQ129" s="45">
        <v>0.32487708226330891</v>
      </c>
      <c r="BR129" s="45"/>
      <c r="BS129" s="45"/>
      <c r="BT129" s="45">
        <v>109.59504756804945</v>
      </c>
      <c r="BU129" s="45"/>
      <c r="BV129" s="45"/>
      <c r="BW129" s="45">
        <v>50.591343179373858</v>
      </c>
      <c r="BX129" s="45"/>
      <c r="BY129" s="45"/>
      <c r="BZ129" s="45">
        <v>1902.4530907129831</v>
      </c>
      <c r="CA129" s="45">
        <v>6.7957198106450685</v>
      </c>
      <c r="CB129" s="45">
        <v>36.073629379255628</v>
      </c>
      <c r="CC129" s="45">
        <v>120832.00480643444</v>
      </c>
      <c r="CD129" s="45">
        <v>134.139243565448</v>
      </c>
      <c r="CE129" s="45">
        <v>1824.5927670348547</v>
      </c>
      <c r="CF129" s="45">
        <v>3003.9240131658953</v>
      </c>
      <c r="CG129" s="45">
        <v>0.14196006008687898</v>
      </c>
      <c r="CH129" s="45">
        <v>53.107823186946199</v>
      </c>
      <c r="CI129" s="45">
        <v>137.92196376482261</v>
      </c>
      <c r="CJ129" s="45"/>
      <c r="CK129" s="45"/>
      <c r="CL129" s="45"/>
      <c r="CM129" s="45"/>
      <c r="CN129" s="45"/>
      <c r="CO129" s="45"/>
      <c r="CP129" s="45"/>
      <c r="CQ129" s="45"/>
      <c r="CR129" s="45"/>
      <c r="CS129" s="45"/>
      <c r="CT129" s="45"/>
      <c r="CU129" s="45"/>
      <c r="CV129" s="45"/>
      <c r="CW129" s="45"/>
      <c r="CX129" s="45"/>
      <c r="CY129" s="45"/>
      <c r="CZ129" s="45">
        <v>13.29610225147724</v>
      </c>
      <c r="DA129" s="45">
        <v>12.525808178125374</v>
      </c>
      <c r="DB129" s="45"/>
      <c r="DC129" s="45"/>
      <c r="DD129" s="45">
        <v>26153161.442622952</v>
      </c>
      <c r="DE129" s="45"/>
      <c r="DF129" s="45"/>
      <c r="DG129" s="45">
        <v>26563452.861035421</v>
      </c>
      <c r="DH129" s="45"/>
      <c r="DI129" s="45"/>
      <c r="DJ129" s="45">
        <v>114949741.1147541</v>
      </c>
      <c r="DK129" s="45">
        <v>74746124.590163931</v>
      </c>
      <c r="DL129" s="45">
        <v>181029636.19672132</v>
      </c>
      <c r="DM129" s="45">
        <v>401516594.22343326</v>
      </c>
      <c r="DN129" s="45">
        <v>44138406.469945356</v>
      </c>
      <c r="DO129" s="45">
        <v>75973268.284153</v>
      </c>
      <c r="DP129" s="45">
        <v>98508867.147540987</v>
      </c>
      <c r="DQ129" s="45">
        <v>97843334.295081973</v>
      </c>
      <c r="DR129" s="45">
        <v>110214608.43715847</v>
      </c>
      <c r="DS129" s="45">
        <v>22752543.389645778</v>
      </c>
      <c r="DT129" s="45"/>
      <c r="DU129" s="45"/>
      <c r="DV129" s="45"/>
      <c r="DW129" s="45"/>
      <c r="DX129" s="45"/>
      <c r="DY129" s="45"/>
      <c r="DZ129" s="45"/>
      <c r="EA129" s="45"/>
      <c r="EB129" s="45"/>
      <c r="EC129" s="45"/>
      <c r="ED129" s="45"/>
      <c r="EE129" s="45"/>
      <c r="EF129" s="45"/>
      <c r="EG129" s="45"/>
      <c r="EH129" s="45"/>
      <c r="EI129" s="45"/>
      <c r="EJ129" s="45">
        <v>66784004.196721308</v>
      </c>
      <c r="EK129" s="45">
        <v>26473418.986376021</v>
      </c>
      <c r="EL129" s="45">
        <v>1.4460409308963373</v>
      </c>
      <c r="EM129" s="45">
        <v>2.4933428674264264</v>
      </c>
      <c r="EN129" s="45">
        <v>1.0469438304880514</v>
      </c>
      <c r="EO129" s="45"/>
      <c r="EP129" s="45"/>
      <c r="EQ129" s="45"/>
    </row>
    <row r="130" spans="1:147" s="92" customFormat="1" ht="15" customHeight="1" x14ac:dyDescent="0.25">
      <c r="A130" s="106" t="s">
        <v>572</v>
      </c>
      <c r="B130" s="134" t="s">
        <v>904</v>
      </c>
      <c r="C130" s="108" t="s">
        <v>573</v>
      </c>
      <c r="D130" s="107" t="s">
        <v>543</v>
      </c>
      <c r="E130" s="107" t="s">
        <v>46</v>
      </c>
      <c r="F130" s="118" t="s">
        <v>48</v>
      </c>
      <c r="G130" s="118">
        <v>16</v>
      </c>
      <c r="H130" s="118">
        <v>256</v>
      </c>
      <c r="I130" s="106"/>
      <c r="J130" s="109" t="s">
        <v>233</v>
      </c>
      <c r="K130" s="45">
        <v>3292.6574202496531</v>
      </c>
      <c r="L130" s="45">
        <v>10617.697564294325</v>
      </c>
      <c r="M130" s="45">
        <v>203.11870293267108</v>
      </c>
      <c r="N130" s="45"/>
      <c r="O130" s="45"/>
      <c r="P130" s="45"/>
      <c r="Q130" s="45">
        <v>4.0265036485830324E-2</v>
      </c>
      <c r="R130" s="45">
        <v>116030.46480473223</v>
      </c>
      <c r="S130" s="45"/>
      <c r="T130" s="45"/>
      <c r="U130" s="45"/>
      <c r="V130" s="45"/>
      <c r="W130" s="45"/>
      <c r="X130" s="45"/>
      <c r="Y130" s="45"/>
      <c r="Z130" s="45"/>
      <c r="AA130" s="45">
        <v>134851.7890457646</v>
      </c>
      <c r="AB130" s="45"/>
      <c r="AC130" s="45"/>
      <c r="AD130" s="45"/>
      <c r="AE130" s="45">
        <v>98.46076539253427</v>
      </c>
      <c r="AF130" s="45">
        <v>32789.315109660682</v>
      </c>
      <c r="AG130" s="45">
        <v>19509.849249449475</v>
      </c>
      <c r="AH130" s="45"/>
      <c r="AI130" s="45"/>
      <c r="AJ130" s="45">
        <v>0.1433080411049483</v>
      </c>
      <c r="AK130" s="45"/>
      <c r="AL130" s="45"/>
      <c r="AM130" s="45">
        <v>2.015054750133221</v>
      </c>
      <c r="AN130" s="45"/>
      <c r="AO130" s="45">
        <v>12.842252384342677</v>
      </c>
      <c r="AP130" s="45">
        <v>0.10479933214180305</v>
      </c>
      <c r="AQ130" s="45">
        <v>0.15726981260302933</v>
      </c>
      <c r="AR130" s="45">
        <v>0.4943819387535206</v>
      </c>
      <c r="AS130" s="45">
        <v>18.419586381056245</v>
      </c>
      <c r="AT130" s="45">
        <v>7.4702074743949215E-2</v>
      </c>
      <c r="AU130" s="45"/>
      <c r="AV130" s="45">
        <v>0.34692296801127226</v>
      </c>
      <c r="AW130" s="45">
        <v>0.12243867356178287</v>
      </c>
      <c r="AX130" s="45">
        <v>0.57264781797355324</v>
      </c>
      <c r="AY130" s="45">
        <v>6.1270553302367789E-2</v>
      </c>
      <c r="AZ130" s="45">
        <v>0.38962378243609047</v>
      </c>
      <c r="BA130" s="45"/>
      <c r="BB130" s="45"/>
      <c r="BC130" s="45"/>
      <c r="BD130" s="45"/>
      <c r="BE130" s="45"/>
      <c r="BF130" s="45">
        <v>7.0015599517583542</v>
      </c>
      <c r="BG130" s="45"/>
      <c r="BH130" s="45"/>
      <c r="BI130" s="45"/>
      <c r="BJ130" s="45"/>
      <c r="BK130" s="45"/>
      <c r="BL130" s="45"/>
      <c r="BM130" s="45"/>
      <c r="BN130" s="45"/>
      <c r="BO130" s="45"/>
      <c r="BP130" s="45">
        <v>0.11249100719718401</v>
      </c>
      <c r="BQ130" s="45">
        <v>0.67893488564289772</v>
      </c>
      <c r="BR130" s="45"/>
      <c r="BS130" s="45"/>
      <c r="BT130" s="45">
        <v>64.33259442745495</v>
      </c>
      <c r="BU130" s="45"/>
      <c r="BV130" s="45"/>
      <c r="BW130" s="45">
        <v>179.90335223492573</v>
      </c>
      <c r="BX130" s="45"/>
      <c r="BY130" s="45">
        <v>62857.314544000757</v>
      </c>
      <c r="BZ130" s="45">
        <v>764.26526919761397</v>
      </c>
      <c r="CA130" s="45">
        <v>996.75040997607732</v>
      </c>
      <c r="CB130" s="45">
        <v>78.719568863117971</v>
      </c>
      <c r="CC130" s="45">
        <v>252471.1890551094</v>
      </c>
      <c r="CD130" s="45">
        <v>104.65396207568459</v>
      </c>
      <c r="CE130" s="45"/>
      <c r="CF130" s="45">
        <v>5475.2866903525173</v>
      </c>
      <c r="CG130" s="45">
        <v>2227.2574672209535</v>
      </c>
      <c r="CH130" s="45">
        <v>33.876074182861181</v>
      </c>
      <c r="CI130" s="45">
        <v>127.31161877384669</v>
      </c>
      <c r="CJ130" s="45">
        <v>6422.2280991499047</v>
      </c>
      <c r="CK130" s="45"/>
      <c r="CL130" s="45"/>
      <c r="CM130" s="45"/>
      <c r="CN130" s="45"/>
      <c r="CO130" s="45"/>
      <c r="CP130" s="45">
        <v>175921.97317077129</v>
      </c>
      <c r="CQ130" s="45"/>
      <c r="CR130" s="45"/>
      <c r="CS130" s="45"/>
      <c r="CT130" s="45"/>
      <c r="CU130" s="45"/>
      <c r="CV130" s="45"/>
      <c r="CW130" s="45"/>
      <c r="CX130" s="45"/>
      <c r="CY130" s="45"/>
      <c r="CZ130" s="45">
        <v>13.252097314693582</v>
      </c>
      <c r="DA130" s="45">
        <v>13.787768749832432</v>
      </c>
      <c r="DB130" s="45"/>
      <c r="DC130" s="45"/>
      <c r="DD130" s="45">
        <v>22845425.797503468</v>
      </c>
      <c r="DE130" s="45"/>
      <c r="DF130" s="45">
        <v>99876864</v>
      </c>
      <c r="DG130" s="45">
        <v>49516259.950069346</v>
      </c>
      <c r="DH130" s="45"/>
      <c r="DI130" s="45">
        <v>1097062465.3314841</v>
      </c>
      <c r="DJ130" s="45">
        <v>134946708.06102636</v>
      </c>
      <c r="DK130" s="45">
        <v>91370187.805825248</v>
      </c>
      <c r="DL130" s="45">
        <v>165787639.47850209</v>
      </c>
      <c r="DM130" s="45">
        <v>408774033.93065184</v>
      </c>
      <c r="DN130" s="45">
        <v>43075853.847434118</v>
      </c>
      <c r="DO130" s="45"/>
      <c r="DP130" s="45">
        <v>92268796.804438278</v>
      </c>
      <c r="DQ130" s="45">
        <v>86946103.94701986</v>
      </c>
      <c r="DR130" s="45">
        <v>107962430.49098474</v>
      </c>
      <c r="DS130" s="45">
        <v>23231637.126213592</v>
      </c>
      <c r="DT130" s="45">
        <v>349735074.1583578</v>
      </c>
      <c r="DU130" s="45"/>
      <c r="DV130" s="45"/>
      <c r="DW130" s="45"/>
      <c r="DX130" s="45"/>
      <c r="DY130" s="45"/>
      <c r="DZ130" s="45">
        <v>167842729.36477116</v>
      </c>
      <c r="EA130" s="45"/>
      <c r="EB130" s="45"/>
      <c r="EC130" s="45"/>
      <c r="ED130" s="45"/>
      <c r="EE130" s="45"/>
      <c r="EF130" s="45"/>
      <c r="EG130" s="45"/>
      <c r="EH130" s="45"/>
      <c r="EI130" s="45"/>
      <c r="EJ130" s="45">
        <v>66768731.25104022</v>
      </c>
      <c r="EK130" s="45">
        <v>27525881.253814146</v>
      </c>
      <c r="EL130" s="45">
        <v>10.752296762826028</v>
      </c>
      <c r="EM130" s="45">
        <v>21.872115426574734</v>
      </c>
      <c r="EN130" s="45">
        <v>11.124347091013872</v>
      </c>
      <c r="EO130" s="45"/>
      <c r="EP130" s="45"/>
      <c r="EQ130" s="45"/>
    </row>
    <row r="131" spans="1:147" s="92" customFormat="1" ht="15" customHeight="1" x14ac:dyDescent="0.25">
      <c r="A131" s="106" t="s">
        <v>574</v>
      </c>
      <c r="B131" s="134" t="s">
        <v>905</v>
      </c>
      <c r="C131" s="108" t="s">
        <v>575</v>
      </c>
      <c r="D131" s="107" t="s">
        <v>596</v>
      </c>
      <c r="E131" s="107" t="s">
        <v>46</v>
      </c>
      <c r="F131" s="118" t="s">
        <v>196</v>
      </c>
      <c r="G131" s="118">
        <v>32</v>
      </c>
      <c r="H131" s="118">
        <v>512</v>
      </c>
      <c r="I131" s="106"/>
      <c r="J131" s="109" t="s">
        <v>233</v>
      </c>
      <c r="K131" s="45">
        <v>7665.6990291262136</v>
      </c>
      <c r="L131" s="45">
        <v>4282.2761223969492</v>
      </c>
      <c r="M131" s="45">
        <v>79.254339884437812</v>
      </c>
      <c r="N131" s="45"/>
      <c r="O131" s="45"/>
      <c r="P131" s="45"/>
      <c r="Q131" s="45"/>
      <c r="R131" s="45">
        <v>5106.0558200383794</v>
      </c>
      <c r="S131" s="45"/>
      <c r="T131" s="45"/>
      <c r="U131" s="45"/>
      <c r="V131" s="45"/>
      <c r="W131" s="45"/>
      <c r="X131" s="45"/>
      <c r="Y131" s="45"/>
      <c r="Z131" s="45"/>
      <c r="AA131" s="45"/>
      <c r="AB131" s="45"/>
      <c r="AC131" s="45"/>
      <c r="AD131" s="45">
        <v>53666.949568852004</v>
      </c>
      <c r="AE131" s="45">
        <v>99.317588701856963</v>
      </c>
      <c r="AF131" s="45">
        <v>40747.765089638073</v>
      </c>
      <c r="AG131" s="45">
        <v>11899.988276901871</v>
      </c>
      <c r="AH131" s="45">
        <v>1.84566147436827</v>
      </c>
      <c r="AI131" s="45"/>
      <c r="AJ131" s="45">
        <v>5.5120248019302973E-2</v>
      </c>
      <c r="AK131" s="45">
        <v>1.0853871288145793</v>
      </c>
      <c r="AL131" s="45"/>
      <c r="AM131" s="45">
        <v>0.7281600719949024</v>
      </c>
      <c r="AN131" s="45"/>
      <c r="AO131" s="45">
        <v>11.900665645061947</v>
      </c>
      <c r="AP131" s="45">
        <v>1.6819733973991204</v>
      </c>
      <c r="AQ131" s="45">
        <v>0.11544280582297915</v>
      </c>
      <c r="AR131" s="45">
        <v>0.51805978459263213</v>
      </c>
      <c r="AS131" s="45">
        <v>4.2440110803634683</v>
      </c>
      <c r="AT131" s="45">
        <v>4.7643109642290703E-2</v>
      </c>
      <c r="AU131" s="45">
        <v>0.18090555710809067</v>
      </c>
      <c r="AV131" s="45">
        <v>0.15695140078118086</v>
      </c>
      <c r="AW131" s="45">
        <v>1.8010782822078089E-2</v>
      </c>
      <c r="AX131" s="45">
        <v>0.35090386768777687</v>
      </c>
      <c r="AY131" s="45">
        <v>1.7142558422990138E-2</v>
      </c>
      <c r="AZ131" s="45">
        <v>0.40588509704323417</v>
      </c>
      <c r="BA131" s="45"/>
      <c r="BB131" s="45"/>
      <c r="BC131" s="45"/>
      <c r="BD131" s="45"/>
      <c r="BE131" s="45"/>
      <c r="BF131" s="45">
        <v>0.98905842628952523</v>
      </c>
      <c r="BG131" s="45"/>
      <c r="BH131" s="45"/>
      <c r="BI131" s="45"/>
      <c r="BJ131" s="45"/>
      <c r="BK131" s="45"/>
      <c r="BL131" s="45"/>
      <c r="BM131" s="45"/>
      <c r="BN131" s="45"/>
      <c r="BO131" s="45"/>
      <c r="BP131" s="45">
        <v>6.0608587631512258E-2</v>
      </c>
      <c r="BQ131" s="45">
        <v>0.78106219828084378</v>
      </c>
      <c r="BR131" s="45">
        <v>4487.1882684508955</v>
      </c>
      <c r="BS131" s="45"/>
      <c r="BT131" s="45">
        <v>105.26664272823521</v>
      </c>
      <c r="BU131" s="45">
        <v>14152.499972995487</v>
      </c>
      <c r="BV131" s="45"/>
      <c r="BW131" s="45">
        <v>100.37745259313654</v>
      </c>
      <c r="BX131" s="45"/>
      <c r="BY131" s="45">
        <v>20012.632875515279</v>
      </c>
      <c r="BZ131" s="45">
        <v>20033.474427380199</v>
      </c>
      <c r="CA131" s="45">
        <v>6.8785190853991836</v>
      </c>
      <c r="CB131" s="45">
        <v>441.39183791835904</v>
      </c>
      <c r="CC131" s="45">
        <v>359060.60953953874</v>
      </c>
      <c r="CD131" s="45">
        <v>252.4894048520402</v>
      </c>
      <c r="CE131" s="45">
        <v>12580.258199464181</v>
      </c>
      <c r="CF131" s="45">
        <v>4626.9894981717398</v>
      </c>
      <c r="CG131" s="45">
        <v>1418.8110461167882</v>
      </c>
      <c r="CH131" s="45">
        <v>23.502205785464408</v>
      </c>
      <c r="CI131" s="45">
        <v>116.04650254884135</v>
      </c>
      <c r="CJ131" s="45">
        <v>1349.133905952843</v>
      </c>
      <c r="CK131" s="45"/>
      <c r="CL131" s="45"/>
      <c r="CM131" s="45"/>
      <c r="CN131" s="45"/>
      <c r="CO131" s="45"/>
      <c r="CP131" s="45">
        <v>28643.901928775562</v>
      </c>
      <c r="CQ131" s="45"/>
      <c r="CR131" s="45"/>
      <c r="CS131" s="45"/>
      <c r="CT131" s="45"/>
      <c r="CU131" s="45"/>
      <c r="CV131" s="45"/>
      <c r="CW131" s="45"/>
      <c r="CX131" s="45"/>
      <c r="CY131" s="45"/>
      <c r="CZ131" s="45">
        <v>13.242416069588934</v>
      </c>
      <c r="DA131" s="45">
        <v>25.522982258759061</v>
      </c>
      <c r="DB131" s="45">
        <v>1423814638.9570041</v>
      </c>
      <c r="DC131" s="45"/>
      <c r="DD131" s="45">
        <v>23339201.153952844</v>
      </c>
      <c r="DE131" s="45">
        <v>831691254.7683773</v>
      </c>
      <c r="DF131" s="45"/>
      <c r="DG131" s="45">
        <v>57045202.196948685</v>
      </c>
      <c r="DH131" s="45"/>
      <c r="DI131" s="45">
        <v>2061485719.256588</v>
      </c>
      <c r="DJ131" s="45">
        <v>143233825.02080444</v>
      </c>
      <c r="DK131" s="45">
        <v>78176148.06102635</v>
      </c>
      <c r="DL131" s="45">
        <v>250323693.89181691</v>
      </c>
      <c r="DM131" s="45">
        <v>408212722.86269069</v>
      </c>
      <c r="DN131" s="45">
        <v>48508910.95700416</v>
      </c>
      <c r="DO131" s="45">
        <v>157430339.46185854</v>
      </c>
      <c r="DP131" s="45">
        <v>105763724.95977809</v>
      </c>
      <c r="DQ131" s="45">
        <v>96273031.633841887</v>
      </c>
      <c r="DR131" s="45">
        <v>115116460.91539529</v>
      </c>
      <c r="DS131" s="45">
        <v>21753208.366158113</v>
      </c>
      <c r="DT131" s="45">
        <v>697124406.67961168</v>
      </c>
      <c r="DU131" s="45"/>
      <c r="DV131" s="45"/>
      <c r="DW131" s="45"/>
      <c r="DX131" s="45"/>
      <c r="DY131" s="45"/>
      <c r="DZ131" s="45">
        <v>226394634.6518724</v>
      </c>
      <c r="EA131" s="45"/>
      <c r="EB131" s="45"/>
      <c r="EC131" s="45"/>
      <c r="ED131" s="45"/>
      <c r="EE131" s="45"/>
      <c r="EF131" s="45"/>
      <c r="EG131" s="45"/>
      <c r="EH131" s="45"/>
      <c r="EI131" s="45"/>
      <c r="EJ131" s="45">
        <v>64335139.151178919</v>
      </c>
      <c r="EK131" s="45">
        <v>26817608.432732318</v>
      </c>
      <c r="EL131" s="45">
        <v>6.2572234380671965</v>
      </c>
      <c r="EM131" s="45">
        <v>11.151793557943446</v>
      </c>
      <c r="EN131" s="45">
        <v>4.8885763593974314</v>
      </c>
      <c r="EO131" s="45"/>
      <c r="EP131" s="45"/>
      <c r="EQ131" s="45"/>
    </row>
    <row r="132" spans="1:147" s="92" customFormat="1" ht="15" customHeight="1" x14ac:dyDescent="0.25">
      <c r="A132" s="106" t="s">
        <v>576</v>
      </c>
      <c r="B132" s="134" t="s">
        <v>906</v>
      </c>
      <c r="C132" s="108" t="s">
        <v>577</v>
      </c>
      <c r="D132" s="107" t="s">
        <v>601</v>
      </c>
      <c r="E132" s="107" t="s">
        <v>46</v>
      </c>
      <c r="F132" s="118" t="s">
        <v>196</v>
      </c>
      <c r="G132" s="118">
        <v>32</v>
      </c>
      <c r="H132" s="118">
        <v>512</v>
      </c>
      <c r="I132" s="106"/>
      <c r="J132" s="109" t="s">
        <v>233</v>
      </c>
      <c r="K132" s="45">
        <v>17495.431876606683</v>
      </c>
      <c r="L132" s="45">
        <v>19020.722581558137</v>
      </c>
      <c r="M132" s="45">
        <v>530.80516317354989</v>
      </c>
      <c r="N132" s="45"/>
      <c r="O132" s="45"/>
      <c r="P132" s="45"/>
      <c r="Q132" s="45"/>
      <c r="R132" s="45"/>
      <c r="S132" s="45"/>
      <c r="T132" s="45"/>
      <c r="U132" s="45"/>
      <c r="V132" s="45"/>
      <c r="W132" s="45"/>
      <c r="X132" s="45"/>
      <c r="Y132" s="45"/>
      <c r="Z132" s="45"/>
      <c r="AA132" s="45">
        <v>433587.60852755076</v>
      </c>
      <c r="AB132" s="45"/>
      <c r="AC132" s="45"/>
      <c r="AD132" s="45"/>
      <c r="AE132" s="45">
        <v>97.858990242068529</v>
      </c>
      <c r="AF132" s="45">
        <v>42874.951388373738</v>
      </c>
      <c r="AG132" s="45">
        <v>25119.725069657543</v>
      </c>
      <c r="AH132" s="45"/>
      <c r="AI132" s="45"/>
      <c r="AJ132" s="45">
        <v>3.4593296897260629E-2</v>
      </c>
      <c r="AK132" s="45"/>
      <c r="AL132" s="45"/>
      <c r="AM132" s="45">
        <v>7.7175432663153298E-2</v>
      </c>
      <c r="AN132" s="45"/>
      <c r="AO132" s="45"/>
      <c r="AP132" s="45">
        <v>2.6047438406943204E-2</v>
      </c>
      <c r="AQ132" s="45">
        <v>7.7365712280825366E-2</v>
      </c>
      <c r="AR132" s="45">
        <v>0.28923869070642144</v>
      </c>
      <c r="AS132" s="45">
        <v>6.497619485098582</v>
      </c>
      <c r="AT132" s="45">
        <v>4.8562380771940375E-2</v>
      </c>
      <c r="AU132" s="45">
        <v>0.12540496314888544</v>
      </c>
      <c r="AV132" s="45"/>
      <c r="AW132" s="45"/>
      <c r="AX132" s="45"/>
      <c r="AY132" s="45"/>
      <c r="AZ132" s="45"/>
      <c r="BA132" s="45"/>
      <c r="BB132" s="45"/>
      <c r="BC132" s="45"/>
      <c r="BD132" s="45"/>
      <c r="BE132" s="45"/>
      <c r="BF132" s="45"/>
      <c r="BG132" s="45"/>
      <c r="BH132" s="45"/>
      <c r="BI132" s="45"/>
      <c r="BJ132" s="45"/>
      <c r="BK132" s="45"/>
      <c r="BL132" s="45"/>
      <c r="BM132" s="45"/>
      <c r="BN132" s="45"/>
      <c r="BO132" s="45"/>
      <c r="BP132" s="45">
        <v>6.8541209456373292E-2</v>
      </c>
      <c r="BQ132" s="45"/>
      <c r="BR132" s="45"/>
      <c r="BS132" s="45"/>
      <c r="BT132" s="45">
        <v>103.31200861515102</v>
      </c>
      <c r="BU132" s="45"/>
      <c r="BV132" s="45"/>
      <c r="BW132" s="45">
        <v>51.043613187851925</v>
      </c>
      <c r="BX132" s="45"/>
      <c r="BY132" s="45"/>
      <c r="BZ132" s="45">
        <v>1478.2294008454157</v>
      </c>
      <c r="CA132" s="45">
        <v>0</v>
      </c>
      <c r="CB132" s="45">
        <v>0.24024221952418737</v>
      </c>
      <c r="CC132" s="45">
        <v>573741.88498000673</v>
      </c>
      <c r="CD132" s="45">
        <v>81.340710772944419</v>
      </c>
      <c r="CE132" s="45">
        <v>33296.150791635715</v>
      </c>
      <c r="CF132" s="45"/>
      <c r="CG132" s="45"/>
      <c r="CH132" s="45"/>
      <c r="CI132" s="45"/>
      <c r="CJ132" s="45"/>
      <c r="CK132" s="45"/>
      <c r="CL132" s="45"/>
      <c r="CM132" s="45"/>
      <c r="CN132" s="45"/>
      <c r="CO132" s="45"/>
      <c r="CP132" s="45"/>
      <c r="CQ132" s="45"/>
      <c r="CR132" s="45"/>
      <c r="CS132" s="45"/>
      <c r="CT132" s="45"/>
      <c r="CU132" s="45"/>
      <c r="CV132" s="45"/>
      <c r="CW132" s="45"/>
      <c r="CX132" s="45"/>
      <c r="CY132" s="45"/>
      <c r="CZ132" s="45">
        <v>32.334464629317033</v>
      </c>
      <c r="DA132" s="45"/>
      <c r="DB132" s="45"/>
      <c r="DC132" s="45"/>
      <c r="DD132" s="45">
        <v>19285715.907455012</v>
      </c>
      <c r="DE132" s="45"/>
      <c r="DF132" s="45"/>
      <c r="DG132" s="45">
        <v>16628042.666666666</v>
      </c>
      <c r="DH132" s="45"/>
      <c r="DI132" s="45"/>
      <c r="DJ132" s="45">
        <v>108516286.19023137</v>
      </c>
      <c r="DK132" s="45">
        <v>63974213.100257069</v>
      </c>
      <c r="DL132" s="45">
        <v>132596122.65295629</v>
      </c>
      <c r="DM132" s="45">
        <v>469626922.11825192</v>
      </c>
      <c r="DN132" s="45">
        <v>46643752.802056558</v>
      </c>
      <c r="DO132" s="45">
        <v>60732108.010282777</v>
      </c>
      <c r="DP132" s="45"/>
      <c r="DQ132" s="45"/>
      <c r="DR132" s="45"/>
      <c r="DS132" s="45"/>
      <c r="DT132" s="45"/>
      <c r="DU132" s="45"/>
      <c r="DV132" s="45"/>
      <c r="DW132" s="45"/>
      <c r="DX132" s="45"/>
      <c r="DY132" s="45"/>
      <c r="DZ132" s="45"/>
      <c r="EA132" s="45"/>
      <c r="EB132" s="45"/>
      <c r="EC132" s="45"/>
      <c r="ED132" s="45"/>
      <c r="EE132" s="45"/>
      <c r="EF132" s="45"/>
      <c r="EG132" s="45"/>
      <c r="EH132" s="45"/>
      <c r="EI132" s="45"/>
      <c r="EJ132" s="45">
        <v>64549264.931216933</v>
      </c>
      <c r="EK132" s="45"/>
      <c r="EL132" s="45">
        <v>5.6393748089086859</v>
      </c>
      <c r="EM132" s="45">
        <v>12.760462766555762</v>
      </c>
      <c r="EN132" s="45">
        <v>7.1196135416678201</v>
      </c>
      <c r="EO132" s="45"/>
      <c r="EP132" s="45"/>
      <c r="EQ132" s="45"/>
    </row>
    <row r="133" spans="1:147" s="92" customFormat="1" ht="15" customHeight="1" x14ac:dyDescent="0.25">
      <c r="A133" s="106" t="s">
        <v>578</v>
      </c>
      <c r="B133" s="134" t="s">
        <v>907</v>
      </c>
      <c r="C133" s="108" t="s">
        <v>579</v>
      </c>
      <c r="D133" s="107" t="s">
        <v>601</v>
      </c>
      <c r="E133" s="107" t="s">
        <v>46</v>
      </c>
      <c r="F133" s="118" t="s">
        <v>48</v>
      </c>
      <c r="G133" s="118">
        <v>16</v>
      </c>
      <c r="H133" s="118">
        <v>512</v>
      </c>
      <c r="I133" s="106"/>
      <c r="J133" s="109" t="s">
        <v>233</v>
      </c>
      <c r="K133" s="45">
        <v>2844.8280166435507</v>
      </c>
      <c r="L133" s="45">
        <v>6378.0358566320319</v>
      </c>
      <c r="M133" s="45">
        <v>451.41344405634658</v>
      </c>
      <c r="N133" s="45"/>
      <c r="O133" s="45"/>
      <c r="P133" s="45"/>
      <c r="Q133" s="45">
        <v>0.36158399775489669</v>
      </c>
      <c r="R133" s="45">
        <v>4876.9250002861645</v>
      </c>
      <c r="S133" s="45"/>
      <c r="T133" s="45"/>
      <c r="U133" s="45"/>
      <c r="V133" s="45"/>
      <c r="W133" s="45"/>
      <c r="X133" s="45"/>
      <c r="Y133" s="45"/>
      <c r="Z133" s="45"/>
      <c r="AA133" s="45">
        <v>30596.539479719097</v>
      </c>
      <c r="AB133" s="45"/>
      <c r="AC133" s="45"/>
      <c r="AD133" s="45"/>
      <c r="AE133" s="45">
        <v>98.229611875294964</v>
      </c>
      <c r="AF133" s="45">
        <v>52585.069474426215</v>
      </c>
      <c r="AG133" s="45">
        <v>22009.238369558105</v>
      </c>
      <c r="AH133" s="45">
        <v>0.5796727483016022</v>
      </c>
      <c r="AI133" s="45"/>
      <c r="AJ133" s="45">
        <v>0.13827192807743052</v>
      </c>
      <c r="AK133" s="45"/>
      <c r="AL133" s="45"/>
      <c r="AM133" s="45">
        <v>0.71042188499319492</v>
      </c>
      <c r="AN133" s="45"/>
      <c r="AO133" s="45">
        <v>17.201061342717654</v>
      </c>
      <c r="AP133" s="45">
        <v>1.5171326183056093</v>
      </c>
      <c r="AQ133" s="45">
        <v>0.21617256815724981</v>
      </c>
      <c r="AR133" s="45">
        <v>0.60305196887059154</v>
      </c>
      <c r="AS133" s="45">
        <v>13.561598262455419</v>
      </c>
      <c r="AT133" s="45">
        <v>4.9328970839065713E-2</v>
      </c>
      <c r="AU133" s="45">
        <v>1.467882043766022</v>
      </c>
      <c r="AV133" s="45">
        <v>0.59454452867877694</v>
      </c>
      <c r="AW133" s="45"/>
      <c r="AX133" s="45">
        <v>0.78038860318449588</v>
      </c>
      <c r="AY133" s="45">
        <v>4.3170023208136517E-2</v>
      </c>
      <c r="AZ133" s="45">
        <v>1.2831366239938908</v>
      </c>
      <c r="BA133" s="45"/>
      <c r="BB133" s="45"/>
      <c r="BC133" s="45"/>
      <c r="BD133" s="45"/>
      <c r="BE133" s="45"/>
      <c r="BF133" s="45">
        <v>0.90783001729118362</v>
      </c>
      <c r="BG133" s="45"/>
      <c r="BH133" s="45"/>
      <c r="BI133" s="45"/>
      <c r="BJ133" s="45"/>
      <c r="BK133" s="45"/>
      <c r="BL133" s="45"/>
      <c r="BM133" s="45"/>
      <c r="BN133" s="45"/>
      <c r="BO133" s="45"/>
      <c r="BP133" s="45">
        <v>0.11361340071904798</v>
      </c>
      <c r="BQ133" s="45">
        <v>0.53474029300567405</v>
      </c>
      <c r="BR133" s="45">
        <v>459.3071273388606</v>
      </c>
      <c r="BS133" s="45"/>
      <c r="BT133" s="45">
        <v>93.565139188306887</v>
      </c>
      <c r="BU133" s="45"/>
      <c r="BV133" s="45"/>
      <c r="BW133" s="45">
        <v>2595.5633557026008</v>
      </c>
      <c r="BX133" s="45"/>
      <c r="BY133" s="45">
        <v>14503.257419755584</v>
      </c>
      <c r="BZ133" s="45">
        <v>2132.8237767705536</v>
      </c>
      <c r="CA133" s="45">
        <v>6.8913231166453484</v>
      </c>
      <c r="CB133" s="45">
        <v>35.355769931346714</v>
      </c>
      <c r="CC133" s="45">
        <v>590458.94225910073</v>
      </c>
      <c r="CD133" s="45">
        <v>83.193180095830684</v>
      </c>
      <c r="CE133" s="45">
        <v>51911.067667840594</v>
      </c>
      <c r="CF133" s="45">
        <v>6361.7681226885206</v>
      </c>
      <c r="CG133" s="45"/>
      <c r="CH133" s="45">
        <v>23.555414812547223</v>
      </c>
      <c r="CI133" s="45">
        <v>115.32402328760895</v>
      </c>
      <c r="CJ133" s="45">
        <v>208.48150253652571</v>
      </c>
      <c r="CK133" s="45"/>
      <c r="CL133" s="45"/>
      <c r="CM133" s="45"/>
      <c r="CN133" s="45"/>
      <c r="CO133" s="45"/>
      <c r="CP133" s="45">
        <v>23518.546684786535</v>
      </c>
      <c r="CQ133" s="45"/>
      <c r="CR133" s="45"/>
      <c r="CS133" s="45"/>
      <c r="CT133" s="45"/>
      <c r="CU133" s="45"/>
      <c r="CV133" s="45"/>
      <c r="CW133" s="45"/>
      <c r="CX133" s="45"/>
      <c r="CY133" s="45"/>
      <c r="CZ133" s="45">
        <v>13.333336819276795</v>
      </c>
      <c r="DA133" s="45">
        <v>12.45898822202046</v>
      </c>
      <c r="DB133" s="45">
        <v>560492748.51595008</v>
      </c>
      <c r="DC133" s="45"/>
      <c r="DD133" s="45">
        <v>23619615.245492373</v>
      </c>
      <c r="DE133" s="45"/>
      <c r="DF133" s="45"/>
      <c r="DG133" s="45">
        <v>62129735.722607486</v>
      </c>
      <c r="DH133" s="45"/>
      <c r="DI133" s="45">
        <v>1653492180.6823857</v>
      </c>
      <c r="DJ133" s="45">
        <v>162148181.5700416</v>
      </c>
      <c r="DK133" s="45">
        <v>70684109.581137314</v>
      </c>
      <c r="DL133" s="45">
        <v>158219123.39528432</v>
      </c>
      <c r="DM133" s="45">
        <v>389751630.46879333</v>
      </c>
      <c r="DN133" s="45">
        <v>46153977.963938974</v>
      </c>
      <c r="DO133" s="45">
        <v>213061183.20110956</v>
      </c>
      <c r="DP133" s="45">
        <v>98568223.245492369</v>
      </c>
      <c r="DQ133" s="45"/>
      <c r="DR133" s="45">
        <v>117314990.33564493</v>
      </c>
      <c r="DS133" s="45">
        <v>22707479.789181691</v>
      </c>
      <c r="DT133" s="45">
        <v>768077602.44105411</v>
      </c>
      <c r="DU133" s="45"/>
      <c r="DV133" s="45"/>
      <c r="DW133" s="45"/>
      <c r="DX133" s="45"/>
      <c r="DY133" s="45"/>
      <c r="DZ133" s="45">
        <v>82975578.100558653</v>
      </c>
      <c r="EA133" s="45"/>
      <c r="EB133" s="45"/>
      <c r="EC133" s="45"/>
      <c r="ED133" s="45"/>
      <c r="EE133" s="45"/>
      <c r="EF133" s="45"/>
      <c r="EG133" s="45"/>
      <c r="EH133" s="45"/>
      <c r="EI133" s="45"/>
      <c r="EJ133" s="45">
        <v>66463349.170596391</v>
      </c>
      <c r="EK133" s="45">
        <v>28558300.493758667</v>
      </c>
      <c r="EL133" s="45">
        <v>10.671854214774653</v>
      </c>
      <c r="EM133" s="45">
        <v>17.916301421801943</v>
      </c>
      <c r="EN133" s="45">
        <v>7.2362374379688994</v>
      </c>
      <c r="EO133" s="45"/>
      <c r="EP133" s="45"/>
      <c r="EQ133" s="45"/>
    </row>
    <row r="134" spans="1:147" s="92" customFormat="1" ht="15" customHeight="1" x14ac:dyDescent="0.25">
      <c r="A134" s="106" t="s">
        <v>580</v>
      </c>
      <c r="B134" s="134" t="s">
        <v>908</v>
      </c>
      <c r="C134" s="108" t="s">
        <v>581</v>
      </c>
      <c r="D134" s="107" t="s">
        <v>543</v>
      </c>
      <c r="E134" s="107" t="s">
        <v>46</v>
      </c>
      <c r="F134" s="118" t="s">
        <v>47</v>
      </c>
      <c r="G134" s="118">
        <v>16</v>
      </c>
      <c r="H134" s="118">
        <v>256</v>
      </c>
      <c r="I134" s="106"/>
      <c r="J134" s="109" t="s">
        <v>233</v>
      </c>
      <c r="K134" s="45">
        <v>3224.7961165048546</v>
      </c>
      <c r="L134" s="45">
        <v>12645.16212611471</v>
      </c>
      <c r="M134" s="45">
        <v>536.50160953884256</v>
      </c>
      <c r="N134" s="45"/>
      <c r="O134" s="45"/>
      <c r="P134" s="45"/>
      <c r="Q134" s="45">
        <v>4.0288331660261703E-2</v>
      </c>
      <c r="R134" s="45">
        <v>40428.302029854894</v>
      </c>
      <c r="S134" s="45"/>
      <c r="T134" s="45"/>
      <c r="U134" s="45"/>
      <c r="V134" s="45"/>
      <c r="W134" s="45"/>
      <c r="X134" s="45"/>
      <c r="Y134" s="45"/>
      <c r="Z134" s="45"/>
      <c r="AA134" s="45">
        <v>64232.336888346937</v>
      </c>
      <c r="AB134" s="45"/>
      <c r="AC134" s="45"/>
      <c r="AD134" s="45"/>
      <c r="AE134" s="45">
        <v>97.180314543711347</v>
      </c>
      <c r="AF134" s="45">
        <v>28958.528469650701</v>
      </c>
      <c r="AG134" s="45">
        <v>23760.779843942692</v>
      </c>
      <c r="AH134" s="45">
        <v>9.6038578811937558</v>
      </c>
      <c r="AI134" s="45"/>
      <c r="AJ134" s="45">
        <v>0.20355842115571277</v>
      </c>
      <c r="AK134" s="45"/>
      <c r="AL134" s="45">
        <v>4.3311144264645245</v>
      </c>
      <c r="AM134" s="45">
        <v>0.46709077971857638</v>
      </c>
      <c r="AN134" s="45"/>
      <c r="AO134" s="45">
        <v>10.758678341601291</v>
      </c>
      <c r="AP134" s="45">
        <v>1.7259941609489229</v>
      </c>
      <c r="AQ134" s="45">
        <v>0.2550610135212375</v>
      </c>
      <c r="AR134" s="45">
        <v>0.42180587107194201</v>
      </c>
      <c r="AS134" s="45">
        <v>7.2492334060070274</v>
      </c>
      <c r="AT134" s="45">
        <v>7.1938223823283728E-2</v>
      </c>
      <c r="AU134" s="45">
        <v>0.19615861432394976</v>
      </c>
      <c r="AV134" s="45">
        <v>0.48199621758345812</v>
      </c>
      <c r="AW134" s="45"/>
      <c r="AX134" s="45"/>
      <c r="AY134" s="45">
        <v>3.2328720615347875E-2</v>
      </c>
      <c r="AZ134" s="45"/>
      <c r="BA134" s="45"/>
      <c r="BB134" s="45"/>
      <c r="BC134" s="45"/>
      <c r="BD134" s="45"/>
      <c r="BE134" s="45"/>
      <c r="BF134" s="45"/>
      <c r="BG134" s="45"/>
      <c r="BH134" s="45"/>
      <c r="BI134" s="45"/>
      <c r="BJ134" s="45"/>
      <c r="BK134" s="45"/>
      <c r="BL134" s="45"/>
      <c r="BM134" s="45"/>
      <c r="BN134" s="45"/>
      <c r="BO134" s="45"/>
      <c r="BP134" s="45">
        <v>4.7670231924811804E-2</v>
      </c>
      <c r="BQ134" s="45">
        <v>0.32117477126375527</v>
      </c>
      <c r="BR134" s="45">
        <v>292537.08722448733</v>
      </c>
      <c r="BS134" s="45"/>
      <c r="BT134" s="45">
        <v>105.27122259855757</v>
      </c>
      <c r="BU134" s="45"/>
      <c r="BV134" s="45">
        <v>16586.892078602246</v>
      </c>
      <c r="BW134" s="45">
        <v>93.875716157219458</v>
      </c>
      <c r="BX134" s="45"/>
      <c r="BY134" s="45">
        <v>140981.53501734955</v>
      </c>
      <c r="BZ134" s="45">
        <v>2851.9949012260176</v>
      </c>
      <c r="CA134" s="45">
        <v>6.8917308480831201</v>
      </c>
      <c r="CB134" s="45">
        <v>43.522544661911184</v>
      </c>
      <c r="CC134" s="45">
        <v>254910.06103651813</v>
      </c>
      <c r="CD134" s="45">
        <v>103.49081118345347</v>
      </c>
      <c r="CE134" s="45">
        <v>6485.1776736269057</v>
      </c>
      <c r="CF134" s="45">
        <v>6647.5508526523508</v>
      </c>
      <c r="CG134" s="45"/>
      <c r="CH134" s="45"/>
      <c r="CI134" s="45">
        <v>721.02288523185541</v>
      </c>
      <c r="CJ134" s="45"/>
      <c r="CK134" s="45"/>
      <c r="CL134" s="45"/>
      <c r="CM134" s="45"/>
      <c r="CN134" s="45"/>
      <c r="CO134" s="45"/>
      <c r="CP134" s="45"/>
      <c r="CQ134" s="45"/>
      <c r="CR134" s="45"/>
      <c r="CS134" s="45"/>
      <c r="CT134" s="45"/>
      <c r="CU134" s="45"/>
      <c r="CV134" s="45"/>
      <c r="CW134" s="45"/>
      <c r="CX134" s="45"/>
      <c r="CY134" s="45"/>
      <c r="CZ134" s="45">
        <v>13.227890639820593</v>
      </c>
      <c r="DA134" s="45">
        <v>20.773907838803066</v>
      </c>
      <c r="DB134" s="45">
        <v>457027584</v>
      </c>
      <c r="DC134" s="45"/>
      <c r="DD134" s="45">
        <v>24402615.922330096</v>
      </c>
      <c r="DE134" s="45"/>
      <c r="DF134" s="45">
        <v>102193561.59999999</v>
      </c>
      <c r="DG134" s="45">
        <v>148901922.08599168</v>
      </c>
      <c r="DH134" s="45"/>
      <c r="DI134" s="45">
        <v>1344060854.8571429</v>
      </c>
      <c r="DJ134" s="45">
        <v>206895544.27739251</v>
      </c>
      <c r="DK134" s="45">
        <v>73215403.495145634</v>
      </c>
      <c r="DL134" s="45">
        <v>185424925.82524273</v>
      </c>
      <c r="DM134" s="45">
        <v>446584482.61858529</v>
      </c>
      <c r="DN134" s="45">
        <v>42355327.112343967</v>
      </c>
      <c r="DO134" s="45">
        <v>127766385.97503467</v>
      </c>
      <c r="DP134" s="45">
        <v>103898028.20527045</v>
      </c>
      <c r="DQ134" s="45"/>
      <c r="DR134" s="45"/>
      <c r="DS134" s="45">
        <v>24077259.450762831</v>
      </c>
      <c r="DT134" s="45"/>
      <c r="DU134" s="45"/>
      <c r="DV134" s="45"/>
      <c r="DW134" s="45"/>
      <c r="DX134" s="45"/>
      <c r="DY134" s="45"/>
      <c r="DZ134" s="45"/>
      <c r="EA134" s="45"/>
      <c r="EB134" s="45"/>
      <c r="EC134" s="45"/>
      <c r="ED134" s="45"/>
      <c r="EE134" s="45"/>
      <c r="EF134" s="45"/>
      <c r="EG134" s="45"/>
      <c r="EH134" s="45"/>
      <c r="EI134" s="45"/>
      <c r="EJ134" s="45">
        <v>65957325.581137307</v>
      </c>
      <c r="EK134" s="45">
        <v>29372694.368932039</v>
      </c>
      <c r="EL134" s="45">
        <v>2.8928837194767771</v>
      </c>
      <c r="EM134" s="45">
        <v>6.3281197638883784</v>
      </c>
      <c r="EN134" s="45">
        <v>3.4348873252466636</v>
      </c>
      <c r="EO134" s="45"/>
      <c r="EP134" s="45"/>
      <c r="EQ134" s="45"/>
    </row>
    <row r="135" spans="1:147" s="92" customFormat="1" ht="15" customHeight="1" x14ac:dyDescent="0.25">
      <c r="A135" s="106" t="s">
        <v>582</v>
      </c>
      <c r="B135" s="134" t="s">
        <v>598</v>
      </c>
      <c r="C135" s="108" t="s">
        <v>583</v>
      </c>
      <c r="D135" s="107" t="s">
        <v>543</v>
      </c>
      <c r="E135" s="107" t="s">
        <v>46</v>
      </c>
      <c r="F135" s="118" t="s">
        <v>196</v>
      </c>
      <c r="G135" s="118">
        <v>32</v>
      </c>
      <c r="H135" s="118">
        <v>512</v>
      </c>
      <c r="I135" s="106"/>
      <c r="J135" s="109" t="s">
        <v>233</v>
      </c>
      <c r="K135" s="45">
        <v>12890.804438280167</v>
      </c>
      <c r="L135" s="45">
        <v>9801.2827650960644</v>
      </c>
      <c r="M135" s="45">
        <v>285.04958486268146</v>
      </c>
      <c r="N135" s="45"/>
      <c r="O135" s="45"/>
      <c r="P135" s="45"/>
      <c r="Q135" s="45"/>
      <c r="R135" s="45">
        <v>26310.664978198107</v>
      </c>
      <c r="S135" s="45"/>
      <c r="T135" s="45"/>
      <c r="U135" s="45"/>
      <c r="V135" s="45"/>
      <c r="W135" s="45"/>
      <c r="X135" s="45"/>
      <c r="Y135" s="45"/>
      <c r="Z135" s="45"/>
      <c r="AA135" s="45"/>
      <c r="AB135" s="45"/>
      <c r="AC135" s="45"/>
      <c r="AD135" s="45">
        <v>43415.457939224259</v>
      </c>
      <c r="AE135" s="45">
        <v>98.485480122638592</v>
      </c>
      <c r="AF135" s="45">
        <v>40229.013411129214</v>
      </c>
      <c r="AG135" s="45">
        <v>28714.053711179255</v>
      </c>
      <c r="AH135" s="45"/>
      <c r="AI135" s="45"/>
      <c r="AJ135" s="45">
        <v>3.754984153966355E-2</v>
      </c>
      <c r="AK135" s="45"/>
      <c r="AL135" s="45">
        <v>1.3665936622672843</v>
      </c>
      <c r="AM135" s="45">
        <v>0.6000451929724735</v>
      </c>
      <c r="AN135" s="45"/>
      <c r="AO135" s="45">
        <v>10.130745649062694</v>
      </c>
      <c r="AP135" s="45">
        <v>0.72405511989192051</v>
      </c>
      <c r="AQ135" s="45">
        <v>6.3131755266227232E-2</v>
      </c>
      <c r="AR135" s="45">
        <v>0.31618144030455703</v>
      </c>
      <c r="AS135" s="45">
        <v>6.1041136058919037</v>
      </c>
      <c r="AT135" s="45">
        <v>3.3134429236837841E-2</v>
      </c>
      <c r="AU135" s="45">
        <v>1.0489140086675113</v>
      </c>
      <c r="AV135" s="45">
        <v>0.19693866409911134</v>
      </c>
      <c r="AW135" s="45">
        <v>0.2817739536188591</v>
      </c>
      <c r="AX135" s="45">
        <v>0.44867489669910743</v>
      </c>
      <c r="AY135" s="45">
        <v>1.0417536294421549E-2</v>
      </c>
      <c r="AZ135" s="45">
        <v>1.7260571621555016</v>
      </c>
      <c r="BA135" s="45"/>
      <c r="BB135" s="45"/>
      <c r="BC135" s="45"/>
      <c r="BD135" s="45"/>
      <c r="BE135" s="45"/>
      <c r="BF135" s="45"/>
      <c r="BG135" s="45"/>
      <c r="BH135" s="45"/>
      <c r="BI135" s="45"/>
      <c r="BJ135" s="45"/>
      <c r="BK135" s="45"/>
      <c r="BL135" s="45"/>
      <c r="BM135" s="45"/>
      <c r="BN135" s="45"/>
      <c r="BO135" s="45"/>
      <c r="BP135" s="45">
        <v>3.1523803089567148E-2</v>
      </c>
      <c r="BQ135" s="45">
        <v>0.39855206009142435</v>
      </c>
      <c r="BR135" s="45"/>
      <c r="BS135" s="45"/>
      <c r="BT135" s="45">
        <v>105.26591035944901</v>
      </c>
      <c r="BU135" s="45"/>
      <c r="BV135" s="45">
        <v>1342.0639215053493</v>
      </c>
      <c r="BW135" s="45">
        <v>129.21757172879987</v>
      </c>
      <c r="BX135" s="45"/>
      <c r="BY135" s="45">
        <v>23855.763991214371</v>
      </c>
      <c r="BZ135" s="45">
        <v>23170.641834464972</v>
      </c>
      <c r="CA135" s="45">
        <v>6.8814662591869391</v>
      </c>
      <c r="CB135" s="45">
        <v>36.044572181385433</v>
      </c>
      <c r="CC135" s="45">
        <v>349205.86092055409</v>
      </c>
      <c r="CD135" s="45">
        <v>104.20512008635964</v>
      </c>
      <c r="CE135" s="45">
        <v>102928.93173007693</v>
      </c>
      <c r="CF135" s="45">
        <v>5225.0540535316031</v>
      </c>
      <c r="CG135" s="45">
        <v>9.8827522456624237</v>
      </c>
      <c r="CH135" s="45">
        <v>25.225210886433857</v>
      </c>
      <c r="CI135" s="45">
        <v>112.70881856776506</v>
      </c>
      <c r="CJ135" s="45">
        <v>8819.033001916785</v>
      </c>
      <c r="CK135" s="45"/>
      <c r="CL135" s="45"/>
      <c r="CM135" s="45"/>
      <c r="CN135" s="45"/>
      <c r="CO135" s="45"/>
      <c r="CP135" s="45"/>
      <c r="CQ135" s="45"/>
      <c r="CR135" s="45"/>
      <c r="CS135" s="45"/>
      <c r="CT135" s="45"/>
      <c r="CU135" s="45"/>
      <c r="CV135" s="45"/>
      <c r="CW135" s="45"/>
      <c r="CX135" s="45"/>
      <c r="CY135" s="45"/>
      <c r="CZ135" s="45">
        <v>13.254998294626471</v>
      </c>
      <c r="DA135" s="45">
        <v>13.809177971885614</v>
      </c>
      <c r="DB135" s="45"/>
      <c r="DC135" s="45"/>
      <c r="DD135" s="45">
        <v>24031038.846047156</v>
      </c>
      <c r="DE135" s="45"/>
      <c r="DF135" s="45">
        <v>200009216</v>
      </c>
      <c r="DG135" s="45">
        <v>190826129.57558945</v>
      </c>
      <c r="DH135" s="45"/>
      <c r="DI135" s="45">
        <v>1166486927.0901525</v>
      </c>
      <c r="DJ135" s="45">
        <v>170897345.50901526</v>
      </c>
      <c r="DK135" s="45">
        <v>73831825.930651873</v>
      </c>
      <c r="DL135" s="45">
        <v>167897102.20249653</v>
      </c>
      <c r="DM135" s="45">
        <v>409440244.63800275</v>
      </c>
      <c r="DN135" s="45">
        <v>45751962.097087376</v>
      </c>
      <c r="DO135" s="45">
        <v>184425484.78224689</v>
      </c>
      <c r="DP135" s="45">
        <v>110005692.53814147</v>
      </c>
      <c r="DQ135" s="45">
        <v>322306650.185853</v>
      </c>
      <c r="DR135" s="45">
        <v>120393114.45214979</v>
      </c>
      <c r="DS135" s="45">
        <v>22624701.958391123</v>
      </c>
      <c r="DT135" s="45">
        <v>889577068.64909852</v>
      </c>
      <c r="DU135" s="45"/>
      <c r="DV135" s="45"/>
      <c r="DW135" s="45"/>
      <c r="DX135" s="45"/>
      <c r="DY135" s="45"/>
      <c r="DZ135" s="45"/>
      <c r="EA135" s="45"/>
      <c r="EB135" s="45"/>
      <c r="EC135" s="45"/>
      <c r="ED135" s="45"/>
      <c r="EE135" s="45"/>
      <c r="EF135" s="45"/>
      <c r="EG135" s="45"/>
      <c r="EH135" s="45"/>
      <c r="EI135" s="45"/>
      <c r="EJ135" s="45">
        <v>65893709.75866852</v>
      </c>
      <c r="EK135" s="45">
        <v>27950359.789181691</v>
      </c>
      <c r="EL135" s="45">
        <v>7.5702511469956297</v>
      </c>
      <c r="EM135" s="45">
        <v>12.452435532408783</v>
      </c>
      <c r="EN135" s="45">
        <v>4.8726153290681404</v>
      </c>
      <c r="EO135" s="45"/>
      <c r="EP135" s="45"/>
      <c r="EQ135" s="45"/>
    </row>
    <row r="136" spans="1:147" s="92" customFormat="1" ht="15" customHeight="1" x14ac:dyDescent="0.25">
      <c r="A136" s="106" t="s">
        <v>584</v>
      </c>
      <c r="B136" s="134" t="s">
        <v>909</v>
      </c>
      <c r="C136" s="108" t="s">
        <v>585</v>
      </c>
      <c r="D136" s="107" t="s">
        <v>602</v>
      </c>
      <c r="E136" s="107" t="s">
        <v>46</v>
      </c>
      <c r="F136" s="118" t="s">
        <v>48</v>
      </c>
      <c r="G136" s="118">
        <v>16</v>
      </c>
      <c r="H136" s="118">
        <v>256</v>
      </c>
      <c r="I136" s="106"/>
      <c r="J136" s="109" t="s">
        <v>233</v>
      </c>
      <c r="K136" s="45">
        <v>2822.761442441054</v>
      </c>
      <c r="L136" s="45">
        <v>6882.1129504305081</v>
      </c>
      <c r="M136" s="45">
        <v>129.37580611467865</v>
      </c>
      <c r="N136" s="45"/>
      <c r="O136" s="45"/>
      <c r="P136" s="45"/>
      <c r="Q136" s="45">
        <v>4.0229350723649929E-2</v>
      </c>
      <c r="R136" s="45">
        <v>6776.2572532548811</v>
      </c>
      <c r="S136" s="45"/>
      <c r="T136" s="45"/>
      <c r="U136" s="45"/>
      <c r="V136" s="45"/>
      <c r="W136" s="45"/>
      <c r="X136" s="45"/>
      <c r="Y136" s="45"/>
      <c r="Z136" s="45"/>
      <c r="AA136" s="45">
        <v>11799.177477890189</v>
      </c>
      <c r="AB136" s="45"/>
      <c r="AC136" s="45"/>
      <c r="AD136" s="45"/>
      <c r="AE136" s="45">
        <v>98.797273776739047</v>
      </c>
      <c r="AF136" s="45">
        <v>56440.986040249096</v>
      </c>
      <c r="AG136" s="45">
        <v>15393.948869987626</v>
      </c>
      <c r="AH136" s="45">
        <v>1.23322055435514</v>
      </c>
      <c r="AI136" s="45"/>
      <c r="AJ136" s="45">
        <v>9.736705202918941E-2</v>
      </c>
      <c r="AK136" s="45">
        <v>0.51042295803631299</v>
      </c>
      <c r="AL136" s="45">
        <v>1.4063053831255545</v>
      </c>
      <c r="AM136" s="45">
        <v>0.69292436568538074</v>
      </c>
      <c r="AN136" s="45"/>
      <c r="AO136" s="45">
        <v>9.1419007994276207</v>
      </c>
      <c r="AP136" s="45">
        <v>2.1431892479329502</v>
      </c>
      <c r="AQ136" s="45">
        <v>0.17310527538683246</v>
      </c>
      <c r="AR136" s="45">
        <v>0.42671277000180108</v>
      </c>
      <c r="AS136" s="45">
        <v>8.5723425028253821</v>
      </c>
      <c r="AT136" s="45">
        <v>0.18699732312972719</v>
      </c>
      <c r="AU136" s="45">
        <v>0.42818371918562581</v>
      </c>
      <c r="AV136" s="45">
        <v>0.16796535802375837</v>
      </c>
      <c r="AW136" s="45">
        <v>4.5499507001946042E-2</v>
      </c>
      <c r="AX136" s="45">
        <v>0.37334229748814551</v>
      </c>
      <c r="AY136" s="45">
        <v>2.929832282900131E-2</v>
      </c>
      <c r="AZ136" s="45">
        <v>0.51889365580392555</v>
      </c>
      <c r="BA136" s="45"/>
      <c r="BB136" s="45"/>
      <c r="BC136" s="45"/>
      <c r="BD136" s="45"/>
      <c r="BE136" s="45"/>
      <c r="BF136" s="45"/>
      <c r="BG136" s="45"/>
      <c r="BH136" s="45"/>
      <c r="BI136" s="45"/>
      <c r="BJ136" s="45"/>
      <c r="BK136" s="45"/>
      <c r="BL136" s="45"/>
      <c r="BM136" s="45"/>
      <c r="BN136" s="45"/>
      <c r="BO136" s="45"/>
      <c r="BP136" s="45">
        <v>8.8543161932457065E-2</v>
      </c>
      <c r="BQ136" s="45">
        <v>0.52104800047475675</v>
      </c>
      <c r="BR136" s="45">
        <v>546.4868147700289</v>
      </c>
      <c r="BS136" s="45"/>
      <c r="BT136" s="45">
        <v>105.2758817932806</v>
      </c>
      <c r="BU136" s="45">
        <v>299.3482514872469</v>
      </c>
      <c r="BV136" s="45">
        <v>0</v>
      </c>
      <c r="BW136" s="45">
        <v>132.6029077497555</v>
      </c>
      <c r="BX136" s="45"/>
      <c r="BY136" s="45">
        <v>13062.407317652924</v>
      </c>
      <c r="BZ136" s="45">
        <v>9092.5898302260575</v>
      </c>
      <c r="CA136" s="45">
        <v>6.894088449321301</v>
      </c>
      <c r="CB136" s="45">
        <v>35.152029051256868</v>
      </c>
      <c r="CC136" s="45">
        <v>135041.2761899223</v>
      </c>
      <c r="CD136" s="45">
        <v>115.53248500930496</v>
      </c>
      <c r="CE136" s="45">
        <v>6143.3755531710431</v>
      </c>
      <c r="CF136" s="45">
        <v>9790.5053418756379</v>
      </c>
      <c r="CG136" s="45">
        <v>18.016613983372601</v>
      </c>
      <c r="CH136" s="45">
        <v>25.625377987011387</v>
      </c>
      <c r="CI136" s="45">
        <v>133.80694195393005</v>
      </c>
      <c r="CJ136" s="45">
        <v>1722.6207337344717</v>
      </c>
      <c r="CK136" s="45"/>
      <c r="CL136" s="45"/>
      <c r="CM136" s="45"/>
      <c r="CN136" s="45"/>
      <c r="CO136" s="45"/>
      <c r="CP136" s="45"/>
      <c r="CQ136" s="45"/>
      <c r="CR136" s="45"/>
      <c r="CS136" s="45"/>
      <c r="CT136" s="45"/>
      <c r="CU136" s="45"/>
      <c r="CV136" s="45"/>
      <c r="CW136" s="45"/>
      <c r="CX136" s="45"/>
      <c r="CY136" s="45"/>
      <c r="CZ136" s="45">
        <v>13.253772797517742</v>
      </c>
      <c r="DA136" s="45">
        <v>23.281735236919307</v>
      </c>
      <c r="DB136" s="45">
        <v>1661302485.7475729</v>
      </c>
      <c r="DC136" s="45"/>
      <c r="DD136" s="45">
        <v>23941483.583911233</v>
      </c>
      <c r="DE136" s="45">
        <v>652411101.55894589</v>
      </c>
      <c r="DF136" s="45">
        <v>97787102.979195565</v>
      </c>
      <c r="DG136" s="45">
        <v>78356934.47988905</v>
      </c>
      <c r="DH136" s="45"/>
      <c r="DI136" s="45">
        <v>1447325928.920943</v>
      </c>
      <c r="DJ136" s="45">
        <v>151937501.2038835</v>
      </c>
      <c r="DK136" s="45">
        <v>73408949.43689321</v>
      </c>
      <c r="DL136" s="45">
        <v>189414344.61026353</v>
      </c>
      <c r="DM136" s="45">
        <v>377201372.8488211</v>
      </c>
      <c r="DN136" s="45">
        <v>45097789.425797507</v>
      </c>
      <c r="DO136" s="45">
        <v>339639564.42718446</v>
      </c>
      <c r="DP136" s="45">
        <v>104493714.99583912</v>
      </c>
      <c r="DQ136" s="45">
        <v>91820685.314840496</v>
      </c>
      <c r="DR136" s="45">
        <v>113953645.71428572</v>
      </c>
      <c r="DS136" s="45">
        <v>23332781.62552011</v>
      </c>
      <c r="DT136" s="45">
        <v>469769001.54230237</v>
      </c>
      <c r="DU136" s="45"/>
      <c r="DV136" s="45"/>
      <c r="DW136" s="45"/>
      <c r="DX136" s="45"/>
      <c r="DY136" s="45"/>
      <c r="DZ136" s="45"/>
      <c r="EA136" s="45"/>
      <c r="EB136" s="45"/>
      <c r="EC136" s="45"/>
      <c r="ED136" s="45"/>
      <c r="EE136" s="45"/>
      <c r="EF136" s="45"/>
      <c r="EG136" s="45"/>
      <c r="EH136" s="45"/>
      <c r="EI136" s="45"/>
      <c r="EJ136" s="45">
        <v>68878977.952843279</v>
      </c>
      <c r="EK136" s="45">
        <v>29368342.723994453</v>
      </c>
      <c r="EL136" s="45">
        <v>9.7411230145699186</v>
      </c>
      <c r="EM136" s="45">
        <v>16.639960747623029</v>
      </c>
      <c r="EN136" s="45">
        <v>6.8986578821430937</v>
      </c>
      <c r="EO136" s="45"/>
      <c r="EP136" s="45"/>
      <c r="EQ136" s="45"/>
    </row>
    <row r="137" spans="1:147" s="92" customFormat="1" ht="15" customHeight="1" x14ac:dyDescent="0.25">
      <c r="A137" s="106" t="s">
        <v>824</v>
      </c>
      <c r="B137" s="134" t="s">
        <v>910</v>
      </c>
      <c r="C137" s="108" t="s">
        <v>825</v>
      </c>
      <c r="D137" s="107" t="s">
        <v>601</v>
      </c>
      <c r="E137" s="107" t="s">
        <v>46</v>
      </c>
      <c r="F137" s="118" t="s">
        <v>48</v>
      </c>
      <c r="G137" s="118">
        <v>16</v>
      </c>
      <c r="H137" s="118">
        <v>256</v>
      </c>
      <c r="I137" s="106"/>
      <c r="J137" s="109" t="s">
        <v>233</v>
      </c>
      <c r="K137" s="45">
        <v>2022.4715672676837</v>
      </c>
      <c r="L137" s="45">
        <v>11400.98800976872</v>
      </c>
      <c r="M137" s="45">
        <v>1125.6886204105342</v>
      </c>
      <c r="N137" s="45"/>
      <c r="O137" s="45"/>
      <c r="P137" s="45"/>
      <c r="Q137" s="45">
        <v>3.1118785186421931</v>
      </c>
      <c r="R137" s="45">
        <v>5968.5318147621347</v>
      </c>
      <c r="S137" s="45"/>
      <c r="T137" s="45"/>
      <c r="U137" s="45">
        <v>163752.70926155651</v>
      </c>
      <c r="V137" s="45"/>
      <c r="W137" s="45"/>
      <c r="X137" s="45"/>
      <c r="Y137" s="45"/>
      <c r="Z137" s="45"/>
      <c r="AA137" s="45">
        <v>223135.13352229106</v>
      </c>
      <c r="AB137" s="45"/>
      <c r="AC137" s="45"/>
      <c r="AD137" s="45"/>
      <c r="AE137" s="45">
        <v>94.487091701613608</v>
      </c>
      <c r="AF137" s="45">
        <v>42839.950389738224</v>
      </c>
      <c r="AG137" s="45">
        <v>41692.541177267252</v>
      </c>
      <c r="AH137" s="45">
        <v>3.7568420942994547</v>
      </c>
      <c r="AI137" s="45"/>
      <c r="AJ137" s="45">
        <v>0.13917355997735378</v>
      </c>
      <c r="AK137" s="45">
        <v>3.2202178591231818</v>
      </c>
      <c r="AL137" s="45"/>
      <c r="AM137" s="45">
        <v>0.47914717933943601</v>
      </c>
      <c r="AN137" s="45"/>
      <c r="AO137" s="45">
        <v>31.904318489491324</v>
      </c>
      <c r="AP137" s="45">
        <v>1.6628979457756903</v>
      </c>
      <c r="AQ137" s="45">
        <v>0.21995524483207124</v>
      </c>
      <c r="AR137" s="45">
        <v>0.7720131914422248</v>
      </c>
      <c r="AS137" s="45">
        <v>19.31035755047942</v>
      </c>
      <c r="AT137" s="45">
        <v>8.5558038165090528E-2</v>
      </c>
      <c r="AU137" s="45">
        <v>1.8453846481277698</v>
      </c>
      <c r="AV137" s="45">
        <v>1.3373995732253192</v>
      </c>
      <c r="AW137" s="45">
        <v>2.8323911462421365E-2</v>
      </c>
      <c r="AX137" s="45">
        <v>0.84830316728878941</v>
      </c>
      <c r="AY137" s="45">
        <v>6.0578407518047613E-2</v>
      </c>
      <c r="AZ137" s="45">
        <v>0.25297379016151211</v>
      </c>
      <c r="BA137" s="45"/>
      <c r="BB137" s="45"/>
      <c r="BC137" s="45"/>
      <c r="BD137" s="45"/>
      <c r="BE137" s="45"/>
      <c r="BF137" s="45"/>
      <c r="BG137" s="45"/>
      <c r="BH137" s="45"/>
      <c r="BI137" s="45"/>
      <c r="BJ137" s="45"/>
      <c r="BK137" s="45"/>
      <c r="BL137" s="45"/>
      <c r="BM137" s="45"/>
      <c r="BN137" s="45"/>
      <c r="BO137" s="45"/>
      <c r="BP137" s="45">
        <v>0.12485664304661105</v>
      </c>
      <c r="BQ137" s="45">
        <v>0.54008543485492677</v>
      </c>
      <c r="BR137" s="45">
        <v>1608.5131412668263</v>
      </c>
      <c r="BS137" s="45"/>
      <c r="BT137" s="45">
        <v>87.719922389025058</v>
      </c>
      <c r="BU137" s="45">
        <v>51148.946753709104</v>
      </c>
      <c r="BV137" s="45"/>
      <c r="BW137" s="45">
        <v>186.22571714613784</v>
      </c>
      <c r="BX137" s="45"/>
      <c r="BY137" s="45">
        <v>127117.9518531432</v>
      </c>
      <c r="BZ137" s="45">
        <v>7054.6156456558801</v>
      </c>
      <c r="CA137" s="45">
        <v>5.7428292716379046</v>
      </c>
      <c r="CB137" s="45">
        <v>42.516125924204097</v>
      </c>
      <c r="CC137" s="45">
        <v>474318.10265819205</v>
      </c>
      <c r="CD137" s="45">
        <v>563.20441229718983</v>
      </c>
      <c r="CE137" s="45">
        <v>53318.165544759046</v>
      </c>
      <c r="CF137" s="45">
        <v>23368.624466303605</v>
      </c>
      <c r="CG137" s="45">
        <v>249.22416996545775</v>
      </c>
      <c r="CH137" s="45">
        <v>42.515712037134151</v>
      </c>
      <c r="CI137" s="45">
        <v>122.91968762531977</v>
      </c>
      <c r="CJ137" s="45">
        <v>216.1078500399328</v>
      </c>
      <c r="CK137" s="45"/>
      <c r="CL137" s="45"/>
      <c r="CM137" s="45"/>
      <c r="CN137" s="45"/>
      <c r="CO137" s="45"/>
      <c r="CP137" s="45"/>
      <c r="CQ137" s="45"/>
      <c r="CR137" s="45"/>
      <c r="CS137" s="45"/>
      <c r="CT137" s="45"/>
      <c r="CU137" s="45"/>
      <c r="CV137" s="45"/>
      <c r="CW137" s="45"/>
      <c r="CX137" s="45"/>
      <c r="CY137" s="45"/>
      <c r="CZ137" s="45">
        <v>13.294742950273466</v>
      </c>
      <c r="DA137" s="45">
        <v>20.760550284628586</v>
      </c>
      <c r="DB137" s="45">
        <v>636125371.47295427</v>
      </c>
      <c r="DC137" s="45"/>
      <c r="DD137" s="45">
        <v>23461382.39112344</v>
      </c>
      <c r="DE137" s="45">
        <v>512278504.85875708</v>
      </c>
      <c r="DF137" s="45"/>
      <c r="DG137" s="45">
        <v>45998659.461858533</v>
      </c>
      <c r="DH137" s="45"/>
      <c r="DI137" s="45">
        <v>1617751598.1581137</v>
      </c>
      <c r="DJ137" s="45">
        <v>143817456.73231623</v>
      </c>
      <c r="DK137" s="45">
        <v>70564729.076282933</v>
      </c>
      <c r="DL137" s="45">
        <v>187573405.64771152</v>
      </c>
      <c r="DM137" s="45">
        <v>398799444.50485438</v>
      </c>
      <c r="DN137" s="45">
        <v>45897293.403606102</v>
      </c>
      <c r="DO137" s="45">
        <v>377645888.2662968</v>
      </c>
      <c r="DP137" s="45">
        <v>110880509.51456311</v>
      </c>
      <c r="DQ137" s="45">
        <v>94929316.39389737</v>
      </c>
      <c r="DR137" s="45">
        <v>915705929.85298193</v>
      </c>
      <c r="DS137" s="45">
        <v>22890089.808599167</v>
      </c>
      <c r="DT137" s="45">
        <v>366840117.61442441</v>
      </c>
      <c r="DU137" s="45"/>
      <c r="DV137" s="45"/>
      <c r="DW137" s="45"/>
      <c r="DX137" s="45"/>
      <c r="DY137" s="45"/>
      <c r="DZ137" s="45"/>
      <c r="EA137" s="45"/>
      <c r="EB137" s="45"/>
      <c r="EC137" s="45"/>
      <c r="ED137" s="45"/>
      <c r="EE137" s="45"/>
      <c r="EF137" s="45"/>
      <c r="EG137" s="45"/>
      <c r="EH137" s="45"/>
      <c r="EI137" s="45"/>
      <c r="EJ137" s="45">
        <v>62296217.813630044</v>
      </c>
      <c r="EK137" s="45">
        <v>27887170.041608877</v>
      </c>
      <c r="EL137" s="45">
        <v>14.099485282389125</v>
      </c>
      <c r="EM137" s="45">
        <v>28.688580421669833</v>
      </c>
      <c r="EN137" s="45">
        <v>14.389645945720165</v>
      </c>
      <c r="EO137" s="45"/>
      <c r="EP137" s="45"/>
      <c r="EQ137" s="45"/>
    </row>
    <row r="138" spans="1:147" s="92" customFormat="1" ht="15" customHeight="1" x14ac:dyDescent="0.25">
      <c r="A138" s="106" t="s">
        <v>826</v>
      </c>
      <c r="B138" s="134" t="s">
        <v>860</v>
      </c>
      <c r="C138" s="108" t="s">
        <v>827</v>
      </c>
      <c r="D138" s="107" t="s">
        <v>543</v>
      </c>
      <c r="E138" s="107" t="s">
        <v>46</v>
      </c>
      <c r="F138" s="118" t="s">
        <v>31</v>
      </c>
      <c r="G138" s="118">
        <v>16</v>
      </c>
      <c r="H138" s="118">
        <v>256</v>
      </c>
      <c r="I138" s="106"/>
      <c r="J138" s="109" t="s">
        <v>233</v>
      </c>
      <c r="K138" s="45">
        <v>2392.4923717059642</v>
      </c>
      <c r="L138" s="45">
        <v>5948.4806283745238</v>
      </c>
      <c r="M138" s="45">
        <v>226.21164311436635</v>
      </c>
      <c r="N138" s="45"/>
      <c r="O138" s="45"/>
      <c r="P138" s="45"/>
      <c r="Q138" s="45"/>
      <c r="R138" s="45">
        <v>7881.3922653736754</v>
      </c>
      <c r="S138" s="45"/>
      <c r="T138" s="45"/>
      <c r="U138" s="45"/>
      <c r="V138" s="45"/>
      <c r="W138" s="45"/>
      <c r="X138" s="45"/>
      <c r="Y138" s="45"/>
      <c r="Z138" s="45"/>
      <c r="AA138" s="45">
        <v>18343.94136468447</v>
      </c>
      <c r="AB138" s="45"/>
      <c r="AC138" s="45"/>
      <c r="AD138" s="45"/>
      <c r="AE138" s="45">
        <v>97.226181329987952</v>
      </c>
      <c r="AF138" s="45">
        <v>37401.533415869926</v>
      </c>
      <c r="AG138" s="45">
        <v>17667.839563106536</v>
      </c>
      <c r="AH138" s="45"/>
      <c r="AI138" s="45"/>
      <c r="AJ138" s="45">
        <v>5.251845749597972E-2</v>
      </c>
      <c r="AK138" s="45"/>
      <c r="AL138" s="45"/>
      <c r="AM138" s="45">
        <v>0.85692680043060609</v>
      </c>
      <c r="AN138" s="45"/>
      <c r="AO138" s="45">
        <v>17.583448290449482</v>
      </c>
      <c r="AP138" s="45">
        <v>6.2426986660482582E-2</v>
      </c>
      <c r="AQ138" s="45">
        <v>7.2410052328442304E-2</v>
      </c>
      <c r="AR138" s="45">
        <v>0.31525044561550464</v>
      </c>
      <c r="AS138" s="45">
        <v>6.4101182870505307</v>
      </c>
      <c r="AT138" s="45">
        <v>7.292339509796987E-2</v>
      </c>
      <c r="AU138" s="45">
        <v>0.88144647085093786</v>
      </c>
      <c r="AV138" s="45">
        <v>0.34142697902393238</v>
      </c>
      <c r="AW138" s="45"/>
      <c r="AX138" s="45">
        <v>0.52438651827792626</v>
      </c>
      <c r="AY138" s="45">
        <v>4.4560455793458666E-2</v>
      </c>
      <c r="AZ138" s="45">
        <v>0.8616012472520348</v>
      </c>
      <c r="BA138" s="45"/>
      <c r="BB138" s="45"/>
      <c r="BC138" s="45"/>
      <c r="BD138" s="45"/>
      <c r="BE138" s="45"/>
      <c r="BF138" s="45"/>
      <c r="BG138" s="45"/>
      <c r="BH138" s="45"/>
      <c r="BI138" s="45"/>
      <c r="BJ138" s="45"/>
      <c r="BK138" s="45"/>
      <c r="BL138" s="45"/>
      <c r="BM138" s="45"/>
      <c r="BN138" s="45"/>
      <c r="BO138" s="45"/>
      <c r="BP138" s="45">
        <v>5.8160000533834418E-2</v>
      </c>
      <c r="BQ138" s="45">
        <v>0.81959576368665399</v>
      </c>
      <c r="BR138" s="45"/>
      <c r="BS138" s="45"/>
      <c r="BT138" s="45">
        <v>102.34824062334677</v>
      </c>
      <c r="BU138" s="45"/>
      <c r="BV138" s="45"/>
      <c r="BW138" s="45">
        <v>146.45296534914678</v>
      </c>
      <c r="BX138" s="45"/>
      <c r="BY138" s="45">
        <v>61984.787817358228</v>
      </c>
      <c r="BZ138" s="45">
        <v>792.61956511811616</v>
      </c>
      <c r="CA138" s="45">
        <v>0</v>
      </c>
      <c r="CB138" s="45">
        <v>30.653955631077945</v>
      </c>
      <c r="CC138" s="45">
        <v>62946.022257225741</v>
      </c>
      <c r="CD138" s="45">
        <v>137.84295850306256</v>
      </c>
      <c r="CE138" s="45">
        <v>34734.616529120147</v>
      </c>
      <c r="CF138" s="45">
        <v>4871.9296342581374</v>
      </c>
      <c r="CG138" s="45"/>
      <c r="CH138" s="45">
        <v>24.648804229298911</v>
      </c>
      <c r="CI138" s="45">
        <v>128.87486081209383</v>
      </c>
      <c r="CJ138" s="45">
        <v>2713.7014162531646</v>
      </c>
      <c r="CK138" s="45"/>
      <c r="CL138" s="45"/>
      <c r="CM138" s="45"/>
      <c r="CN138" s="45"/>
      <c r="CO138" s="45"/>
      <c r="CP138" s="45"/>
      <c r="CQ138" s="45"/>
      <c r="CR138" s="45"/>
      <c r="CS138" s="45"/>
      <c r="CT138" s="45"/>
      <c r="CU138" s="45"/>
      <c r="CV138" s="45"/>
      <c r="CW138" s="45"/>
      <c r="CX138" s="45"/>
      <c r="CY138" s="45"/>
      <c r="CZ138" s="45">
        <v>13.249834936147415</v>
      </c>
      <c r="DA138" s="45">
        <v>22.020238911486093</v>
      </c>
      <c r="DB138" s="45"/>
      <c r="DC138" s="45"/>
      <c r="DD138" s="45">
        <v>23243237.725381415</v>
      </c>
      <c r="DE138" s="45"/>
      <c r="DF138" s="45">
        <v>89038848</v>
      </c>
      <c r="DG138" s="45">
        <v>85553117.914008319</v>
      </c>
      <c r="DH138" s="45"/>
      <c r="DI138" s="45">
        <v>3091276406.5908461</v>
      </c>
      <c r="DJ138" s="45">
        <v>179096867.15117893</v>
      </c>
      <c r="DK138" s="45">
        <v>55403342.46879334</v>
      </c>
      <c r="DL138" s="45">
        <v>142561473.15395284</v>
      </c>
      <c r="DM138" s="45">
        <v>384414093.66990292</v>
      </c>
      <c r="DN138" s="45">
        <v>45292647.67822469</v>
      </c>
      <c r="DO138" s="45">
        <v>197577428.32732317</v>
      </c>
      <c r="DP138" s="45">
        <v>101654084.88210818</v>
      </c>
      <c r="DQ138" s="45"/>
      <c r="DR138" s="45">
        <v>117862530.6629681</v>
      </c>
      <c r="DS138" s="45">
        <v>23116960.48821082</v>
      </c>
      <c r="DT138" s="45">
        <v>662144044.02773929</v>
      </c>
      <c r="DU138" s="45"/>
      <c r="DV138" s="45"/>
      <c r="DW138" s="45"/>
      <c r="DX138" s="45"/>
      <c r="DY138" s="45"/>
      <c r="DZ138" s="45"/>
      <c r="EA138" s="45"/>
      <c r="EB138" s="45"/>
      <c r="EC138" s="45"/>
      <c r="ED138" s="45"/>
      <c r="EE138" s="45"/>
      <c r="EF138" s="45"/>
      <c r="EG138" s="45"/>
      <c r="EH138" s="45"/>
      <c r="EI138" s="45"/>
      <c r="EJ138" s="45">
        <v>61624291.595006935</v>
      </c>
      <c r="EK138" s="45">
        <v>28417389.004160888</v>
      </c>
      <c r="EL138" s="45">
        <v>6.5751275083846963</v>
      </c>
      <c r="EM138" s="45">
        <v>12.081168410438085</v>
      </c>
      <c r="EN138" s="45">
        <v>5.5066417686223206</v>
      </c>
      <c r="EO138" s="45"/>
      <c r="EP138" s="45"/>
      <c r="EQ138" s="45"/>
    </row>
    <row r="139" spans="1:147" s="92" customFormat="1" ht="15" customHeight="1" x14ac:dyDescent="0.25">
      <c r="A139" s="106" t="s">
        <v>828</v>
      </c>
      <c r="B139" s="134" t="s">
        <v>911</v>
      </c>
      <c r="C139" s="108" t="s">
        <v>829</v>
      </c>
      <c r="D139" s="107" t="s">
        <v>543</v>
      </c>
      <c r="E139" s="107" t="s">
        <v>46</v>
      </c>
      <c r="F139" s="118" t="s">
        <v>47</v>
      </c>
      <c r="G139" s="118">
        <v>16</v>
      </c>
      <c r="H139" s="118">
        <v>256</v>
      </c>
      <c r="I139" s="106"/>
      <c r="J139" s="109" t="s">
        <v>233</v>
      </c>
      <c r="K139" s="45">
        <v>5504</v>
      </c>
      <c r="L139" s="45">
        <v>3160.1662223562466</v>
      </c>
      <c r="M139" s="45">
        <v>24.982534368464208</v>
      </c>
      <c r="N139" s="45"/>
      <c r="O139" s="45"/>
      <c r="P139" s="45"/>
      <c r="Q139" s="45"/>
      <c r="R139" s="45">
        <v>4824.0345902899253</v>
      </c>
      <c r="S139" s="45"/>
      <c r="T139" s="45"/>
      <c r="U139" s="45"/>
      <c r="V139" s="45"/>
      <c r="W139" s="45"/>
      <c r="X139" s="45"/>
      <c r="Y139" s="45"/>
      <c r="Z139" s="45"/>
      <c r="AA139" s="45">
        <v>20076.685601066289</v>
      </c>
      <c r="AB139" s="45"/>
      <c r="AC139" s="45"/>
      <c r="AD139" s="45"/>
      <c r="AE139" s="45">
        <v>98.209437006616099</v>
      </c>
      <c r="AF139" s="45">
        <v>14235.725821601658</v>
      </c>
      <c r="AG139" s="45">
        <v>12653.32061076697</v>
      </c>
      <c r="AH139" s="45"/>
      <c r="AI139" s="45"/>
      <c r="AJ139" s="45">
        <v>0.20134519108692953</v>
      </c>
      <c r="AK139" s="45"/>
      <c r="AL139" s="45"/>
      <c r="AM139" s="45">
        <v>1.1357616878277221</v>
      </c>
      <c r="AN139" s="45"/>
      <c r="AO139" s="45"/>
      <c r="AP139" s="45">
        <v>4.1945575843274352E-2</v>
      </c>
      <c r="AQ139" s="45">
        <v>0.24468634003968193</v>
      </c>
      <c r="AR139" s="45">
        <v>0.47155598100866258</v>
      </c>
      <c r="AS139" s="45">
        <v>5.6229791026289773</v>
      </c>
      <c r="AT139" s="45">
        <v>3.6002670820736368E-2</v>
      </c>
      <c r="AU139" s="45"/>
      <c r="AV139" s="45">
        <v>2.7614502048001921E-2</v>
      </c>
      <c r="AW139" s="45"/>
      <c r="AX139" s="45">
        <v>0.54599481132525429</v>
      </c>
      <c r="AY139" s="45">
        <v>3.958309875142807E-2</v>
      </c>
      <c r="AZ139" s="45"/>
      <c r="BA139" s="45"/>
      <c r="BB139" s="45"/>
      <c r="BC139" s="45"/>
      <c r="BD139" s="45"/>
      <c r="BE139" s="45"/>
      <c r="BF139" s="45"/>
      <c r="BG139" s="45"/>
      <c r="BH139" s="45"/>
      <c r="BI139" s="45"/>
      <c r="BJ139" s="45"/>
      <c r="BK139" s="45"/>
      <c r="BL139" s="45"/>
      <c r="BM139" s="45"/>
      <c r="BN139" s="45"/>
      <c r="BO139" s="45"/>
      <c r="BP139" s="45">
        <v>6.0123199730505866E-2</v>
      </c>
      <c r="BQ139" s="45">
        <v>0.35139008962857926</v>
      </c>
      <c r="BR139" s="45"/>
      <c r="BS139" s="45"/>
      <c r="BT139" s="45">
        <v>98.928423695748776</v>
      </c>
      <c r="BU139" s="45"/>
      <c r="BV139" s="45"/>
      <c r="BW139" s="45">
        <v>268.16237433200644</v>
      </c>
      <c r="BX139" s="45"/>
      <c r="BY139" s="45"/>
      <c r="BZ139" s="45">
        <v>198.3064894454987</v>
      </c>
      <c r="CA139" s="45">
        <v>5.5532195936538926</v>
      </c>
      <c r="CB139" s="45">
        <v>9.858486944699731</v>
      </c>
      <c r="CC139" s="45">
        <v>85116.497106619441</v>
      </c>
      <c r="CD139" s="45">
        <v>150.89622973231252</v>
      </c>
      <c r="CE139" s="45"/>
      <c r="CF139" s="45">
        <v>157.27787935261122</v>
      </c>
      <c r="CG139" s="45"/>
      <c r="CH139" s="45">
        <v>24.162442899154989</v>
      </c>
      <c r="CI139" s="45">
        <v>136.94719917009382</v>
      </c>
      <c r="CJ139" s="45"/>
      <c r="CK139" s="45"/>
      <c r="CL139" s="45"/>
      <c r="CM139" s="45"/>
      <c r="CN139" s="45"/>
      <c r="CO139" s="45"/>
      <c r="CP139" s="45"/>
      <c r="CQ139" s="45"/>
      <c r="CR139" s="45"/>
      <c r="CS139" s="45"/>
      <c r="CT139" s="45"/>
      <c r="CU139" s="45"/>
      <c r="CV139" s="45"/>
      <c r="CW139" s="45"/>
      <c r="CX139" s="45"/>
      <c r="CY139" s="45"/>
      <c r="CZ139" s="45">
        <v>13.229111239870695</v>
      </c>
      <c r="DA139" s="45">
        <v>12.338160288839045</v>
      </c>
      <c r="DB139" s="45"/>
      <c r="DC139" s="45"/>
      <c r="DD139" s="45">
        <v>26305221.973333333</v>
      </c>
      <c r="DE139" s="45"/>
      <c r="DF139" s="45"/>
      <c r="DG139" s="45">
        <v>69987890.86092715</v>
      </c>
      <c r="DH139" s="45"/>
      <c r="DI139" s="45"/>
      <c r="DJ139" s="45">
        <v>123403223.04000001</v>
      </c>
      <c r="DK139" s="45">
        <v>72902792.533333331</v>
      </c>
      <c r="DL139" s="45">
        <v>146523531.94666666</v>
      </c>
      <c r="DM139" s="45">
        <v>362681486.41059601</v>
      </c>
      <c r="DN139" s="45">
        <v>44453259.946666665</v>
      </c>
      <c r="DO139" s="45"/>
      <c r="DP139" s="45">
        <v>91530335.573333338</v>
      </c>
      <c r="DQ139" s="45"/>
      <c r="DR139" s="45">
        <v>110260852.05333333</v>
      </c>
      <c r="DS139" s="45">
        <v>23633757.245033111</v>
      </c>
      <c r="DT139" s="45"/>
      <c r="DU139" s="45"/>
      <c r="DV139" s="45"/>
      <c r="DW139" s="45"/>
      <c r="DX139" s="45"/>
      <c r="DY139" s="45"/>
      <c r="DZ139" s="45"/>
      <c r="EA139" s="45"/>
      <c r="EB139" s="45"/>
      <c r="EC139" s="45"/>
      <c r="ED139" s="45"/>
      <c r="EE139" s="45"/>
      <c r="EF139" s="45"/>
      <c r="EG139" s="45"/>
      <c r="EH139" s="45"/>
      <c r="EI139" s="45"/>
      <c r="EJ139" s="45">
        <v>67483975.680000007</v>
      </c>
      <c r="EK139" s="45">
        <v>28688221.245033111</v>
      </c>
      <c r="EL139" s="45">
        <v>1.6788183385682875</v>
      </c>
      <c r="EM139" s="45">
        <v>2.7426586262807322</v>
      </c>
      <c r="EN139" s="45">
        <v>1.0636607468346055</v>
      </c>
      <c r="EO139" s="45"/>
      <c r="EP139" s="45"/>
      <c r="EQ139" s="45"/>
    </row>
    <row r="140" spans="1:147" s="92" customFormat="1" ht="15" customHeight="1" x14ac:dyDescent="0.25">
      <c r="A140" s="106" t="s">
        <v>830</v>
      </c>
      <c r="B140" s="134" t="s">
        <v>911</v>
      </c>
      <c r="C140" s="108" t="s">
        <v>831</v>
      </c>
      <c r="D140" s="107" t="s">
        <v>543</v>
      </c>
      <c r="E140" s="107" t="s">
        <v>46</v>
      </c>
      <c r="F140" s="118" t="s">
        <v>48</v>
      </c>
      <c r="G140" s="118">
        <v>16</v>
      </c>
      <c r="H140" s="118">
        <v>256</v>
      </c>
      <c r="I140" s="106"/>
      <c r="J140" s="109" t="s">
        <v>233</v>
      </c>
      <c r="K140" s="45">
        <v>5613.0221914008325</v>
      </c>
      <c r="L140" s="45">
        <v>11311.524078887647</v>
      </c>
      <c r="M140" s="45">
        <v>11.855142758287368</v>
      </c>
      <c r="N140" s="45"/>
      <c r="O140" s="45"/>
      <c r="P140" s="45"/>
      <c r="Q140" s="45"/>
      <c r="R140" s="45">
        <v>3777.4286176605142</v>
      </c>
      <c r="S140" s="45"/>
      <c r="T140" s="45"/>
      <c r="U140" s="45"/>
      <c r="V140" s="45"/>
      <c r="W140" s="45"/>
      <c r="X140" s="45"/>
      <c r="Y140" s="45"/>
      <c r="Z140" s="45"/>
      <c r="AA140" s="45">
        <v>13228.089222905684</v>
      </c>
      <c r="AB140" s="45"/>
      <c r="AC140" s="45"/>
      <c r="AD140" s="45"/>
      <c r="AE140" s="45">
        <v>99.533058353790778</v>
      </c>
      <c r="AF140" s="45">
        <v>20699.379555374682</v>
      </c>
      <c r="AG140" s="45">
        <v>11314.079577627786</v>
      </c>
      <c r="AH140" s="45"/>
      <c r="AI140" s="45"/>
      <c r="AJ140" s="45">
        <v>0.18119913327476975</v>
      </c>
      <c r="AK140" s="45"/>
      <c r="AL140" s="45"/>
      <c r="AM140" s="45">
        <v>0.67970153940344291</v>
      </c>
      <c r="AN140" s="45"/>
      <c r="AO140" s="45"/>
      <c r="AP140" s="45">
        <v>5.0274383738864573E-2</v>
      </c>
      <c r="AQ140" s="45">
        <v>0.24573659523653207</v>
      </c>
      <c r="AR140" s="45">
        <v>0.48959577601953796</v>
      </c>
      <c r="AS140" s="45">
        <v>9.65304890536237</v>
      </c>
      <c r="AT140" s="45">
        <v>4.1834996584991825E-2</v>
      </c>
      <c r="AU140" s="45">
        <v>1.2437403535626201</v>
      </c>
      <c r="AV140" s="45">
        <v>0.47909882778686796</v>
      </c>
      <c r="AW140" s="45"/>
      <c r="AX140" s="45">
        <v>0.48643552176976712</v>
      </c>
      <c r="AY140" s="45">
        <v>3.5006748835228876E-2</v>
      </c>
      <c r="AZ140" s="45"/>
      <c r="BA140" s="45"/>
      <c r="BB140" s="45"/>
      <c r="BC140" s="45"/>
      <c r="BD140" s="45"/>
      <c r="BE140" s="45"/>
      <c r="BF140" s="45"/>
      <c r="BG140" s="45"/>
      <c r="BH140" s="45"/>
      <c r="BI140" s="45"/>
      <c r="BJ140" s="45"/>
      <c r="BK140" s="45"/>
      <c r="BL140" s="45"/>
      <c r="BM140" s="45"/>
      <c r="BN140" s="45"/>
      <c r="BO140" s="45"/>
      <c r="BP140" s="45">
        <v>8.0153721689384616E-2</v>
      </c>
      <c r="BQ140" s="45">
        <v>0.88760547927406974</v>
      </c>
      <c r="BR140" s="45"/>
      <c r="BS140" s="45"/>
      <c r="BT140" s="45">
        <v>96.528103801489507</v>
      </c>
      <c r="BU140" s="45"/>
      <c r="BV140" s="45"/>
      <c r="BW140" s="45">
        <v>123.1593229685848</v>
      </c>
      <c r="BX140" s="45"/>
      <c r="BY140" s="45"/>
      <c r="BZ140" s="45">
        <v>462.91321934705684</v>
      </c>
      <c r="CA140" s="45">
        <v>6.8914435952999487</v>
      </c>
      <c r="CB140" s="45">
        <v>34.938335318119719</v>
      </c>
      <c r="CC140" s="45">
        <v>65134.880007390864</v>
      </c>
      <c r="CD140" s="45">
        <v>148.31659400614441</v>
      </c>
      <c r="CE140" s="45">
        <v>12755.199616939468</v>
      </c>
      <c r="CF140" s="45">
        <v>3303.7758339456113</v>
      </c>
      <c r="CG140" s="45"/>
      <c r="CH140" s="45">
        <v>22.595537035584648</v>
      </c>
      <c r="CI140" s="45">
        <v>119.6551739124495</v>
      </c>
      <c r="CJ140" s="45"/>
      <c r="CK140" s="45"/>
      <c r="CL140" s="45"/>
      <c r="CM140" s="45"/>
      <c r="CN140" s="45"/>
      <c r="CO140" s="45"/>
      <c r="CP140" s="45"/>
      <c r="CQ140" s="45"/>
      <c r="CR140" s="45"/>
      <c r="CS140" s="45"/>
      <c r="CT140" s="45"/>
      <c r="CU140" s="45"/>
      <c r="CV140" s="45"/>
      <c r="CW140" s="45"/>
      <c r="CX140" s="45"/>
      <c r="CY140" s="45"/>
      <c r="CZ140" s="45">
        <v>13.237293575886394</v>
      </c>
      <c r="DA140" s="45">
        <v>11.97698720632863</v>
      </c>
      <c r="DB140" s="45"/>
      <c r="DC140" s="45"/>
      <c r="DD140" s="45">
        <v>24094773.969486825</v>
      </c>
      <c r="DE140" s="45"/>
      <c r="DF140" s="45"/>
      <c r="DG140" s="45">
        <v>38364385.819694869</v>
      </c>
      <c r="DH140" s="45"/>
      <c r="DI140" s="45"/>
      <c r="DJ140" s="45">
        <v>127541043.48404993</v>
      </c>
      <c r="DK140" s="45">
        <v>70378608.199722603</v>
      </c>
      <c r="DL140" s="45">
        <v>166950000.19972262</v>
      </c>
      <c r="DM140" s="45">
        <v>380872371.66158116</v>
      </c>
      <c r="DN140" s="45">
        <v>43920379.73925104</v>
      </c>
      <c r="DO140" s="45">
        <v>198781885.24826631</v>
      </c>
      <c r="DP140" s="45">
        <v>88866889.85298197</v>
      </c>
      <c r="DQ140" s="45"/>
      <c r="DR140" s="45">
        <v>110797544.21081831</v>
      </c>
      <c r="DS140" s="45">
        <v>21891648.621359222</v>
      </c>
      <c r="DT140" s="45"/>
      <c r="DU140" s="45"/>
      <c r="DV140" s="45"/>
      <c r="DW140" s="45"/>
      <c r="DX140" s="45"/>
      <c r="DY140" s="45"/>
      <c r="DZ140" s="45"/>
      <c r="EA140" s="45"/>
      <c r="EB140" s="45"/>
      <c r="EC140" s="45"/>
      <c r="ED140" s="45"/>
      <c r="EE140" s="45"/>
      <c r="EF140" s="45"/>
      <c r="EG140" s="45"/>
      <c r="EH140" s="45"/>
      <c r="EI140" s="45"/>
      <c r="EJ140" s="45">
        <v>64515238.169209428</v>
      </c>
      <c r="EK140" s="45">
        <v>27821395.439667128</v>
      </c>
      <c r="EL140" s="45">
        <v>4.595906243793201</v>
      </c>
      <c r="EM140" s="45">
        <v>7.8877502839576801</v>
      </c>
      <c r="EN140" s="45">
        <v>3.2923360392433527</v>
      </c>
      <c r="EO140" s="45"/>
      <c r="EP140" s="45"/>
      <c r="EQ140" s="45"/>
    </row>
    <row r="141" spans="1:147" s="92" customFormat="1" ht="15" customHeight="1" x14ac:dyDescent="0.25">
      <c r="A141" s="106" t="s">
        <v>832</v>
      </c>
      <c r="B141" s="134" t="s">
        <v>912</v>
      </c>
      <c r="C141" s="108" t="s">
        <v>834</v>
      </c>
      <c r="D141" s="107" t="s">
        <v>51</v>
      </c>
      <c r="E141" s="107" t="s">
        <v>46</v>
      </c>
      <c r="F141" s="118" t="s">
        <v>196</v>
      </c>
      <c r="G141" s="118">
        <v>32</v>
      </c>
      <c r="H141" s="118">
        <v>256</v>
      </c>
      <c r="I141" s="106"/>
      <c r="J141" s="109" t="s">
        <v>233</v>
      </c>
      <c r="K141" s="45">
        <v>6859.2217973231354</v>
      </c>
      <c r="L141" s="45">
        <v>11296.221591106556</v>
      </c>
      <c r="M141" s="45">
        <v>96.932772567065996</v>
      </c>
      <c r="N141" s="45"/>
      <c r="O141" s="45"/>
      <c r="P141" s="45"/>
      <c r="Q141" s="45"/>
      <c r="R141" s="45">
        <v>21817.289490360075</v>
      </c>
      <c r="S141" s="45"/>
      <c r="T141" s="45"/>
      <c r="U141" s="45"/>
      <c r="V141" s="45"/>
      <c r="W141" s="45"/>
      <c r="X141" s="45"/>
      <c r="Y141" s="45"/>
      <c r="Z141" s="45"/>
      <c r="AA141" s="45"/>
      <c r="AB141" s="45"/>
      <c r="AC141" s="45"/>
      <c r="AD141" s="45">
        <v>256068.50114329971</v>
      </c>
      <c r="AE141" s="45">
        <v>99.085625608037091</v>
      </c>
      <c r="AF141" s="45">
        <v>42717.541999120491</v>
      </c>
      <c r="AG141" s="45">
        <v>17898.428324592063</v>
      </c>
      <c r="AH141" s="45"/>
      <c r="AI141" s="45"/>
      <c r="AJ141" s="45">
        <v>3.3781352797795677E-2</v>
      </c>
      <c r="AK141" s="45"/>
      <c r="AL141" s="45">
        <v>7.1078644659302945</v>
      </c>
      <c r="AM141" s="45">
        <v>0.54710326931349795</v>
      </c>
      <c r="AN141" s="45">
        <v>2.5290113117233211</v>
      </c>
      <c r="AO141" s="45">
        <v>1.1761089903399098</v>
      </c>
      <c r="AP141" s="45">
        <v>4.4270557557577229E-2</v>
      </c>
      <c r="AQ141" s="45">
        <v>8.5228577416905107E-2</v>
      </c>
      <c r="AR141" s="45">
        <v>0.358202805898441</v>
      </c>
      <c r="AS141" s="45">
        <v>5.9009816793996706</v>
      </c>
      <c r="AT141" s="45">
        <v>4.9742993776540727E-2</v>
      </c>
      <c r="AU141" s="45">
        <v>0.73329717913046621</v>
      </c>
      <c r="AV141" s="45">
        <v>0.17666414213860979</v>
      </c>
      <c r="AW141" s="45">
        <v>1.3993562516559477E-2</v>
      </c>
      <c r="AX141" s="45">
        <v>0.31086476579514738</v>
      </c>
      <c r="AY141" s="45">
        <v>2.5239009488282806E-2</v>
      </c>
      <c r="AZ141" s="45"/>
      <c r="BA141" s="45"/>
      <c r="BB141" s="45"/>
      <c r="BC141" s="45"/>
      <c r="BD141" s="45"/>
      <c r="BE141" s="45"/>
      <c r="BF141" s="45">
        <v>1.5323714214322832</v>
      </c>
      <c r="BG141" s="45"/>
      <c r="BH141" s="45"/>
      <c r="BI141" s="45"/>
      <c r="BJ141" s="45"/>
      <c r="BK141" s="45"/>
      <c r="BL141" s="45"/>
      <c r="BM141" s="45"/>
      <c r="BN141" s="45"/>
      <c r="BO141" s="45"/>
      <c r="BP141" s="45">
        <v>4.0296501700029269E-2</v>
      </c>
      <c r="BQ141" s="45">
        <v>0.42691064501148684</v>
      </c>
      <c r="BR141" s="45"/>
      <c r="BS141" s="45"/>
      <c r="BT141" s="45">
        <v>105.62599565163379</v>
      </c>
      <c r="BU141" s="45"/>
      <c r="BV141" s="45">
        <v>325420.25907249347</v>
      </c>
      <c r="BW141" s="45">
        <v>168.4507931437694</v>
      </c>
      <c r="BX141" s="45">
        <v>1794.9870259784673</v>
      </c>
      <c r="BY141" s="45">
        <v>28253.064049355075</v>
      </c>
      <c r="BZ141" s="45">
        <v>1132.2263152752416</v>
      </c>
      <c r="CA141" s="45">
        <v>8.4464468882923942</v>
      </c>
      <c r="CB141" s="45">
        <v>41.134302716346347</v>
      </c>
      <c r="CC141" s="45">
        <v>202025.8530593047</v>
      </c>
      <c r="CD141" s="45">
        <v>666.83215669436981</v>
      </c>
      <c r="CE141" s="45">
        <v>240368.97185787171</v>
      </c>
      <c r="CF141" s="45">
        <v>18471.688178360811</v>
      </c>
      <c r="CG141" s="45">
        <v>22.026555288503818</v>
      </c>
      <c r="CH141" s="45">
        <v>35.074875520928281</v>
      </c>
      <c r="CI141" s="45">
        <v>123.774941253008</v>
      </c>
      <c r="CJ141" s="45"/>
      <c r="CK141" s="45"/>
      <c r="CL141" s="45"/>
      <c r="CM141" s="45"/>
      <c r="CN141" s="45"/>
      <c r="CO141" s="45"/>
      <c r="CP141" s="45">
        <v>284579.57497186394</v>
      </c>
      <c r="CQ141" s="45"/>
      <c r="CR141" s="45"/>
      <c r="CS141" s="45"/>
      <c r="CT141" s="45"/>
      <c r="CU141" s="45"/>
      <c r="CV141" s="45"/>
      <c r="CW141" s="45"/>
      <c r="CX141" s="45"/>
      <c r="CY141" s="45"/>
      <c r="CZ141" s="45">
        <v>22.05042116872702</v>
      </c>
      <c r="DA141" s="45">
        <v>30.74114779350062</v>
      </c>
      <c r="DB141" s="45"/>
      <c r="DC141" s="45"/>
      <c r="DD141" s="45">
        <v>23780952.275862068</v>
      </c>
      <c r="DE141" s="45"/>
      <c r="DF141" s="45">
        <v>132810752</v>
      </c>
      <c r="DG141" s="45">
        <v>107952351.2045889</v>
      </c>
      <c r="DH141" s="45">
        <v>575855172.65900385</v>
      </c>
      <c r="DI141" s="45">
        <v>870574693.60311282</v>
      </c>
      <c r="DJ141" s="45">
        <v>148604920.15325671</v>
      </c>
      <c r="DK141" s="45">
        <v>81677384.72168906</v>
      </c>
      <c r="DL141" s="45">
        <v>174426768.46065259</v>
      </c>
      <c r="DM141" s="45">
        <v>391777693.12428296</v>
      </c>
      <c r="DN141" s="45">
        <v>49582511.570881225</v>
      </c>
      <c r="DO141" s="45">
        <v>165392470.31417623</v>
      </c>
      <c r="DP141" s="45">
        <v>103920079.84644914</v>
      </c>
      <c r="DQ141" s="45">
        <v>100602585.74712643</v>
      </c>
      <c r="DR141" s="45">
        <v>118913428.88291746</v>
      </c>
      <c r="DS141" s="45">
        <v>22201024.856596559</v>
      </c>
      <c r="DT141" s="45"/>
      <c r="DU141" s="45"/>
      <c r="DV141" s="45"/>
      <c r="DW141" s="45"/>
      <c r="DX141" s="45"/>
      <c r="DY141" s="45"/>
      <c r="DZ141" s="45">
        <v>254719354.52140078</v>
      </c>
      <c r="EA141" s="45"/>
      <c r="EB141" s="45"/>
      <c r="EC141" s="45"/>
      <c r="ED141" s="45"/>
      <c r="EE141" s="45"/>
      <c r="EF141" s="45"/>
      <c r="EG141" s="45"/>
      <c r="EH141" s="45"/>
      <c r="EI141" s="45"/>
      <c r="EJ141" s="45">
        <v>64820088.383877158</v>
      </c>
      <c r="EK141" s="45">
        <v>27789801.483747609</v>
      </c>
      <c r="EL141" s="45">
        <v>9.2281191172235619</v>
      </c>
      <c r="EM141" s="45">
        <v>18.301517445646528</v>
      </c>
      <c r="EN141" s="45">
        <v>9.0654510978222671</v>
      </c>
      <c r="EO141" s="45"/>
      <c r="EP141" s="45"/>
      <c r="EQ141" s="45"/>
    </row>
    <row r="142" spans="1:147" s="92" customFormat="1" ht="15" customHeight="1" x14ac:dyDescent="0.25">
      <c r="A142" s="106" t="s">
        <v>833</v>
      </c>
      <c r="B142" s="134" t="s">
        <v>913</v>
      </c>
      <c r="C142" s="108" t="s">
        <v>835</v>
      </c>
      <c r="D142" s="107" t="s">
        <v>601</v>
      </c>
      <c r="E142" s="107" t="s">
        <v>46</v>
      </c>
      <c r="F142" s="118" t="s">
        <v>196</v>
      </c>
      <c r="G142" s="118">
        <v>32</v>
      </c>
      <c r="H142" s="118">
        <v>512</v>
      </c>
      <c r="I142" s="106"/>
      <c r="J142" s="109" t="s">
        <v>233</v>
      </c>
      <c r="K142" s="45">
        <v>14176.434722222222</v>
      </c>
      <c r="L142" s="45">
        <v>12109.443145071489</v>
      </c>
      <c r="M142" s="45">
        <v>133.44316575117094</v>
      </c>
      <c r="N142" s="45"/>
      <c r="O142" s="45"/>
      <c r="P142" s="45"/>
      <c r="Q142" s="45"/>
      <c r="R142" s="45">
        <v>47681.043534313416</v>
      </c>
      <c r="S142" s="45"/>
      <c r="T142" s="45"/>
      <c r="U142" s="45"/>
      <c r="V142" s="45"/>
      <c r="W142" s="45"/>
      <c r="X142" s="45"/>
      <c r="Y142" s="45"/>
      <c r="Z142" s="45"/>
      <c r="AA142" s="45"/>
      <c r="AB142" s="45"/>
      <c r="AC142" s="45"/>
      <c r="AD142" s="45">
        <v>123984.39589609049</v>
      </c>
      <c r="AE142" s="45">
        <v>98.887507042088856</v>
      </c>
      <c r="AF142" s="45">
        <v>30051.099352919155</v>
      </c>
      <c r="AG142" s="45">
        <v>15040.970936686244</v>
      </c>
      <c r="AH142" s="45"/>
      <c r="AI142" s="45"/>
      <c r="AJ142" s="45">
        <v>3.4201955955932936E-2</v>
      </c>
      <c r="AK142" s="45"/>
      <c r="AL142" s="45">
        <v>0.78786351048637382</v>
      </c>
      <c r="AM142" s="45">
        <v>0.74436686047886746</v>
      </c>
      <c r="AN142" s="45"/>
      <c r="AO142" s="45">
        <v>10.928966048629459</v>
      </c>
      <c r="AP142" s="45">
        <v>0.73669471054130697</v>
      </c>
      <c r="AQ142" s="45">
        <v>6.5363529090529005E-2</v>
      </c>
      <c r="AR142" s="45">
        <v>0.34037929438048981</v>
      </c>
      <c r="AS142" s="45">
        <v>6.3506716639736451</v>
      </c>
      <c r="AT142" s="45">
        <v>5.6616067665063607E-2</v>
      </c>
      <c r="AU142" s="45"/>
      <c r="AV142" s="45">
        <v>0.25006834008942369</v>
      </c>
      <c r="AW142" s="45">
        <v>2.8943687047430978E-2</v>
      </c>
      <c r="AX142" s="45">
        <v>0.59904178687206477</v>
      </c>
      <c r="AY142" s="45">
        <v>2.6153218702366886E-2</v>
      </c>
      <c r="AZ142" s="45">
        <v>3.2754643917158708</v>
      </c>
      <c r="BA142" s="45"/>
      <c r="BB142" s="45"/>
      <c r="BC142" s="45"/>
      <c r="BD142" s="45"/>
      <c r="BE142" s="45"/>
      <c r="BF142" s="45">
        <v>1.8098987499919428</v>
      </c>
      <c r="BG142" s="45"/>
      <c r="BH142" s="45"/>
      <c r="BI142" s="45"/>
      <c r="BJ142" s="45"/>
      <c r="BK142" s="45"/>
      <c r="BL142" s="45"/>
      <c r="BM142" s="45"/>
      <c r="BN142" s="45"/>
      <c r="BO142" s="45"/>
      <c r="BP142" s="45">
        <v>4.5344778163685207E-2</v>
      </c>
      <c r="BQ142" s="45">
        <v>0.49999790938036071</v>
      </c>
      <c r="BR142" s="45"/>
      <c r="BS142" s="45"/>
      <c r="BT142" s="45">
        <v>106.16328466327739</v>
      </c>
      <c r="BU142" s="45"/>
      <c r="BV142" s="45">
        <v>389.73009329221071</v>
      </c>
      <c r="BW142" s="45">
        <v>225.08066029939621</v>
      </c>
      <c r="BX142" s="45"/>
      <c r="BY142" s="45">
        <v>84844.957199089782</v>
      </c>
      <c r="BZ142" s="45">
        <v>3646.7562060472978</v>
      </c>
      <c r="CA142" s="45">
        <v>5.8471703009129437</v>
      </c>
      <c r="CB142" s="45">
        <v>56.086493964143337</v>
      </c>
      <c r="CC142" s="45">
        <v>392724.5769537547</v>
      </c>
      <c r="CD142" s="45">
        <v>595.6637540442714</v>
      </c>
      <c r="CE142" s="45"/>
      <c r="CF142" s="45">
        <v>9729.4846664659926</v>
      </c>
      <c r="CG142" s="45">
        <v>1671.5727490801005</v>
      </c>
      <c r="CH142" s="45">
        <v>25.271849636188733</v>
      </c>
      <c r="CI142" s="45">
        <v>113.03652308944744</v>
      </c>
      <c r="CJ142" s="45">
        <v>35784.245457151206</v>
      </c>
      <c r="CK142" s="45"/>
      <c r="CL142" s="45"/>
      <c r="CM142" s="45"/>
      <c r="CN142" s="45"/>
      <c r="CO142" s="45"/>
      <c r="CP142" s="45">
        <v>153847.02316588667</v>
      </c>
      <c r="CQ142" s="45"/>
      <c r="CR142" s="45"/>
      <c r="CS142" s="45"/>
      <c r="CT142" s="45"/>
      <c r="CU142" s="45"/>
      <c r="CV142" s="45"/>
      <c r="CW142" s="45"/>
      <c r="CX142" s="45"/>
      <c r="CY142" s="45"/>
      <c r="CZ142" s="45">
        <v>13.257116928835821</v>
      </c>
      <c r="DA142" s="45">
        <v>19.602220078032094</v>
      </c>
      <c r="DB142" s="45"/>
      <c r="DC142" s="45"/>
      <c r="DD142" s="45">
        <v>22603827.486033518</v>
      </c>
      <c r="DE142" s="45"/>
      <c r="DF142" s="45">
        <v>144519168</v>
      </c>
      <c r="DG142" s="45">
        <v>49090582.755555555</v>
      </c>
      <c r="DH142" s="45"/>
      <c r="DI142" s="45">
        <v>1177044470.6385372</v>
      </c>
      <c r="DJ142" s="45">
        <v>121407992.82913165</v>
      </c>
      <c r="DK142" s="45">
        <v>71821482.425952047</v>
      </c>
      <c r="DL142" s="45">
        <v>163044125.88466948</v>
      </c>
      <c r="DM142" s="45">
        <v>382966095.64444447</v>
      </c>
      <c r="DN142" s="45">
        <v>44779006.573816158</v>
      </c>
      <c r="DO142" s="45"/>
      <c r="DP142" s="45">
        <v>93693621.67741935</v>
      </c>
      <c r="DQ142" s="45">
        <v>91128009.915492952</v>
      </c>
      <c r="DR142" s="45">
        <v>104740165.88401698</v>
      </c>
      <c r="DS142" s="45">
        <v>21536557.51111111</v>
      </c>
      <c r="DT142" s="45">
        <v>850337649.26060605</v>
      </c>
      <c r="DU142" s="45"/>
      <c r="DV142" s="45"/>
      <c r="DW142" s="45"/>
      <c r="DX142" s="45"/>
      <c r="DY142" s="45"/>
      <c r="DZ142" s="45">
        <v>139303202.92545709</v>
      </c>
      <c r="EA142" s="45"/>
      <c r="EB142" s="45"/>
      <c r="EC142" s="45"/>
      <c r="ED142" s="45"/>
      <c r="EE142" s="45"/>
      <c r="EF142" s="45"/>
      <c r="EG142" s="45"/>
      <c r="EH142" s="45"/>
      <c r="EI142" s="45"/>
      <c r="EJ142" s="45">
        <v>64121088.713091925</v>
      </c>
      <c r="EK142" s="45">
        <v>26427136</v>
      </c>
      <c r="EL142" s="45">
        <v>6.5832901910292438</v>
      </c>
      <c r="EM142" s="45">
        <v>14.536394046906196</v>
      </c>
      <c r="EN142" s="45">
        <v>7.8066459375965804</v>
      </c>
      <c r="EO142" s="45"/>
      <c r="EP142" s="45"/>
      <c r="EQ142" s="45"/>
    </row>
    <row r="143" spans="1:147" s="92" customFormat="1" ht="15" customHeight="1" x14ac:dyDescent="0.25">
      <c r="A143" s="106" t="s">
        <v>836</v>
      </c>
      <c r="B143" s="134" t="s">
        <v>914</v>
      </c>
      <c r="C143" s="108" t="s">
        <v>837</v>
      </c>
      <c r="D143" s="107" t="s">
        <v>543</v>
      </c>
      <c r="E143" s="107" t="s">
        <v>46</v>
      </c>
      <c r="F143" s="118" t="s">
        <v>47</v>
      </c>
      <c r="G143" s="118">
        <v>16</v>
      </c>
      <c r="H143" s="118">
        <v>256</v>
      </c>
      <c r="I143" s="106"/>
      <c r="J143" s="109" t="s">
        <v>233</v>
      </c>
      <c r="K143" s="45">
        <v>3542.9084604715672</v>
      </c>
      <c r="L143" s="45">
        <v>3283.7971617430539</v>
      </c>
      <c r="M143" s="45">
        <v>64.402972950137809</v>
      </c>
      <c r="N143" s="45"/>
      <c r="O143" s="45"/>
      <c r="P143" s="45"/>
      <c r="Q143" s="45"/>
      <c r="R143" s="45"/>
      <c r="S143" s="45"/>
      <c r="T143" s="45"/>
      <c r="U143" s="45">
        <v>9245.5654201233556</v>
      </c>
      <c r="V143" s="45"/>
      <c r="W143" s="45"/>
      <c r="X143" s="45"/>
      <c r="Y143" s="45"/>
      <c r="Z143" s="45"/>
      <c r="AA143" s="45"/>
      <c r="AB143" s="45"/>
      <c r="AC143" s="45"/>
      <c r="AD143" s="45"/>
      <c r="AE143" s="45">
        <v>97.762813449403254</v>
      </c>
      <c r="AF143" s="45">
        <v>26198.588535496721</v>
      </c>
      <c r="AG143" s="45">
        <v>11699.405074294265</v>
      </c>
      <c r="AH143" s="45"/>
      <c r="AI143" s="45"/>
      <c r="AJ143" s="45">
        <v>0.20963544354377517</v>
      </c>
      <c r="AK143" s="45"/>
      <c r="AL143" s="45"/>
      <c r="AM143" s="45">
        <v>8.4563246262390368E-2</v>
      </c>
      <c r="AN143" s="45"/>
      <c r="AO143" s="45">
        <v>8.4950254122455409</v>
      </c>
      <c r="AP143" s="45">
        <v>2.0471355609114388E-2</v>
      </c>
      <c r="AQ143" s="45">
        <v>0.30034037773305239</v>
      </c>
      <c r="AR143" s="45">
        <v>0.66014674081743707</v>
      </c>
      <c r="AS143" s="45">
        <v>3.6179360624322272</v>
      </c>
      <c r="AT143" s="45">
        <v>0.1163868554641017</v>
      </c>
      <c r="AU143" s="45">
        <v>0.30127202408312626</v>
      </c>
      <c r="AV143" s="45">
        <v>9.4183827861649347E-2</v>
      </c>
      <c r="AW143" s="45">
        <v>5.7139106868429315E-3</v>
      </c>
      <c r="AX143" s="45">
        <v>0.29071870700282604</v>
      </c>
      <c r="AY143" s="45">
        <v>3.1174720506054736E-2</v>
      </c>
      <c r="AZ143" s="45">
        <v>1.0914883105506366E-2</v>
      </c>
      <c r="BA143" s="45"/>
      <c r="BB143" s="45"/>
      <c r="BC143" s="45"/>
      <c r="BD143" s="45"/>
      <c r="BE143" s="45"/>
      <c r="BF143" s="45"/>
      <c r="BG143" s="45"/>
      <c r="BH143" s="45"/>
      <c r="BI143" s="45"/>
      <c r="BJ143" s="45"/>
      <c r="BK143" s="45"/>
      <c r="BL143" s="45"/>
      <c r="BM143" s="45"/>
      <c r="BN143" s="45"/>
      <c r="BO143" s="45"/>
      <c r="BP143" s="45">
        <v>5.3168483960692833E-2</v>
      </c>
      <c r="BQ143" s="45">
        <v>0.60741245029861912</v>
      </c>
      <c r="BR143" s="45"/>
      <c r="BS143" s="45"/>
      <c r="BT143" s="45">
        <v>105.26844116812084</v>
      </c>
      <c r="BU143" s="45"/>
      <c r="BV143" s="45"/>
      <c r="BW143" s="45">
        <v>16.187212544598264</v>
      </c>
      <c r="BX143" s="45"/>
      <c r="BY143" s="45">
        <v>74945.186219677111</v>
      </c>
      <c r="BZ143" s="45">
        <v>378.47687249238959</v>
      </c>
      <c r="CA143" s="45">
        <v>6.8909223106506365</v>
      </c>
      <c r="CB143" s="45">
        <v>803.41012579821609</v>
      </c>
      <c r="CC143" s="45">
        <v>40585.126126036062</v>
      </c>
      <c r="CD143" s="45">
        <v>89.355880707556068</v>
      </c>
      <c r="CE143" s="45">
        <v>9139.122542611105</v>
      </c>
      <c r="CF143" s="45">
        <v>1379.4598897021119</v>
      </c>
      <c r="CG143" s="45">
        <v>0.40333420477628301</v>
      </c>
      <c r="CH143" s="45">
        <v>35.138770275659816</v>
      </c>
      <c r="CI143" s="45">
        <v>132.55008071279801</v>
      </c>
      <c r="CJ143" s="45">
        <v>4.3129089032241434E-2</v>
      </c>
      <c r="CK143" s="45"/>
      <c r="CL143" s="45"/>
      <c r="CM143" s="45"/>
      <c r="CN143" s="45"/>
      <c r="CO143" s="45"/>
      <c r="CP143" s="45"/>
      <c r="CQ143" s="45"/>
      <c r="CR143" s="45"/>
      <c r="CS143" s="45"/>
      <c r="CT143" s="45"/>
      <c r="CU143" s="45"/>
      <c r="CV143" s="45"/>
      <c r="CW143" s="45"/>
      <c r="CX143" s="45"/>
      <c r="CY143" s="45"/>
      <c r="CZ143" s="45">
        <v>13.297329032589495</v>
      </c>
      <c r="DA143" s="45">
        <v>1.1258219753018142</v>
      </c>
      <c r="DB143" s="45"/>
      <c r="DC143" s="45"/>
      <c r="DD143" s="45">
        <v>30835028.859916784</v>
      </c>
      <c r="DE143" s="45"/>
      <c r="DF143" s="45"/>
      <c r="DG143" s="45">
        <v>27637552.643550623</v>
      </c>
      <c r="DH143" s="45"/>
      <c r="DI143" s="45">
        <v>2074307699.0402219</v>
      </c>
      <c r="DJ143" s="45">
        <v>144922229.17059639</v>
      </c>
      <c r="DK143" s="45">
        <v>84448226.174757287</v>
      </c>
      <c r="DL143" s="45">
        <v>215802452.50485438</v>
      </c>
      <c r="DM143" s="45">
        <v>393070770.95145631</v>
      </c>
      <c r="DN143" s="45">
        <v>48743104.443828017</v>
      </c>
      <c r="DO143" s="45">
        <v>306849658.49653262</v>
      </c>
      <c r="DP143" s="45">
        <v>114420010.25242719</v>
      </c>
      <c r="DQ143" s="45">
        <v>110303683.63938974</v>
      </c>
      <c r="DR143" s="45">
        <v>535258031.04576975</v>
      </c>
      <c r="DS143" s="45">
        <v>23361163.894590847</v>
      </c>
      <c r="DT143" s="45">
        <v>160023795.80952382</v>
      </c>
      <c r="DU143" s="45"/>
      <c r="DV143" s="45"/>
      <c r="DW143" s="45"/>
      <c r="DX143" s="45"/>
      <c r="DY143" s="45"/>
      <c r="DZ143" s="45"/>
      <c r="EA143" s="45"/>
      <c r="EB143" s="45"/>
      <c r="EC143" s="45"/>
      <c r="ED143" s="45"/>
      <c r="EE143" s="45"/>
      <c r="EF143" s="45"/>
      <c r="EG143" s="45"/>
      <c r="EH143" s="45"/>
      <c r="EI143" s="45"/>
      <c r="EJ143" s="45">
        <v>67191545.253814146</v>
      </c>
      <c r="EK143" s="45">
        <v>25098396.22746186</v>
      </c>
      <c r="EL143" s="45">
        <v>1.7131102614014979</v>
      </c>
      <c r="EM143" s="45">
        <v>2.7769627721261823</v>
      </c>
      <c r="EN143" s="45">
        <v>1.0617161917959912</v>
      </c>
      <c r="EO143" s="45"/>
      <c r="EP143" s="45"/>
      <c r="EQ143" s="45"/>
    </row>
    <row r="144" spans="1:147" s="92" customFormat="1" ht="15" customHeight="1" x14ac:dyDescent="0.25">
      <c r="A144" s="102" t="s">
        <v>838</v>
      </c>
      <c r="B144" s="137"/>
      <c r="C144" s="104" t="s">
        <v>841</v>
      </c>
      <c r="D144" s="103"/>
      <c r="E144" s="103" t="s">
        <v>46</v>
      </c>
      <c r="F144" s="119"/>
      <c r="G144" s="119"/>
      <c r="H144" s="119"/>
      <c r="I144" s="102"/>
      <c r="J144" s="114" t="s">
        <v>242</v>
      </c>
      <c r="K144" s="45"/>
      <c r="L144" s="45"/>
      <c r="M144" s="45"/>
      <c r="N144" s="45"/>
      <c r="O144" s="45"/>
      <c r="P144" s="45"/>
      <c r="Q144" s="45"/>
      <c r="R144" s="45"/>
      <c r="S144" s="45"/>
      <c r="T144" s="45"/>
      <c r="U144" s="45"/>
      <c r="V144" s="45"/>
      <c r="W144" s="45"/>
      <c r="X144" s="45"/>
      <c r="Y144" s="45"/>
      <c r="Z144" s="45"/>
      <c r="AA144" s="45"/>
      <c r="AB144" s="45"/>
      <c r="AC144" s="45"/>
      <c r="AD144" s="45"/>
      <c r="AE144" s="45"/>
      <c r="AF144" s="45"/>
      <c r="AG144" s="45"/>
      <c r="AH144" s="45"/>
      <c r="AI144" s="45"/>
      <c r="AJ144" s="45"/>
      <c r="AK144" s="45"/>
      <c r="AL144" s="45"/>
      <c r="AM144" s="45"/>
      <c r="AN144" s="45"/>
      <c r="AO144" s="45"/>
      <c r="AP144" s="45"/>
      <c r="AQ144" s="45"/>
      <c r="AR144" s="45"/>
      <c r="AS144" s="45"/>
      <c r="AT144" s="45"/>
      <c r="AU144" s="45"/>
      <c r="AV144" s="45"/>
      <c r="AW144" s="45"/>
      <c r="AX144" s="45"/>
      <c r="AY144" s="45"/>
      <c r="AZ144" s="45"/>
      <c r="BA144" s="45"/>
      <c r="BB144" s="45"/>
      <c r="BC144" s="45"/>
      <c r="BD144" s="45"/>
      <c r="BE144" s="45"/>
      <c r="BF144" s="45"/>
      <c r="BG144" s="45"/>
      <c r="BH144" s="45"/>
      <c r="BI144" s="45"/>
      <c r="BJ144" s="45"/>
      <c r="BK144" s="45"/>
      <c r="BL144" s="45"/>
      <c r="BM144" s="45"/>
      <c r="BN144" s="45"/>
      <c r="BO144" s="45"/>
      <c r="BP144" s="45"/>
      <c r="BQ144" s="45"/>
      <c r="BR144" s="45"/>
      <c r="BS144" s="45"/>
      <c r="BT144" s="45"/>
      <c r="BU144" s="45"/>
      <c r="BV144" s="45"/>
      <c r="BW144" s="45"/>
      <c r="BX144" s="45"/>
      <c r="BY144" s="45"/>
      <c r="BZ144" s="45"/>
      <c r="CA144" s="45"/>
      <c r="CB144" s="45"/>
      <c r="CC144" s="45"/>
      <c r="CD144" s="45"/>
      <c r="CE144" s="45"/>
      <c r="CF144" s="45"/>
      <c r="CG144" s="45"/>
      <c r="CH144" s="45"/>
      <c r="CI144" s="45"/>
      <c r="CJ144" s="45"/>
      <c r="CK144" s="45"/>
      <c r="CL144" s="45"/>
      <c r="CM144" s="45"/>
      <c r="CN144" s="45"/>
      <c r="CO144" s="45"/>
      <c r="CP144" s="45"/>
      <c r="CQ144" s="45"/>
      <c r="CR144" s="45"/>
      <c r="CS144" s="45"/>
      <c r="CT144" s="45"/>
      <c r="CU144" s="45"/>
      <c r="CV144" s="45"/>
      <c r="CW144" s="45"/>
      <c r="CX144" s="45"/>
      <c r="CY144" s="45"/>
      <c r="CZ144" s="45"/>
      <c r="DA144" s="45"/>
      <c r="DB144" s="45"/>
      <c r="DC144" s="45"/>
      <c r="DD144" s="45"/>
      <c r="DE144" s="45"/>
      <c r="DF144" s="45"/>
      <c r="DG144" s="45"/>
      <c r="DH144" s="45"/>
      <c r="DI144" s="45"/>
      <c r="DJ144" s="45"/>
      <c r="DK144" s="45"/>
      <c r="DL144" s="45"/>
      <c r="DM144" s="45"/>
      <c r="DN144" s="45"/>
      <c r="DO144" s="45"/>
      <c r="DP144" s="45"/>
      <c r="DQ144" s="45"/>
      <c r="DR144" s="45"/>
      <c r="DS144" s="45"/>
      <c r="DT144" s="45"/>
      <c r="DU144" s="45"/>
      <c r="DV144" s="45"/>
      <c r="DW144" s="45"/>
      <c r="DX144" s="45"/>
      <c r="DY144" s="45"/>
      <c r="DZ144" s="45"/>
      <c r="EA144" s="45"/>
      <c r="EB144" s="45"/>
      <c r="EC144" s="45"/>
      <c r="ED144" s="45"/>
      <c r="EE144" s="45"/>
      <c r="EF144" s="45"/>
      <c r="EG144" s="45"/>
      <c r="EH144" s="45"/>
      <c r="EI144" s="45"/>
      <c r="EJ144" s="45"/>
      <c r="EK144" s="45"/>
      <c r="EL144" s="45"/>
      <c r="EM144" s="45"/>
      <c r="EN144" s="45"/>
      <c r="EO144" s="45"/>
      <c r="EP144" s="45"/>
      <c r="EQ144" s="45"/>
    </row>
    <row r="145" spans="1:147" s="92" customFormat="1" ht="15" customHeight="1" x14ac:dyDescent="0.25">
      <c r="A145" s="106" t="s">
        <v>580</v>
      </c>
      <c r="B145" s="134" t="s">
        <v>915</v>
      </c>
      <c r="C145" s="108" t="s">
        <v>581</v>
      </c>
      <c r="D145" s="107" t="s">
        <v>543</v>
      </c>
      <c r="E145" s="107" t="s">
        <v>46</v>
      </c>
      <c r="F145" s="118" t="s">
        <v>47</v>
      </c>
      <c r="G145" s="118">
        <v>16</v>
      </c>
      <c r="H145" s="118">
        <v>256</v>
      </c>
      <c r="I145" s="106"/>
      <c r="J145" s="109" t="s">
        <v>233</v>
      </c>
      <c r="K145" s="45">
        <v>3224.7961165048546</v>
      </c>
      <c r="L145" s="45">
        <v>12645.16212611471</v>
      </c>
      <c r="M145" s="45">
        <v>536.50160953884256</v>
      </c>
      <c r="N145" s="45"/>
      <c r="O145" s="45"/>
      <c r="P145" s="45"/>
      <c r="Q145" s="45">
        <v>4.0288331660261703E-2</v>
      </c>
      <c r="R145" s="45">
        <v>40428.302029854894</v>
      </c>
      <c r="S145" s="45"/>
      <c r="T145" s="45"/>
      <c r="U145" s="45"/>
      <c r="V145" s="45"/>
      <c r="W145" s="45"/>
      <c r="X145" s="45"/>
      <c r="Y145" s="45"/>
      <c r="Z145" s="45"/>
      <c r="AA145" s="45">
        <v>64232.336888346937</v>
      </c>
      <c r="AB145" s="45"/>
      <c r="AC145" s="45"/>
      <c r="AD145" s="45"/>
      <c r="AE145" s="45">
        <v>97.180314543711347</v>
      </c>
      <c r="AF145" s="45">
        <v>28958.528469650701</v>
      </c>
      <c r="AG145" s="45">
        <v>23760.779843942692</v>
      </c>
      <c r="AH145" s="45">
        <v>9.6038578811937558</v>
      </c>
      <c r="AI145" s="45"/>
      <c r="AJ145" s="45">
        <v>0.20355842115571277</v>
      </c>
      <c r="AK145" s="45"/>
      <c r="AL145" s="45">
        <v>4.3311144264645245</v>
      </c>
      <c r="AM145" s="45">
        <v>0.46709077971857638</v>
      </c>
      <c r="AN145" s="45"/>
      <c r="AO145" s="45">
        <v>10.758678341601291</v>
      </c>
      <c r="AP145" s="45">
        <v>1.7259941609489229</v>
      </c>
      <c r="AQ145" s="45">
        <v>0.2550610135212375</v>
      </c>
      <c r="AR145" s="45">
        <v>0.42180587107194201</v>
      </c>
      <c r="AS145" s="45">
        <v>7.2492334060070274</v>
      </c>
      <c r="AT145" s="45">
        <v>7.1938223823283728E-2</v>
      </c>
      <c r="AU145" s="45">
        <v>0.19615861432394976</v>
      </c>
      <c r="AV145" s="45">
        <v>0.48199621758345812</v>
      </c>
      <c r="AW145" s="45"/>
      <c r="AX145" s="45"/>
      <c r="AY145" s="45">
        <v>3.2328720615347875E-2</v>
      </c>
      <c r="AZ145" s="45"/>
      <c r="BA145" s="45"/>
      <c r="BB145" s="45"/>
      <c r="BC145" s="45"/>
      <c r="BD145" s="45"/>
      <c r="BE145" s="45"/>
      <c r="BF145" s="45"/>
      <c r="BG145" s="45"/>
      <c r="BH145" s="45"/>
      <c r="BI145" s="45"/>
      <c r="BJ145" s="45"/>
      <c r="BK145" s="45"/>
      <c r="BL145" s="45"/>
      <c r="BM145" s="45"/>
      <c r="BN145" s="45"/>
      <c r="BO145" s="45"/>
      <c r="BP145" s="45">
        <v>4.7670231924811804E-2</v>
      </c>
      <c r="BQ145" s="45">
        <v>0.32117477126375527</v>
      </c>
      <c r="BR145" s="45">
        <v>292537.08722448733</v>
      </c>
      <c r="BS145" s="45"/>
      <c r="BT145" s="45">
        <v>105.27122259855757</v>
      </c>
      <c r="BU145" s="45"/>
      <c r="BV145" s="45">
        <v>16586.892078602246</v>
      </c>
      <c r="BW145" s="45">
        <v>93.875716157219458</v>
      </c>
      <c r="BX145" s="45"/>
      <c r="BY145" s="45">
        <v>140981.53501734955</v>
      </c>
      <c r="BZ145" s="45">
        <v>2851.9949012260176</v>
      </c>
      <c r="CA145" s="45">
        <v>6.8917308480831201</v>
      </c>
      <c r="CB145" s="45">
        <v>43.522544661911184</v>
      </c>
      <c r="CC145" s="45">
        <v>254910.06103651813</v>
      </c>
      <c r="CD145" s="45">
        <v>103.49081118345347</v>
      </c>
      <c r="CE145" s="45">
        <v>6485.1776736269057</v>
      </c>
      <c r="CF145" s="45">
        <v>6647.5508526523508</v>
      </c>
      <c r="CG145" s="45"/>
      <c r="CH145" s="45"/>
      <c r="CI145" s="45">
        <v>721.02288523185541</v>
      </c>
      <c r="CJ145" s="45"/>
      <c r="CK145" s="45"/>
      <c r="CL145" s="45"/>
      <c r="CM145" s="45"/>
      <c r="CN145" s="45"/>
      <c r="CO145" s="45"/>
      <c r="CP145" s="45"/>
      <c r="CQ145" s="45"/>
      <c r="CR145" s="45"/>
      <c r="CS145" s="45"/>
      <c r="CT145" s="45"/>
      <c r="CU145" s="45"/>
      <c r="CV145" s="45"/>
      <c r="CW145" s="45"/>
      <c r="CX145" s="45"/>
      <c r="CY145" s="45"/>
      <c r="CZ145" s="45">
        <v>13.227890639820593</v>
      </c>
      <c r="DA145" s="45">
        <v>20.773907838803066</v>
      </c>
      <c r="DB145" s="45">
        <v>457027584</v>
      </c>
      <c r="DC145" s="45"/>
      <c r="DD145" s="45">
        <v>24402615.922330096</v>
      </c>
      <c r="DE145" s="45"/>
      <c r="DF145" s="45">
        <v>102193561.59999999</v>
      </c>
      <c r="DG145" s="45">
        <v>148901922.08599168</v>
      </c>
      <c r="DH145" s="45"/>
      <c r="DI145" s="45">
        <v>1344060854.8571429</v>
      </c>
      <c r="DJ145" s="45">
        <v>206895544.27739251</v>
      </c>
      <c r="DK145" s="45">
        <v>73215403.495145634</v>
      </c>
      <c r="DL145" s="45">
        <v>185424925.82524273</v>
      </c>
      <c r="DM145" s="45">
        <v>446584482.61858529</v>
      </c>
      <c r="DN145" s="45">
        <v>42355327.112343967</v>
      </c>
      <c r="DO145" s="45">
        <v>127766385.97503467</v>
      </c>
      <c r="DP145" s="45">
        <v>103898028.20527045</v>
      </c>
      <c r="DQ145" s="45"/>
      <c r="DR145" s="45"/>
      <c r="DS145" s="45">
        <v>24077259.450762831</v>
      </c>
      <c r="DT145" s="45"/>
      <c r="DU145" s="45"/>
      <c r="DV145" s="45"/>
      <c r="DW145" s="45"/>
      <c r="DX145" s="45"/>
      <c r="DY145" s="45"/>
      <c r="DZ145" s="45"/>
      <c r="EA145" s="45"/>
      <c r="EB145" s="45"/>
      <c r="EC145" s="45"/>
      <c r="ED145" s="45"/>
      <c r="EE145" s="45"/>
      <c r="EF145" s="45"/>
      <c r="EG145" s="45"/>
      <c r="EH145" s="45"/>
      <c r="EI145" s="45"/>
      <c r="EJ145" s="45">
        <v>65957325.581137307</v>
      </c>
      <c r="EK145" s="45">
        <v>29372694.368932039</v>
      </c>
      <c r="EL145" s="45">
        <v>2.8928837194767771</v>
      </c>
      <c r="EM145" s="45">
        <v>6.3281197638883784</v>
      </c>
      <c r="EN145" s="45">
        <v>3.4348873252466636</v>
      </c>
      <c r="EO145" s="45"/>
      <c r="EP145" s="45"/>
      <c r="EQ145" s="45"/>
    </row>
    <row r="146" spans="1:147" s="92" customFormat="1" ht="15" customHeight="1" x14ac:dyDescent="0.25">
      <c r="A146" s="102" t="s">
        <v>569</v>
      </c>
      <c r="B146" s="139"/>
      <c r="C146" s="104" t="s">
        <v>571</v>
      </c>
      <c r="D146" s="103"/>
      <c r="E146" s="103" t="s">
        <v>46</v>
      </c>
      <c r="F146" s="119"/>
      <c r="G146" s="119"/>
      <c r="H146" s="119"/>
      <c r="I146" s="102"/>
      <c r="J146" s="114" t="s">
        <v>242</v>
      </c>
      <c r="K146" s="45"/>
      <c r="L146" s="45"/>
      <c r="M146" s="45"/>
      <c r="N146" s="45"/>
      <c r="O146" s="45"/>
      <c r="P146" s="45"/>
      <c r="Q146" s="45"/>
      <c r="R146" s="45"/>
      <c r="S146" s="45"/>
      <c r="T146" s="45"/>
      <c r="U146" s="45"/>
      <c r="V146" s="45"/>
      <c r="W146" s="45"/>
      <c r="X146" s="45"/>
      <c r="Y146" s="45"/>
      <c r="Z146" s="45"/>
      <c r="AA146" s="45"/>
      <c r="AB146" s="45"/>
      <c r="AC146" s="45"/>
      <c r="AD146" s="45"/>
      <c r="AE146" s="45"/>
      <c r="AF146" s="45"/>
      <c r="AG146" s="45"/>
      <c r="AH146" s="45"/>
      <c r="AI146" s="45"/>
      <c r="AJ146" s="45"/>
      <c r="AK146" s="45"/>
      <c r="AL146" s="45"/>
      <c r="AM146" s="45"/>
      <c r="AN146" s="45"/>
      <c r="AO146" s="45"/>
      <c r="AP146" s="45"/>
      <c r="AQ146" s="45"/>
      <c r="AR146" s="45"/>
      <c r="AS146" s="45"/>
      <c r="AT146" s="45"/>
      <c r="AU146" s="45"/>
      <c r="AV146" s="45"/>
      <c r="AW146" s="45"/>
      <c r="AX146" s="45"/>
      <c r="AY146" s="45"/>
      <c r="AZ146" s="45"/>
      <c r="BA146" s="45"/>
      <c r="BB146" s="45"/>
      <c r="BC146" s="45"/>
      <c r="BD146" s="45"/>
      <c r="BE146" s="45"/>
      <c r="BF146" s="45"/>
      <c r="BG146" s="45"/>
      <c r="BH146" s="45"/>
      <c r="BI146" s="45"/>
      <c r="BJ146" s="45"/>
      <c r="BK146" s="45"/>
      <c r="BL146" s="45"/>
      <c r="BM146" s="45"/>
      <c r="BN146" s="45"/>
      <c r="BO146" s="45"/>
      <c r="BP146" s="45"/>
      <c r="BQ146" s="45"/>
      <c r="BR146" s="45"/>
      <c r="BS146" s="45"/>
      <c r="BT146" s="45"/>
      <c r="BU146" s="45"/>
      <c r="BV146" s="45"/>
      <c r="BW146" s="45"/>
      <c r="BX146" s="45"/>
      <c r="BY146" s="45"/>
      <c r="BZ146" s="45"/>
      <c r="CA146" s="45"/>
      <c r="CB146" s="45"/>
      <c r="CC146" s="45"/>
      <c r="CD146" s="45"/>
      <c r="CE146" s="45"/>
      <c r="CF146" s="45"/>
      <c r="CG146" s="45"/>
      <c r="CH146" s="45"/>
      <c r="CI146" s="45"/>
      <c r="CJ146" s="45"/>
      <c r="CK146" s="45"/>
      <c r="CL146" s="45"/>
      <c r="CM146" s="45"/>
      <c r="CN146" s="45"/>
      <c r="CO146" s="45"/>
      <c r="CP146" s="45"/>
      <c r="CQ146" s="45"/>
      <c r="CR146" s="45"/>
      <c r="CS146" s="45"/>
      <c r="CT146" s="45"/>
      <c r="CU146" s="45"/>
      <c r="CV146" s="45"/>
      <c r="CW146" s="45"/>
      <c r="CX146" s="45"/>
      <c r="CY146" s="45"/>
      <c r="CZ146" s="45"/>
      <c r="DA146" s="45"/>
      <c r="DB146" s="45"/>
      <c r="DC146" s="45"/>
      <c r="DD146" s="45"/>
      <c r="DE146" s="45"/>
      <c r="DF146" s="45"/>
      <c r="DG146" s="45"/>
      <c r="DH146" s="45"/>
      <c r="DI146" s="45"/>
      <c r="DJ146" s="45"/>
      <c r="DK146" s="45"/>
      <c r="DL146" s="45"/>
      <c r="DM146" s="45"/>
      <c r="DN146" s="45"/>
      <c r="DO146" s="45"/>
      <c r="DP146" s="45"/>
      <c r="DQ146" s="45"/>
      <c r="DR146" s="45"/>
      <c r="DS146" s="45"/>
      <c r="DT146" s="45"/>
      <c r="DU146" s="45"/>
      <c r="DV146" s="45"/>
      <c r="DW146" s="45"/>
      <c r="DX146" s="45"/>
      <c r="DY146" s="45"/>
      <c r="DZ146" s="45"/>
      <c r="EA146" s="45"/>
      <c r="EB146" s="45"/>
      <c r="EC146" s="45"/>
      <c r="ED146" s="45"/>
      <c r="EE146" s="45"/>
      <c r="EF146" s="45"/>
      <c r="EG146" s="45"/>
      <c r="EH146" s="45"/>
      <c r="EI146" s="45"/>
      <c r="EJ146" s="45"/>
      <c r="EK146" s="45"/>
      <c r="EL146" s="45"/>
      <c r="EM146" s="45"/>
      <c r="EN146" s="45"/>
      <c r="EO146" s="45"/>
      <c r="EP146" s="45"/>
      <c r="EQ146" s="45"/>
    </row>
    <row r="147" spans="1:147" s="92" customFormat="1" ht="15" customHeight="1" x14ac:dyDescent="0.25">
      <c r="A147" s="106" t="s">
        <v>839</v>
      </c>
      <c r="B147" s="134" t="s">
        <v>916</v>
      </c>
      <c r="C147" s="108" t="s">
        <v>842</v>
      </c>
      <c r="D147" s="107"/>
      <c r="E147" s="107" t="s">
        <v>46</v>
      </c>
      <c r="F147" s="118"/>
      <c r="G147" s="118"/>
      <c r="H147" s="118"/>
      <c r="I147" s="106"/>
      <c r="J147" s="109" t="s">
        <v>242</v>
      </c>
      <c r="K147" s="45">
        <v>4182.4479889042996</v>
      </c>
      <c r="L147" s="45">
        <v>4143.5636888874769</v>
      </c>
      <c r="M147" s="45">
        <v>80.820789789723804</v>
      </c>
      <c r="N147" s="45"/>
      <c r="O147" s="45"/>
      <c r="P147" s="45"/>
      <c r="Q147" s="45">
        <v>2.3814286836978651</v>
      </c>
      <c r="R147" s="45"/>
      <c r="S147" s="45"/>
      <c r="T147" s="45"/>
      <c r="U147" s="45"/>
      <c r="V147" s="45"/>
      <c r="W147" s="45"/>
      <c r="X147" s="45"/>
      <c r="Y147" s="45"/>
      <c r="Z147" s="45"/>
      <c r="AA147" s="45">
        <v>10543.213315918441</v>
      </c>
      <c r="AB147" s="45"/>
      <c r="AC147" s="45"/>
      <c r="AD147" s="45"/>
      <c r="AE147" s="45">
        <v>98.073477988011945</v>
      </c>
      <c r="AF147" s="45">
        <v>35875.252380063226</v>
      </c>
      <c r="AG147" s="45">
        <v>14486.522588400419</v>
      </c>
      <c r="AH147" s="45"/>
      <c r="AI147" s="45"/>
      <c r="AJ147" s="45">
        <v>0.2283692047921754</v>
      </c>
      <c r="AK147" s="45"/>
      <c r="AL147" s="45">
        <v>0.88556574576988401</v>
      </c>
      <c r="AM147" s="45">
        <v>7.0891210258473655E-2</v>
      </c>
      <c r="AN147" s="45"/>
      <c r="AO147" s="45">
        <v>7.9824166215391541</v>
      </c>
      <c r="AP147" s="45">
        <v>2.4374348184270093E-2</v>
      </c>
      <c r="AQ147" s="45">
        <v>0.25723210126381651</v>
      </c>
      <c r="AR147" s="45">
        <v>0.56923160237146087</v>
      </c>
      <c r="AS147" s="45">
        <v>4.5274065387845051</v>
      </c>
      <c r="AT147" s="45">
        <v>0.21570226796227321</v>
      </c>
      <c r="AU147" s="45">
        <v>0.71928648005555984</v>
      </c>
      <c r="AV147" s="45">
        <v>9.3750063386692145E-2</v>
      </c>
      <c r="AW147" s="45"/>
      <c r="AX147" s="45">
        <v>0.38586213237542494</v>
      </c>
      <c r="AY147" s="45">
        <v>2.8859836805639371E-2</v>
      </c>
      <c r="AZ147" s="45"/>
      <c r="BA147" s="45"/>
      <c r="BB147" s="45"/>
      <c r="BC147" s="45"/>
      <c r="BD147" s="45"/>
      <c r="BE147" s="45"/>
      <c r="BF147" s="45"/>
      <c r="BG147" s="45"/>
      <c r="BH147" s="45"/>
      <c r="BI147" s="45"/>
      <c r="BJ147" s="45"/>
      <c r="BK147" s="45"/>
      <c r="BL147" s="45"/>
      <c r="BM147" s="45"/>
      <c r="BN147" s="45"/>
      <c r="BO147" s="45"/>
      <c r="BP147" s="45">
        <v>5.0924851748900581E-2</v>
      </c>
      <c r="BQ147" s="45">
        <v>0.66724488598846066</v>
      </c>
      <c r="BR147" s="45"/>
      <c r="BS147" s="45"/>
      <c r="BT147" s="45">
        <v>105.26429932418796</v>
      </c>
      <c r="BU147" s="45"/>
      <c r="BV147" s="45">
        <v>1476.0782447633699</v>
      </c>
      <c r="BW147" s="45">
        <v>21.938569952592527</v>
      </c>
      <c r="BX147" s="45"/>
      <c r="BY147" s="45">
        <v>3817.9454595692928</v>
      </c>
      <c r="BZ147" s="45">
        <v>301.29516998779962</v>
      </c>
      <c r="CA147" s="45">
        <v>31.926763953507638</v>
      </c>
      <c r="CB147" s="45">
        <v>35.569280700148482</v>
      </c>
      <c r="CC147" s="45">
        <v>274719.42492526956</v>
      </c>
      <c r="CD147" s="45">
        <v>100.91823535725695</v>
      </c>
      <c r="CE147" s="45">
        <v>80949.252419336612</v>
      </c>
      <c r="CF147" s="45">
        <v>2320.5276343483329</v>
      </c>
      <c r="CG147" s="45"/>
      <c r="CH147" s="45">
        <v>37.765205224053325</v>
      </c>
      <c r="CI147" s="45">
        <v>127.04384329592003</v>
      </c>
      <c r="CJ147" s="45"/>
      <c r="CK147" s="45"/>
      <c r="CL147" s="45"/>
      <c r="CM147" s="45"/>
      <c r="CN147" s="45"/>
      <c r="CO147" s="45"/>
      <c r="CP147" s="45"/>
      <c r="CQ147" s="45"/>
      <c r="CR147" s="45"/>
      <c r="CS147" s="45"/>
      <c r="CT147" s="45"/>
      <c r="CU147" s="45"/>
      <c r="CV147" s="45"/>
      <c r="CW147" s="45"/>
      <c r="CX147" s="45"/>
      <c r="CY147" s="45"/>
      <c r="CZ147" s="45">
        <v>13.29642154711097</v>
      </c>
      <c r="DA147" s="45">
        <v>1.1217936415054994</v>
      </c>
      <c r="DB147" s="45"/>
      <c r="DC147" s="45"/>
      <c r="DD147" s="45">
        <v>26244293.414701805</v>
      </c>
      <c r="DE147" s="45"/>
      <c r="DF147" s="45">
        <v>101621760</v>
      </c>
      <c r="DG147" s="45">
        <v>17613197.669902913</v>
      </c>
      <c r="DH147" s="45"/>
      <c r="DI147" s="45">
        <v>1428376867.1511788</v>
      </c>
      <c r="DJ147" s="45">
        <v>118452712.56588072</v>
      </c>
      <c r="DK147" s="45">
        <v>73594593.109570041</v>
      </c>
      <c r="DL147" s="45">
        <v>192442049.86407766</v>
      </c>
      <c r="DM147" s="45">
        <v>383087722.51872396</v>
      </c>
      <c r="DN147" s="45">
        <v>42259625.00970874</v>
      </c>
      <c r="DO147" s="45">
        <v>280125093.45908463</v>
      </c>
      <c r="DP147" s="45">
        <v>102369737.32038835</v>
      </c>
      <c r="DQ147" s="45"/>
      <c r="DR147" s="45">
        <v>110518737.84188627</v>
      </c>
      <c r="DS147" s="45">
        <v>22249807.178918168</v>
      </c>
      <c r="DT147" s="45"/>
      <c r="DU147" s="45"/>
      <c r="DV147" s="45"/>
      <c r="DW147" s="45"/>
      <c r="DX147" s="45"/>
      <c r="DY147" s="45"/>
      <c r="DZ147" s="45"/>
      <c r="EA147" s="45"/>
      <c r="EB147" s="45"/>
      <c r="EC147" s="45"/>
      <c r="ED147" s="45"/>
      <c r="EE147" s="45"/>
      <c r="EF147" s="45"/>
      <c r="EG147" s="45"/>
      <c r="EH147" s="45"/>
      <c r="EI147" s="45"/>
      <c r="EJ147" s="45">
        <v>70402610.418862686</v>
      </c>
      <c r="EK147" s="45">
        <v>25227042.441054091</v>
      </c>
      <c r="EL147" s="45">
        <v>1.889451370672337</v>
      </c>
      <c r="EM147" s="45">
        <v>3.2412027070890455</v>
      </c>
      <c r="EN147" s="45">
        <v>1.3510635226510752</v>
      </c>
      <c r="EO147" s="45"/>
      <c r="EP147" s="45"/>
      <c r="EQ147" s="45"/>
    </row>
    <row r="148" spans="1:147" s="92" customFormat="1" ht="15" customHeight="1" x14ac:dyDescent="0.25">
      <c r="A148" s="102" t="s">
        <v>840</v>
      </c>
      <c r="B148" s="139"/>
      <c r="C148" s="104" t="s">
        <v>843</v>
      </c>
      <c r="D148" s="103"/>
      <c r="E148" s="103" t="s">
        <v>46</v>
      </c>
      <c r="F148" s="119"/>
      <c r="G148" s="119"/>
      <c r="H148" s="119"/>
      <c r="I148" s="102"/>
      <c r="J148" s="114" t="s">
        <v>242</v>
      </c>
      <c r="K148" s="45"/>
      <c r="L148" s="45"/>
      <c r="M148" s="45"/>
      <c r="N148" s="45"/>
      <c r="O148" s="45"/>
      <c r="P148" s="45"/>
      <c r="Q148" s="45"/>
      <c r="R148" s="45"/>
      <c r="S148" s="45"/>
      <c r="T148" s="45"/>
      <c r="U148" s="45"/>
      <c r="V148" s="45"/>
      <c r="W148" s="45"/>
      <c r="X148" s="45"/>
      <c r="Y148" s="45"/>
      <c r="Z148" s="45"/>
      <c r="AA148" s="45"/>
      <c r="AB148" s="45"/>
      <c r="AC148" s="45"/>
      <c r="AD148" s="45"/>
      <c r="AE148" s="45"/>
      <c r="AF148" s="45"/>
      <c r="AG148" s="45"/>
      <c r="AH148" s="45"/>
      <c r="AI148" s="45"/>
      <c r="AJ148" s="45"/>
      <c r="AK148" s="45"/>
      <c r="AL148" s="45"/>
      <c r="AM148" s="45"/>
      <c r="AN148" s="45"/>
      <c r="AO148" s="45"/>
      <c r="AP148" s="45"/>
      <c r="AQ148" s="45"/>
      <c r="AR148" s="45"/>
      <c r="AS148" s="45"/>
      <c r="AT148" s="45"/>
      <c r="AU148" s="45"/>
      <c r="AV148" s="45"/>
      <c r="AW148" s="45"/>
      <c r="AX148" s="45"/>
      <c r="AY148" s="45"/>
      <c r="AZ148" s="45"/>
      <c r="BA148" s="45"/>
      <c r="BB148" s="45"/>
      <c r="BC148" s="45"/>
      <c r="BD148" s="45"/>
      <c r="BE148" s="45"/>
      <c r="BF148" s="45"/>
      <c r="BG148" s="45"/>
      <c r="BH148" s="45"/>
      <c r="BI148" s="45"/>
      <c r="BJ148" s="45"/>
      <c r="BK148" s="45"/>
      <c r="BL148" s="45"/>
      <c r="BM148" s="45"/>
      <c r="BN148" s="45"/>
      <c r="BO148" s="45"/>
      <c r="BP148" s="45"/>
      <c r="BQ148" s="45"/>
      <c r="BR148" s="45"/>
      <c r="BS148" s="45"/>
      <c r="BT148" s="45"/>
      <c r="BU148" s="45"/>
      <c r="BV148" s="45"/>
      <c r="BW148" s="45"/>
      <c r="BX148" s="45"/>
      <c r="BY148" s="45"/>
      <c r="BZ148" s="45"/>
      <c r="CA148" s="45"/>
      <c r="CB148" s="45"/>
      <c r="CC148" s="45"/>
      <c r="CD148" s="45"/>
      <c r="CE148" s="45"/>
      <c r="CF148" s="45"/>
      <c r="CG148" s="45"/>
      <c r="CH148" s="45"/>
      <c r="CI148" s="45"/>
      <c r="CJ148" s="45"/>
      <c r="CK148" s="45"/>
      <c r="CL148" s="45"/>
      <c r="CM148" s="45"/>
      <c r="CN148" s="45"/>
      <c r="CO148" s="45"/>
      <c r="CP148" s="45"/>
      <c r="CQ148" s="45"/>
      <c r="CR148" s="45"/>
      <c r="CS148" s="45"/>
      <c r="CT148" s="45"/>
      <c r="CU148" s="45"/>
      <c r="CV148" s="45"/>
      <c r="CW148" s="45"/>
      <c r="CX148" s="45"/>
      <c r="CY148" s="45"/>
      <c r="CZ148" s="45"/>
      <c r="DA148" s="45"/>
      <c r="DB148" s="45"/>
      <c r="DC148" s="45"/>
      <c r="DD148" s="45"/>
      <c r="DE148" s="45"/>
      <c r="DF148" s="45"/>
      <c r="DG148" s="45"/>
      <c r="DH148" s="45"/>
      <c r="DI148" s="45"/>
      <c r="DJ148" s="45"/>
      <c r="DK148" s="45"/>
      <c r="DL148" s="45"/>
      <c r="DM148" s="45"/>
      <c r="DN148" s="45"/>
      <c r="DO148" s="45"/>
      <c r="DP148" s="45"/>
      <c r="DQ148" s="45"/>
      <c r="DR148" s="45"/>
      <c r="DS148" s="45"/>
      <c r="DT148" s="45"/>
      <c r="DU148" s="45"/>
      <c r="DV148" s="45"/>
      <c r="DW148" s="45"/>
      <c r="DX148" s="45"/>
      <c r="DY148" s="45"/>
      <c r="DZ148" s="45"/>
      <c r="EA148" s="45"/>
      <c r="EB148" s="45"/>
      <c r="EC148" s="45"/>
      <c r="ED148" s="45"/>
      <c r="EE148" s="45"/>
      <c r="EF148" s="45"/>
      <c r="EG148" s="45"/>
      <c r="EH148" s="45"/>
      <c r="EI148" s="45"/>
      <c r="EJ148" s="45"/>
      <c r="EK148" s="45"/>
      <c r="EL148" s="45"/>
      <c r="EM148" s="45"/>
      <c r="EN148" s="45"/>
      <c r="EO148" s="45"/>
      <c r="EP148" s="45"/>
      <c r="EQ148" s="45"/>
    </row>
    <row r="149" spans="1:147" s="92" customFormat="1" ht="15" customHeight="1" x14ac:dyDescent="0.25">
      <c r="A149" s="102" t="s">
        <v>325</v>
      </c>
      <c r="B149" s="139"/>
      <c r="C149" s="104" t="s">
        <v>844</v>
      </c>
      <c r="D149" s="103"/>
      <c r="E149" s="103" t="s">
        <v>46</v>
      </c>
      <c r="F149" s="119"/>
      <c r="G149" s="119"/>
      <c r="H149" s="119"/>
      <c r="I149" s="102"/>
      <c r="J149" s="114" t="s">
        <v>242</v>
      </c>
      <c r="K149" s="45"/>
      <c r="L149" s="45"/>
      <c r="M149" s="45"/>
      <c r="N149" s="45"/>
      <c r="O149" s="45"/>
      <c r="P149" s="45"/>
      <c r="Q149" s="45"/>
      <c r="R149" s="45"/>
      <c r="S149" s="45"/>
      <c r="T149" s="45"/>
      <c r="U149" s="45"/>
      <c r="V149" s="45"/>
      <c r="W149" s="45"/>
      <c r="X149" s="45"/>
      <c r="Y149" s="45"/>
      <c r="Z149" s="45"/>
      <c r="AA149" s="45"/>
      <c r="AB149" s="45"/>
      <c r="AC149" s="45"/>
      <c r="AD149" s="45"/>
      <c r="AE149" s="45"/>
      <c r="AF149" s="45"/>
      <c r="AG149" s="45"/>
      <c r="AH149" s="45"/>
      <c r="AI149" s="45"/>
      <c r="AJ149" s="45"/>
      <c r="AK149" s="45"/>
      <c r="AL149" s="45"/>
      <c r="AM149" s="45"/>
      <c r="AN149" s="45"/>
      <c r="AO149" s="45"/>
      <c r="AP149" s="45"/>
      <c r="AQ149" s="45"/>
      <c r="AR149" s="45"/>
      <c r="AS149" s="45"/>
      <c r="AT149" s="45"/>
      <c r="AU149" s="45"/>
      <c r="AV149" s="45"/>
      <c r="AW149" s="45"/>
      <c r="AX149" s="45"/>
      <c r="AY149" s="45"/>
      <c r="AZ149" s="45"/>
      <c r="BA149" s="45"/>
      <c r="BB149" s="45"/>
      <c r="BC149" s="45"/>
      <c r="BD149" s="45"/>
      <c r="BE149" s="45"/>
      <c r="BF149" s="45"/>
      <c r="BG149" s="45"/>
      <c r="BH149" s="45"/>
      <c r="BI149" s="45"/>
      <c r="BJ149" s="45"/>
      <c r="BK149" s="45"/>
      <c r="BL149" s="45"/>
      <c r="BM149" s="45"/>
      <c r="BN149" s="45"/>
      <c r="BO149" s="45"/>
      <c r="BP149" s="45"/>
      <c r="BQ149" s="45"/>
      <c r="BR149" s="45"/>
      <c r="BS149" s="45"/>
      <c r="BT149" s="45"/>
      <c r="BU149" s="45"/>
      <c r="BV149" s="45"/>
      <c r="BW149" s="45"/>
      <c r="BX149" s="45"/>
      <c r="BY149" s="45"/>
      <c r="BZ149" s="45"/>
      <c r="CA149" s="45"/>
      <c r="CB149" s="45"/>
      <c r="CC149" s="45"/>
      <c r="CD149" s="45"/>
      <c r="CE149" s="45"/>
      <c r="CF149" s="45"/>
      <c r="CG149" s="45"/>
      <c r="CH149" s="45"/>
      <c r="CI149" s="45"/>
      <c r="CJ149" s="45"/>
      <c r="CK149" s="45"/>
      <c r="CL149" s="45"/>
      <c r="CM149" s="45"/>
      <c r="CN149" s="45"/>
      <c r="CO149" s="45"/>
      <c r="CP149" s="45"/>
      <c r="CQ149" s="45"/>
      <c r="CR149" s="45"/>
      <c r="CS149" s="45"/>
      <c r="CT149" s="45"/>
      <c r="CU149" s="45"/>
      <c r="CV149" s="45"/>
      <c r="CW149" s="45"/>
      <c r="CX149" s="45"/>
      <c r="CY149" s="45"/>
      <c r="CZ149" s="45"/>
      <c r="DA149" s="45"/>
      <c r="DB149" s="45"/>
      <c r="DC149" s="45"/>
      <c r="DD149" s="45"/>
      <c r="DE149" s="45"/>
      <c r="DF149" s="45"/>
      <c r="DG149" s="45"/>
      <c r="DH149" s="45"/>
      <c r="DI149" s="45"/>
      <c r="DJ149" s="45"/>
      <c r="DK149" s="45"/>
      <c r="DL149" s="45"/>
      <c r="DM149" s="45"/>
      <c r="DN149" s="45"/>
      <c r="DO149" s="45"/>
      <c r="DP149" s="45"/>
      <c r="DQ149" s="45"/>
      <c r="DR149" s="45"/>
      <c r="DS149" s="45"/>
      <c r="DT149" s="45"/>
      <c r="DU149" s="45"/>
      <c r="DV149" s="45"/>
      <c r="DW149" s="45"/>
      <c r="DX149" s="45"/>
      <c r="DY149" s="45"/>
      <c r="DZ149" s="45"/>
      <c r="EA149" s="45"/>
      <c r="EB149" s="45"/>
      <c r="EC149" s="45"/>
      <c r="ED149" s="45"/>
      <c r="EE149" s="45"/>
      <c r="EF149" s="45"/>
      <c r="EG149" s="45"/>
      <c r="EH149" s="45"/>
      <c r="EI149" s="45"/>
      <c r="EJ149" s="45"/>
      <c r="EK149" s="45"/>
      <c r="EL149" s="45"/>
      <c r="EM149" s="45"/>
      <c r="EN149" s="45"/>
      <c r="EO149" s="45"/>
      <c r="EP149" s="45"/>
      <c r="EQ149" s="45"/>
    </row>
    <row r="150" spans="1:147" s="92" customFormat="1" ht="15" customHeight="1" x14ac:dyDescent="0.25">
      <c r="A150" s="102" t="s">
        <v>845</v>
      </c>
      <c r="B150" s="139"/>
      <c r="C150" s="104" t="s">
        <v>846</v>
      </c>
      <c r="D150" s="103"/>
      <c r="E150" s="103" t="s">
        <v>46</v>
      </c>
      <c r="F150" s="119"/>
      <c r="G150" s="119"/>
      <c r="H150" s="119"/>
      <c r="I150" s="102"/>
      <c r="J150" s="114" t="s">
        <v>242</v>
      </c>
      <c r="K150" s="45"/>
      <c r="L150" s="45"/>
      <c r="M150" s="45"/>
      <c r="N150" s="45"/>
      <c r="O150" s="45"/>
      <c r="P150" s="45"/>
      <c r="Q150" s="45"/>
      <c r="R150" s="45"/>
      <c r="S150" s="45"/>
      <c r="T150" s="45"/>
      <c r="U150" s="45"/>
      <c r="V150" s="45"/>
      <c r="W150" s="45"/>
      <c r="X150" s="45"/>
      <c r="Y150" s="45"/>
      <c r="Z150" s="45"/>
      <c r="AA150" s="45"/>
      <c r="AB150" s="45"/>
      <c r="AC150" s="45"/>
      <c r="AD150" s="45"/>
      <c r="AE150" s="45"/>
      <c r="AF150" s="45"/>
      <c r="AG150" s="45"/>
      <c r="AH150" s="45"/>
      <c r="AI150" s="45"/>
      <c r="AJ150" s="45"/>
      <c r="AK150" s="45"/>
      <c r="AL150" s="45"/>
      <c r="AM150" s="45"/>
      <c r="AN150" s="45"/>
      <c r="AO150" s="45"/>
      <c r="AP150" s="45"/>
      <c r="AQ150" s="45"/>
      <c r="AR150" s="45"/>
      <c r="AS150" s="45"/>
      <c r="AT150" s="45"/>
      <c r="AU150" s="45"/>
      <c r="AV150" s="45"/>
      <c r="AW150" s="45"/>
      <c r="AX150" s="45"/>
      <c r="AY150" s="45"/>
      <c r="AZ150" s="45"/>
      <c r="BA150" s="45"/>
      <c r="BB150" s="45"/>
      <c r="BC150" s="45"/>
      <c r="BD150" s="45"/>
      <c r="BE150" s="45"/>
      <c r="BF150" s="45"/>
      <c r="BG150" s="45"/>
      <c r="BH150" s="45"/>
      <c r="BI150" s="45"/>
      <c r="BJ150" s="45"/>
      <c r="BK150" s="45"/>
      <c r="BL150" s="45"/>
      <c r="BM150" s="45"/>
      <c r="BN150" s="45"/>
      <c r="BO150" s="45"/>
      <c r="BP150" s="45"/>
      <c r="BQ150" s="45"/>
      <c r="BR150" s="45"/>
      <c r="BS150" s="45"/>
      <c r="BT150" s="45"/>
      <c r="BU150" s="45"/>
      <c r="BV150" s="45"/>
      <c r="BW150" s="45"/>
      <c r="BX150" s="45"/>
      <c r="BY150" s="45"/>
      <c r="BZ150" s="45"/>
      <c r="CA150" s="45"/>
      <c r="CB150" s="45"/>
      <c r="CC150" s="45"/>
      <c r="CD150" s="45"/>
      <c r="CE150" s="45"/>
      <c r="CF150" s="45"/>
      <c r="CG150" s="45"/>
      <c r="CH150" s="45"/>
      <c r="CI150" s="45"/>
      <c r="CJ150" s="45"/>
      <c r="CK150" s="45"/>
      <c r="CL150" s="45"/>
      <c r="CM150" s="45"/>
      <c r="CN150" s="45"/>
      <c r="CO150" s="45"/>
      <c r="CP150" s="45"/>
      <c r="CQ150" s="45"/>
      <c r="CR150" s="45"/>
      <c r="CS150" s="45"/>
      <c r="CT150" s="45"/>
      <c r="CU150" s="45"/>
      <c r="CV150" s="45"/>
      <c r="CW150" s="45"/>
      <c r="CX150" s="45"/>
      <c r="CY150" s="45"/>
      <c r="CZ150" s="45"/>
      <c r="DA150" s="45"/>
      <c r="DB150" s="45"/>
      <c r="DC150" s="45"/>
      <c r="DD150" s="45"/>
      <c r="DE150" s="45"/>
      <c r="DF150" s="45"/>
      <c r="DG150" s="45"/>
      <c r="DH150" s="45"/>
      <c r="DI150" s="45"/>
      <c r="DJ150" s="45"/>
      <c r="DK150" s="45"/>
      <c r="DL150" s="45"/>
      <c r="DM150" s="45"/>
      <c r="DN150" s="45"/>
      <c r="DO150" s="45"/>
      <c r="DP150" s="45"/>
      <c r="DQ150" s="45"/>
      <c r="DR150" s="45"/>
      <c r="DS150" s="45"/>
      <c r="DT150" s="45"/>
      <c r="DU150" s="45"/>
      <c r="DV150" s="45"/>
      <c r="DW150" s="45"/>
      <c r="DX150" s="45"/>
      <c r="DY150" s="45"/>
      <c r="DZ150" s="45"/>
      <c r="EA150" s="45"/>
      <c r="EB150" s="45"/>
      <c r="EC150" s="45"/>
      <c r="ED150" s="45"/>
      <c r="EE150" s="45"/>
      <c r="EF150" s="45"/>
      <c r="EG150" s="45"/>
      <c r="EH150" s="45"/>
      <c r="EI150" s="45"/>
      <c r="EJ150" s="45"/>
      <c r="EK150" s="45"/>
      <c r="EL150" s="45"/>
      <c r="EM150" s="45"/>
      <c r="EN150" s="45"/>
      <c r="EO150" s="45"/>
      <c r="EP150" s="45"/>
      <c r="EQ150" s="45"/>
    </row>
    <row r="151" spans="1:147" s="92" customFormat="1" ht="15" customHeight="1" x14ac:dyDescent="0.25">
      <c r="A151" s="111" t="s">
        <v>586</v>
      </c>
      <c r="B151" s="140"/>
      <c r="C151" s="112"/>
      <c r="D151" s="113"/>
      <c r="E151" s="113"/>
      <c r="F151" s="120"/>
      <c r="G151" s="120"/>
      <c r="H151" s="120"/>
      <c r="I151" s="112"/>
      <c r="J151" s="112"/>
      <c r="K151" s="45"/>
      <c r="L151" s="45"/>
      <c r="M151" s="45"/>
      <c r="N151" s="45"/>
      <c r="O151" s="45"/>
      <c r="P151" s="45"/>
      <c r="Q151" s="45"/>
      <c r="R151" s="45"/>
      <c r="S151" s="45"/>
      <c r="T151" s="45"/>
      <c r="U151" s="45"/>
      <c r="V151" s="45"/>
      <c r="W151" s="45"/>
      <c r="X151" s="45"/>
      <c r="Y151" s="45"/>
      <c r="Z151" s="45"/>
      <c r="AA151" s="45"/>
      <c r="AB151" s="45"/>
      <c r="AC151" s="45"/>
      <c r="AD151" s="45"/>
      <c r="AE151" s="45"/>
      <c r="AF151" s="45"/>
      <c r="AG151" s="45"/>
      <c r="AH151" s="45"/>
      <c r="AI151" s="45"/>
      <c r="AJ151" s="45"/>
      <c r="AK151" s="45"/>
      <c r="AL151" s="45"/>
      <c r="AM151" s="45"/>
      <c r="AN151" s="45"/>
      <c r="AO151" s="45"/>
      <c r="AP151" s="45"/>
      <c r="AQ151" s="45"/>
      <c r="AR151" s="45"/>
      <c r="AS151" s="45"/>
      <c r="AT151" s="45"/>
      <c r="AU151" s="45"/>
      <c r="AV151" s="45"/>
      <c r="AW151" s="45"/>
      <c r="AX151" s="45"/>
      <c r="AY151" s="45"/>
      <c r="AZ151" s="45"/>
      <c r="BA151" s="45"/>
      <c r="BB151" s="45"/>
      <c r="BC151" s="45"/>
      <c r="BD151" s="45"/>
      <c r="BE151" s="45"/>
      <c r="BF151" s="45"/>
      <c r="BG151" s="45"/>
      <c r="BH151" s="45"/>
      <c r="BI151" s="45"/>
      <c r="BJ151" s="45"/>
      <c r="BK151" s="45"/>
      <c r="BL151" s="45"/>
      <c r="BM151" s="45"/>
      <c r="BN151" s="45"/>
      <c r="BO151" s="45"/>
      <c r="BP151" s="45"/>
      <c r="BQ151" s="45"/>
      <c r="BR151" s="45"/>
      <c r="BS151" s="45"/>
      <c r="BT151" s="45"/>
      <c r="BU151" s="45"/>
      <c r="BV151" s="45"/>
      <c r="BW151" s="45"/>
      <c r="BX151" s="45"/>
      <c r="BY151" s="45"/>
      <c r="BZ151" s="45"/>
      <c r="CA151" s="45"/>
      <c r="CB151" s="45"/>
      <c r="CC151" s="45"/>
      <c r="CD151" s="45"/>
      <c r="CE151" s="45"/>
      <c r="CF151" s="45"/>
      <c r="CG151" s="45"/>
      <c r="CH151" s="45"/>
      <c r="CI151" s="45"/>
      <c r="CJ151" s="45"/>
      <c r="CK151" s="45"/>
      <c r="CL151" s="45"/>
      <c r="CM151" s="45"/>
      <c r="CN151" s="45"/>
      <c r="CO151" s="45"/>
      <c r="CP151" s="45"/>
      <c r="CQ151" s="45"/>
      <c r="CR151" s="45"/>
      <c r="CS151" s="45"/>
      <c r="CT151" s="45"/>
      <c r="CU151" s="45"/>
      <c r="CV151" s="45"/>
      <c r="CW151" s="45"/>
      <c r="CX151" s="45"/>
      <c r="CY151" s="45"/>
      <c r="CZ151" s="45"/>
      <c r="DA151" s="45"/>
      <c r="DB151" s="45"/>
      <c r="DC151" s="45"/>
      <c r="DD151" s="45"/>
      <c r="DE151" s="45"/>
      <c r="DF151" s="45"/>
      <c r="DG151" s="45"/>
      <c r="DH151" s="45"/>
      <c r="DI151" s="45"/>
      <c r="DJ151" s="45"/>
      <c r="DK151" s="45"/>
      <c r="DL151" s="45"/>
      <c r="DM151" s="45"/>
      <c r="DN151" s="45"/>
      <c r="DO151" s="45"/>
      <c r="DP151" s="45"/>
      <c r="DQ151" s="45"/>
      <c r="DR151" s="45"/>
      <c r="DS151" s="45"/>
      <c r="DT151" s="45"/>
      <c r="DU151" s="45"/>
      <c r="DV151" s="45"/>
      <c r="DW151" s="45"/>
      <c r="DX151" s="45"/>
      <c r="DY151" s="45"/>
      <c r="DZ151" s="45"/>
      <c r="EA151" s="45"/>
      <c r="EB151" s="45"/>
      <c r="EC151" s="45"/>
      <c r="ED151" s="45"/>
      <c r="EE151" s="45"/>
      <c r="EF151" s="45"/>
      <c r="EG151" s="45"/>
      <c r="EH151" s="45"/>
      <c r="EI151" s="45"/>
      <c r="EJ151" s="45"/>
      <c r="EK151" s="45"/>
      <c r="EL151" s="45"/>
      <c r="EM151" s="45"/>
      <c r="EN151" s="45"/>
      <c r="EO151" s="45"/>
      <c r="EP151" s="45"/>
      <c r="EQ151" s="45"/>
    </row>
    <row r="152" spans="1:147" s="92" customFormat="1" ht="15" customHeight="1" x14ac:dyDescent="0.25">
      <c r="A152" s="106" t="s">
        <v>605</v>
      </c>
      <c r="B152" s="136" t="s">
        <v>917</v>
      </c>
      <c r="C152" s="106" t="s">
        <v>606</v>
      </c>
      <c r="D152" s="107" t="s">
        <v>847</v>
      </c>
      <c r="E152" s="107" t="s">
        <v>599</v>
      </c>
      <c r="F152" s="118" t="s">
        <v>48</v>
      </c>
      <c r="G152" s="118">
        <v>16</v>
      </c>
      <c r="H152" s="118">
        <v>256</v>
      </c>
      <c r="I152" s="106"/>
      <c r="J152" s="109" t="s">
        <v>233</v>
      </c>
      <c r="K152" s="45">
        <v>3787.8862690707351</v>
      </c>
      <c r="L152" s="45">
        <v>7755.215100663554</v>
      </c>
      <c r="M152" s="45">
        <v>188.26665966766689</v>
      </c>
      <c r="N152" s="45"/>
      <c r="O152" s="45"/>
      <c r="P152" s="45"/>
      <c r="Q152" s="45">
        <v>8.0604745870693315E-2</v>
      </c>
      <c r="R152" s="45">
        <v>17892.162382950821</v>
      </c>
      <c r="S152" s="45"/>
      <c r="T152" s="45"/>
      <c r="U152" s="45"/>
      <c r="V152" s="45"/>
      <c r="W152" s="45"/>
      <c r="X152" s="45"/>
      <c r="Y152" s="45"/>
      <c r="Z152" s="45"/>
      <c r="AA152" s="45">
        <v>95411.936689210968</v>
      </c>
      <c r="AB152" s="45"/>
      <c r="AC152" s="45"/>
      <c r="AD152" s="45"/>
      <c r="AE152" s="45">
        <v>99.063225224593211</v>
      </c>
      <c r="AF152" s="45">
        <v>36558.370731288254</v>
      </c>
      <c r="AG152" s="45">
        <v>18441.769982900332</v>
      </c>
      <c r="AH152" s="45">
        <v>1.9926677584671875</v>
      </c>
      <c r="AI152" s="45"/>
      <c r="AJ152" s="45">
        <v>0.14937770576862613</v>
      </c>
      <c r="AK152" s="45"/>
      <c r="AL152" s="45"/>
      <c r="AM152" s="45">
        <v>0.95304149816964145</v>
      </c>
      <c r="AN152" s="45"/>
      <c r="AO152" s="45">
        <v>12.621833636783723</v>
      </c>
      <c r="AP152" s="45">
        <v>0.6550174861492738</v>
      </c>
      <c r="AQ152" s="45">
        <v>0.2290969415356848</v>
      </c>
      <c r="AR152" s="45">
        <v>0.61618237209479298</v>
      </c>
      <c r="AS152" s="45">
        <v>14.899521338588324</v>
      </c>
      <c r="AT152" s="45">
        <v>0.9418504602471246</v>
      </c>
      <c r="AU152" s="45"/>
      <c r="AV152" s="45">
        <v>0.20275089041971475</v>
      </c>
      <c r="AW152" s="45"/>
      <c r="AX152" s="45"/>
      <c r="AY152" s="45">
        <v>3.8771076081403018E-2</v>
      </c>
      <c r="AZ152" s="45">
        <v>4.2487847019412772</v>
      </c>
      <c r="BA152" s="45"/>
      <c r="BB152" s="45"/>
      <c r="BC152" s="45"/>
      <c r="BD152" s="45"/>
      <c r="BE152" s="45"/>
      <c r="BF152" s="45">
        <v>2.1139156852143746</v>
      </c>
      <c r="BG152" s="45"/>
      <c r="BH152" s="45"/>
      <c r="BI152" s="45"/>
      <c r="BJ152" s="45"/>
      <c r="BK152" s="45"/>
      <c r="BL152" s="45"/>
      <c r="BM152" s="45"/>
      <c r="BN152" s="45"/>
      <c r="BO152" s="45"/>
      <c r="BP152" s="45">
        <v>0.10018770793707329</v>
      </c>
      <c r="BQ152" s="45">
        <v>0.86502799814425091</v>
      </c>
      <c r="BR152" s="45">
        <v>11460.121551004908</v>
      </c>
      <c r="BS152" s="45"/>
      <c r="BT152" s="45">
        <v>96.497551610864505</v>
      </c>
      <c r="BU152" s="45"/>
      <c r="BV152" s="45"/>
      <c r="BW152" s="45">
        <v>166.61998502423518</v>
      </c>
      <c r="BX152" s="45"/>
      <c r="BY152" s="45">
        <v>33775.296619902088</v>
      </c>
      <c r="BZ152" s="45">
        <v>4810.0337102395661</v>
      </c>
      <c r="CA152" s="45">
        <v>6.8970338852961293</v>
      </c>
      <c r="CB152" s="45">
        <v>53.037518822091137</v>
      </c>
      <c r="CC152" s="45">
        <v>430212.29570769775</v>
      </c>
      <c r="CD152" s="45">
        <v>140269.94922189807</v>
      </c>
      <c r="CE152" s="45"/>
      <c r="CF152" s="45">
        <v>7837.4923935698371</v>
      </c>
      <c r="CG152" s="45"/>
      <c r="CH152" s="45"/>
      <c r="CI152" s="45">
        <v>110.83650865467787</v>
      </c>
      <c r="CJ152" s="45">
        <v>121240.13609813176</v>
      </c>
      <c r="CK152" s="45"/>
      <c r="CL152" s="45"/>
      <c r="CM152" s="45"/>
      <c r="CN152" s="45"/>
      <c r="CO152" s="45"/>
      <c r="CP152" s="45">
        <v>201160.17840193395</v>
      </c>
      <c r="CQ152" s="45"/>
      <c r="CR152" s="45"/>
      <c r="CS152" s="45"/>
      <c r="CT152" s="45"/>
      <c r="CU152" s="45"/>
      <c r="CV152" s="45"/>
      <c r="CW152" s="45"/>
      <c r="CX152" s="45"/>
      <c r="CY152" s="45"/>
      <c r="CZ152" s="45">
        <v>13.252857827241476</v>
      </c>
      <c r="DA152" s="45">
        <v>11.977532383753903</v>
      </c>
      <c r="DB152" s="45">
        <v>726166035.17337036</v>
      </c>
      <c r="DC152" s="45"/>
      <c r="DD152" s="45">
        <v>23786676.371705964</v>
      </c>
      <c r="DE152" s="45"/>
      <c r="DF152" s="45"/>
      <c r="DG152" s="45">
        <v>95465165.226074889</v>
      </c>
      <c r="DH152" s="45"/>
      <c r="DI152" s="45">
        <v>1083937177.0319002</v>
      </c>
      <c r="DJ152" s="45">
        <v>144946350.69070736</v>
      </c>
      <c r="DK152" s="45">
        <v>69504325.237170592</v>
      </c>
      <c r="DL152" s="45">
        <v>177041339.82801664</v>
      </c>
      <c r="DM152" s="45">
        <v>427206596.34951454</v>
      </c>
      <c r="DN152" s="45">
        <v>97283482.452149794</v>
      </c>
      <c r="DO152" s="45"/>
      <c r="DP152" s="45">
        <v>90601412.349514559</v>
      </c>
      <c r="DQ152" s="45"/>
      <c r="DR152" s="45"/>
      <c r="DS152" s="45">
        <v>22486517.3481276</v>
      </c>
      <c r="DT152" s="45">
        <v>345989705.14285713</v>
      </c>
      <c r="DU152" s="45"/>
      <c r="DV152" s="45"/>
      <c r="DW152" s="45"/>
      <c r="DX152" s="45"/>
      <c r="DY152" s="45"/>
      <c r="DZ152" s="45">
        <v>167208712.87656033</v>
      </c>
      <c r="EA152" s="45"/>
      <c r="EB152" s="45"/>
      <c r="EC152" s="45"/>
      <c r="ED152" s="45"/>
      <c r="EE152" s="45"/>
      <c r="EF152" s="45"/>
      <c r="EG152" s="45"/>
      <c r="EH152" s="45"/>
      <c r="EI152" s="45"/>
      <c r="EJ152" s="45">
        <v>68116411.828016639</v>
      </c>
      <c r="EK152" s="45">
        <v>27993819.428571429</v>
      </c>
      <c r="EL152" s="45">
        <v>7.5104629088252564</v>
      </c>
      <c r="EM152" s="45">
        <v>14.489834554159165</v>
      </c>
      <c r="EN152" s="45">
        <v>6.9798818048753279</v>
      </c>
      <c r="EO152" s="45"/>
      <c r="EP152" s="45"/>
      <c r="EQ152" s="45"/>
    </row>
    <row r="153" spans="1:147" s="92" customFormat="1" ht="15" customHeight="1" x14ac:dyDescent="0.25">
      <c r="A153" s="106" t="s">
        <v>607</v>
      </c>
      <c r="B153" s="136" t="s">
        <v>918</v>
      </c>
      <c r="C153" s="106" t="s">
        <v>608</v>
      </c>
      <c r="D153" s="107" t="s">
        <v>595</v>
      </c>
      <c r="E153" s="107" t="s">
        <v>599</v>
      </c>
      <c r="F153" s="118" t="s">
        <v>848</v>
      </c>
      <c r="G153" s="118">
        <v>64</v>
      </c>
      <c r="H153" s="118" t="s">
        <v>231</v>
      </c>
      <c r="I153" s="106"/>
      <c r="J153" s="109" t="s">
        <v>233</v>
      </c>
      <c r="K153" s="45">
        <v>44868.242990654202</v>
      </c>
      <c r="L153" s="45">
        <v>10045.602408069601</v>
      </c>
      <c r="M153" s="45">
        <v>85.802227399604405</v>
      </c>
      <c r="N153" s="45"/>
      <c r="O153" s="45"/>
      <c r="P153" s="45"/>
      <c r="Q153" s="45">
        <v>1.3610306201063049</v>
      </c>
      <c r="R153" s="45">
        <v>155206.18221715518</v>
      </c>
      <c r="S153" s="45"/>
      <c r="T153" s="45"/>
      <c r="U153" s="45"/>
      <c r="V153" s="45"/>
      <c r="W153" s="45"/>
      <c r="X153" s="45"/>
      <c r="Y153" s="45"/>
      <c r="Z153" s="45"/>
      <c r="AA153" s="45">
        <v>176150.60180430641</v>
      </c>
      <c r="AB153" s="45"/>
      <c r="AC153" s="45"/>
      <c r="AD153" s="45"/>
      <c r="AE153" s="45">
        <v>97.97758116406392</v>
      </c>
      <c r="AF153" s="45">
        <v>14553.117695005954</v>
      </c>
      <c r="AG153" s="45">
        <v>25643.245984018391</v>
      </c>
      <c r="AH153" s="45">
        <v>6.5176673026526646E-2</v>
      </c>
      <c r="AI153" s="45"/>
      <c r="AJ153" s="45">
        <v>0.20809834701984969</v>
      </c>
      <c r="AK153" s="45"/>
      <c r="AL153" s="45"/>
      <c r="AM153" s="45">
        <v>0.52034886516408496</v>
      </c>
      <c r="AN153" s="45"/>
      <c r="AO153" s="45">
        <v>0.7396435473612577</v>
      </c>
      <c r="AP153" s="45">
        <v>4.4994208340239157E-2</v>
      </c>
      <c r="AQ153" s="45">
        <v>0.29782106998223767</v>
      </c>
      <c r="AR153" s="45">
        <v>0.78809061140459336</v>
      </c>
      <c r="AS153" s="45">
        <v>7.5947486550689609</v>
      </c>
      <c r="AT153" s="45">
        <v>5.551992660998234E-2</v>
      </c>
      <c r="AU153" s="45">
        <v>0.13350940337435324</v>
      </c>
      <c r="AV153" s="45">
        <v>0.10293978475363705</v>
      </c>
      <c r="AW153" s="45"/>
      <c r="AX153" s="45">
        <v>0.29024765480797649</v>
      </c>
      <c r="AY153" s="45">
        <v>5.5996933151258012E-2</v>
      </c>
      <c r="AZ153" s="45">
        <v>3.5266330861677847E-3</v>
      </c>
      <c r="BA153" s="45"/>
      <c r="BB153" s="45"/>
      <c r="BC153" s="45"/>
      <c r="BD153" s="45"/>
      <c r="BE153" s="45"/>
      <c r="BF153" s="45"/>
      <c r="BG153" s="45"/>
      <c r="BH153" s="45"/>
      <c r="BI153" s="45"/>
      <c r="BJ153" s="45"/>
      <c r="BK153" s="45"/>
      <c r="BL153" s="45"/>
      <c r="BM153" s="45"/>
      <c r="BN153" s="45"/>
      <c r="BO153" s="45"/>
      <c r="BP153" s="45">
        <v>9.0961576698762911E-2</v>
      </c>
      <c r="BQ153" s="45">
        <v>0.65215373718434966</v>
      </c>
      <c r="BR153" s="45">
        <v>74.99692079720576</v>
      </c>
      <c r="BS153" s="45"/>
      <c r="BT153" s="45">
        <v>69.194013864253563</v>
      </c>
      <c r="BU153" s="45"/>
      <c r="BV153" s="45"/>
      <c r="BW153" s="45">
        <v>99.779996611511038</v>
      </c>
      <c r="BX153" s="45"/>
      <c r="BY153" s="45">
        <v>8145.1566669078356</v>
      </c>
      <c r="BZ153" s="45">
        <v>1083.6392689956692</v>
      </c>
      <c r="CA153" s="45">
        <v>3.8826168146660751</v>
      </c>
      <c r="CB153" s="45">
        <v>28.543517420450101</v>
      </c>
      <c r="CC153" s="45">
        <v>264575.97441071633</v>
      </c>
      <c r="CD153" s="45">
        <v>48989.136022493825</v>
      </c>
      <c r="CE153" s="45">
        <v>12289.026225268675</v>
      </c>
      <c r="CF153" s="45">
        <v>12629.943832176999</v>
      </c>
      <c r="CG153" s="45"/>
      <c r="CH153" s="45">
        <v>17.171203766264629</v>
      </c>
      <c r="CI153" s="45">
        <v>118.67535836575183</v>
      </c>
      <c r="CJ153" s="45">
        <v>10.914678391032801</v>
      </c>
      <c r="CK153" s="45"/>
      <c r="CL153" s="45"/>
      <c r="CM153" s="45"/>
      <c r="CN153" s="45"/>
      <c r="CO153" s="45"/>
      <c r="CP153" s="45"/>
      <c r="CQ153" s="45"/>
      <c r="CR153" s="45"/>
      <c r="CS153" s="45"/>
      <c r="CT153" s="45"/>
      <c r="CU153" s="45"/>
      <c r="CV153" s="45"/>
      <c r="CW153" s="45"/>
      <c r="CX153" s="45"/>
      <c r="CY153" s="45"/>
      <c r="CZ153" s="45">
        <v>13.463389376637206</v>
      </c>
      <c r="DA153" s="45">
        <v>11.819570606485483</v>
      </c>
      <c r="DB153" s="45">
        <v>153435699.19999999</v>
      </c>
      <c r="DC153" s="45"/>
      <c r="DD153" s="45">
        <v>26074638.355140187</v>
      </c>
      <c r="DE153" s="45"/>
      <c r="DF153" s="45"/>
      <c r="DG153" s="45">
        <v>71436211.439252332</v>
      </c>
      <c r="DH153" s="45"/>
      <c r="DI153" s="45">
        <v>922904001.79439247</v>
      </c>
      <c r="DJ153" s="45">
        <v>197603806.50467288</v>
      </c>
      <c r="DK153" s="45">
        <v>72837655.925233647</v>
      </c>
      <c r="DL153" s="45">
        <v>217984449.79439253</v>
      </c>
      <c r="DM153" s="45">
        <v>769913119.10280371</v>
      </c>
      <c r="DN153" s="45">
        <v>92614273.196261689</v>
      </c>
      <c r="DO153" s="45">
        <v>114785940.33644859</v>
      </c>
      <c r="DP153" s="45">
        <v>93262493.906542063</v>
      </c>
      <c r="DQ153" s="45"/>
      <c r="DR153" s="45">
        <v>104741438.20560747</v>
      </c>
      <c r="DS153" s="45">
        <v>23672296.074766356</v>
      </c>
      <c r="DT153" s="45">
        <v>188817238.21761659</v>
      </c>
      <c r="DU153" s="45"/>
      <c r="DV153" s="45"/>
      <c r="DW153" s="45"/>
      <c r="DX153" s="45"/>
      <c r="DY153" s="45"/>
      <c r="DZ153" s="45"/>
      <c r="EA153" s="45"/>
      <c r="EB153" s="45"/>
      <c r="EC153" s="45"/>
      <c r="ED153" s="45"/>
      <c r="EE153" s="45"/>
      <c r="EF153" s="45"/>
      <c r="EG153" s="45"/>
      <c r="EH153" s="45"/>
      <c r="EI153" s="45"/>
      <c r="EJ153" s="45">
        <v>63694503.476635516</v>
      </c>
      <c r="EK153" s="45">
        <v>29302726.579439253</v>
      </c>
      <c r="EL153" s="45">
        <v>1.9217987209266232</v>
      </c>
      <c r="EM153" s="45">
        <v>5.6079266914700643</v>
      </c>
      <c r="EN153" s="45">
        <v>3.6873187667022456</v>
      </c>
      <c r="EO153" s="45"/>
      <c r="EP153" s="45"/>
      <c r="EQ153" s="45"/>
    </row>
    <row r="154" spans="1:147" s="92" customFormat="1" ht="15" customHeight="1" x14ac:dyDescent="0.25">
      <c r="A154" s="106" t="s">
        <v>609</v>
      </c>
      <c r="B154" s="136" t="s">
        <v>919</v>
      </c>
      <c r="C154" s="106" t="s">
        <v>610</v>
      </c>
      <c r="D154" s="107" t="s">
        <v>849</v>
      </c>
      <c r="E154" s="107" t="s">
        <v>599</v>
      </c>
      <c r="F154" s="118" t="s">
        <v>848</v>
      </c>
      <c r="G154" s="118">
        <v>64</v>
      </c>
      <c r="H154" s="118" t="s">
        <v>231</v>
      </c>
      <c r="I154" s="106"/>
      <c r="J154" s="109" t="s">
        <v>233</v>
      </c>
      <c r="K154" s="45">
        <v>44854.800277392511</v>
      </c>
      <c r="L154" s="45">
        <v>11555.18077734952</v>
      </c>
      <c r="M154" s="45">
        <v>142.66628141539314</v>
      </c>
      <c r="N154" s="45"/>
      <c r="O154" s="45"/>
      <c r="P154" s="45"/>
      <c r="Q154" s="45">
        <v>8.0713554093074111E-2</v>
      </c>
      <c r="R154" s="45">
        <v>34104.304092477672</v>
      </c>
      <c r="S154" s="45"/>
      <c r="T154" s="45"/>
      <c r="U154" s="45"/>
      <c r="V154" s="45"/>
      <c r="W154" s="45"/>
      <c r="X154" s="45"/>
      <c r="Y154" s="45"/>
      <c r="Z154" s="45"/>
      <c r="AA154" s="45">
        <v>56651.365589313966</v>
      </c>
      <c r="AB154" s="45"/>
      <c r="AC154" s="45"/>
      <c r="AD154" s="45"/>
      <c r="AE154" s="45">
        <v>97.959722947105149</v>
      </c>
      <c r="AF154" s="45">
        <v>28998.219377732148</v>
      </c>
      <c r="AG154" s="45">
        <v>16340.594871919604</v>
      </c>
      <c r="AH154" s="45">
        <v>15.615432440516166</v>
      </c>
      <c r="AI154" s="45"/>
      <c r="AJ154" s="45">
        <v>0.28028579223231509</v>
      </c>
      <c r="AK154" s="45"/>
      <c r="AL154" s="45">
        <v>2.1134608258646641</v>
      </c>
      <c r="AM154" s="45">
        <v>0.78509355833268901</v>
      </c>
      <c r="AN154" s="45"/>
      <c r="AO154" s="45">
        <v>12.785809321073396</v>
      </c>
      <c r="AP154" s="45">
        <v>0.31441343340775385</v>
      </c>
      <c r="AQ154" s="45">
        <v>0.32377361872012578</v>
      </c>
      <c r="AR154" s="45">
        <v>0.55787844396589614</v>
      </c>
      <c r="AS154" s="45">
        <v>13.745651692171959</v>
      </c>
      <c r="AT154" s="45">
        <v>3.8138654673591163E-2</v>
      </c>
      <c r="AU154" s="45">
        <v>0.71847632296941</v>
      </c>
      <c r="AV154" s="45">
        <v>0.35995045562338995</v>
      </c>
      <c r="AW154" s="45"/>
      <c r="AX154" s="45">
        <v>1.1043942748640729</v>
      </c>
      <c r="AY154" s="45">
        <v>2.3583226985120862E-2</v>
      </c>
      <c r="AZ154" s="45">
        <v>7.5061275231941087</v>
      </c>
      <c r="BA154" s="45"/>
      <c r="BB154" s="45"/>
      <c r="BC154" s="45"/>
      <c r="BD154" s="45"/>
      <c r="BE154" s="45"/>
      <c r="BF154" s="45">
        <v>1.1830970372418568</v>
      </c>
      <c r="BG154" s="45"/>
      <c r="BH154" s="45"/>
      <c r="BI154" s="45"/>
      <c r="BJ154" s="45"/>
      <c r="BK154" s="45"/>
      <c r="BL154" s="45"/>
      <c r="BM154" s="45"/>
      <c r="BN154" s="45"/>
      <c r="BO154" s="45"/>
      <c r="BP154" s="45">
        <v>7.974879376793205E-2</v>
      </c>
      <c r="BQ154" s="45">
        <v>0.77714397835968496</v>
      </c>
      <c r="BR154" s="45">
        <v>532405.17119654024</v>
      </c>
      <c r="BS154" s="45"/>
      <c r="BT154" s="45">
        <v>76.761980791513608</v>
      </c>
      <c r="BU154" s="45"/>
      <c r="BV154" s="45">
        <v>10780.517475964478</v>
      </c>
      <c r="BW154" s="45">
        <v>277.02510679257972</v>
      </c>
      <c r="BX154" s="45"/>
      <c r="BY154" s="45">
        <v>28567.711067386692</v>
      </c>
      <c r="BZ154" s="45">
        <v>6235.2043173326019</v>
      </c>
      <c r="CA154" s="45">
        <v>1140.3270046086757</v>
      </c>
      <c r="CB154" s="45">
        <v>201.88297556338793</v>
      </c>
      <c r="CC154" s="45">
        <v>436741.41479256784</v>
      </c>
      <c r="CD154" s="45">
        <v>827.48353810534923</v>
      </c>
      <c r="CE154" s="45">
        <v>82872.029460671984</v>
      </c>
      <c r="CF154" s="45">
        <v>4934.7719344059196</v>
      </c>
      <c r="CG154" s="45"/>
      <c r="CH154" s="45">
        <v>111.46682406242107</v>
      </c>
      <c r="CI154" s="45">
        <v>107.47778650076755</v>
      </c>
      <c r="CJ154" s="45">
        <v>62709.860863892114</v>
      </c>
      <c r="CK154" s="45"/>
      <c r="CL154" s="45"/>
      <c r="CM154" s="45"/>
      <c r="CN154" s="45"/>
      <c r="CO154" s="45"/>
      <c r="CP154" s="45">
        <v>112158.53643108216</v>
      </c>
      <c r="CQ154" s="45"/>
      <c r="CR154" s="45"/>
      <c r="CS154" s="45"/>
      <c r="CT154" s="45"/>
      <c r="CU154" s="45"/>
      <c r="CV154" s="45"/>
      <c r="CW154" s="45"/>
      <c r="CX154" s="45"/>
      <c r="CY154" s="45"/>
      <c r="CZ154" s="45">
        <v>13.221754360104185</v>
      </c>
      <c r="DA154" s="45">
        <v>21.909156755653779</v>
      </c>
      <c r="DB154" s="45">
        <v>418383052.80000001</v>
      </c>
      <c r="DC154" s="45"/>
      <c r="DD154" s="45">
        <v>26818368.089510489</v>
      </c>
      <c r="DE154" s="45"/>
      <c r="DF154" s="45">
        <v>141661773.57575756</v>
      </c>
      <c r="DG154" s="45">
        <v>49123055.312066577</v>
      </c>
      <c r="DH154" s="45"/>
      <c r="DI154" s="45">
        <v>1097676692.8550074</v>
      </c>
      <c r="DJ154" s="45">
        <v>150631836.18513325</v>
      </c>
      <c r="DK154" s="45">
        <v>101379507.56056339</v>
      </c>
      <c r="DL154" s="45">
        <v>167184612.18941504</v>
      </c>
      <c r="DM154" s="45">
        <v>407508375.61165047</v>
      </c>
      <c r="DN154" s="45">
        <v>46685592.74547983</v>
      </c>
      <c r="DO154" s="45">
        <v>146426861.27707455</v>
      </c>
      <c r="DP154" s="45">
        <v>93143781.615598887</v>
      </c>
      <c r="DQ154" s="45"/>
      <c r="DR154" s="45">
        <v>113563975.91011237</v>
      </c>
      <c r="DS154" s="45">
        <v>22638245.459084604</v>
      </c>
      <c r="DT154" s="45">
        <v>861861458.94972062</v>
      </c>
      <c r="DU154" s="45"/>
      <c r="DV154" s="45"/>
      <c r="DW154" s="45"/>
      <c r="DX154" s="45"/>
      <c r="DY154" s="45"/>
      <c r="DZ154" s="45">
        <v>116230673.65517241</v>
      </c>
      <c r="EA154" s="45"/>
      <c r="EB154" s="45"/>
      <c r="EC154" s="45"/>
      <c r="ED154" s="45"/>
      <c r="EE154" s="45"/>
      <c r="EF154" s="45"/>
      <c r="EG154" s="45"/>
      <c r="EH154" s="45"/>
      <c r="EI154" s="45"/>
      <c r="EJ154" s="45">
        <v>65973718.640668526</v>
      </c>
      <c r="EK154" s="45">
        <v>28180826.540915396</v>
      </c>
      <c r="EL154" s="45">
        <v>3.8673214961390676</v>
      </c>
      <c r="EM154" s="45">
        <v>7.5403914133116725</v>
      </c>
      <c r="EN154" s="45">
        <v>3.5376258019219979</v>
      </c>
      <c r="EO154" s="45"/>
      <c r="EP154" s="45"/>
      <c r="EQ154" s="45"/>
    </row>
    <row r="155" spans="1:147" s="92" customFormat="1" ht="15" customHeight="1" x14ac:dyDescent="0.25">
      <c r="A155" s="106" t="s">
        <v>611</v>
      </c>
      <c r="B155" s="136" t="s">
        <v>920</v>
      </c>
      <c r="C155" s="106" t="s">
        <v>612</v>
      </c>
      <c r="D155" s="107" t="s">
        <v>539</v>
      </c>
      <c r="E155" s="107" t="s">
        <v>599</v>
      </c>
      <c r="F155" s="118" t="s">
        <v>48</v>
      </c>
      <c r="G155" s="118">
        <v>16</v>
      </c>
      <c r="H155" s="118">
        <v>256</v>
      </c>
      <c r="I155" s="106"/>
      <c r="J155" s="109" t="s">
        <v>233</v>
      </c>
      <c r="K155" s="45">
        <v>3096.0721220527048</v>
      </c>
      <c r="L155" s="45">
        <v>9535.9873917519362</v>
      </c>
      <c r="M155" s="45">
        <v>243.9953326986747</v>
      </c>
      <c r="N155" s="45"/>
      <c r="O155" s="45"/>
      <c r="P155" s="45"/>
      <c r="Q155" s="45">
        <v>2.9313308996568979</v>
      </c>
      <c r="R155" s="45">
        <v>36730.47982999996</v>
      </c>
      <c r="S155" s="45">
        <v>86869.031697717059</v>
      </c>
      <c r="T155" s="45"/>
      <c r="U155" s="45"/>
      <c r="V155" s="45"/>
      <c r="W155" s="45"/>
      <c r="X155" s="45"/>
      <c r="Y155" s="45"/>
      <c r="Z155" s="45"/>
      <c r="AA155" s="45">
        <v>3507.735878557005</v>
      </c>
      <c r="AB155" s="45"/>
      <c r="AC155" s="45"/>
      <c r="AD155" s="45"/>
      <c r="AE155" s="45">
        <v>98.456597756095249</v>
      </c>
      <c r="AF155" s="45">
        <v>47412.196347536934</v>
      </c>
      <c r="AG155" s="45">
        <v>26035.263721559211</v>
      </c>
      <c r="AH155" s="45">
        <v>19.671831469789026</v>
      </c>
      <c r="AI155" s="45"/>
      <c r="AJ155" s="45">
        <v>0.15799305271352132</v>
      </c>
      <c r="AK155" s="45"/>
      <c r="AL155" s="45">
        <v>3.9526749648289443</v>
      </c>
      <c r="AM155" s="45">
        <v>0.76332350749428468</v>
      </c>
      <c r="AN155" s="45"/>
      <c r="AO155" s="45">
        <v>17.846575130925995</v>
      </c>
      <c r="AP155" s="45">
        <v>0.47812923789934131</v>
      </c>
      <c r="AQ155" s="45">
        <v>0.23502758386222508</v>
      </c>
      <c r="AR155" s="45">
        <v>1.5014145179545495</v>
      </c>
      <c r="AS155" s="45">
        <v>16.754684557970471</v>
      </c>
      <c r="AT155" s="45">
        <v>4.3277293671245103E-2</v>
      </c>
      <c r="AU155" s="45">
        <v>5.2187044622943031</v>
      </c>
      <c r="AV155" s="45">
        <v>0.38382959693175367</v>
      </c>
      <c r="AW155" s="45"/>
      <c r="AX155" s="45">
        <v>0.40406747209294414</v>
      </c>
      <c r="AY155" s="45">
        <v>4.9698888433435721E-2</v>
      </c>
      <c r="AZ155" s="45">
        <v>29.067535398555854</v>
      </c>
      <c r="BA155" s="45"/>
      <c r="BB155" s="45"/>
      <c r="BC155" s="45"/>
      <c r="BD155" s="45"/>
      <c r="BE155" s="45"/>
      <c r="BF155" s="45"/>
      <c r="BG155" s="45"/>
      <c r="BH155" s="45"/>
      <c r="BI155" s="45"/>
      <c r="BJ155" s="45"/>
      <c r="BK155" s="45"/>
      <c r="BL155" s="45"/>
      <c r="BM155" s="45"/>
      <c r="BN155" s="45"/>
      <c r="BO155" s="45"/>
      <c r="BP155" s="45">
        <v>0.10895803410472395</v>
      </c>
      <c r="BQ155" s="45">
        <v>0.52961234376772981</v>
      </c>
      <c r="BR155" s="45">
        <v>309954.39004691964</v>
      </c>
      <c r="BS155" s="45"/>
      <c r="BT155" s="45">
        <v>99.890872047234637</v>
      </c>
      <c r="BU155" s="45"/>
      <c r="BV155" s="45">
        <v>176488.34896810149</v>
      </c>
      <c r="BW155" s="45">
        <v>197.39690357151073</v>
      </c>
      <c r="BX155" s="45"/>
      <c r="BY155" s="45">
        <v>45032.527132428782</v>
      </c>
      <c r="BZ155" s="45">
        <v>21559.830939795316</v>
      </c>
      <c r="CA155" s="45">
        <v>6.8946708398638794</v>
      </c>
      <c r="CB155" s="45">
        <v>22439.174435669476</v>
      </c>
      <c r="CC155" s="45">
        <v>382257.9938595565</v>
      </c>
      <c r="CD155" s="45">
        <v>90.534790341534318</v>
      </c>
      <c r="CE155" s="45">
        <v>312604.97508205217</v>
      </c>
      <c r="CF155" s="45">
        <v>9815.5219199286294</v>
      </c>
      <c r="CG155" s="45"/>
      <c r="CH155" s="45">
        <v>43.93200994075368</v>
      </c>
      <c r="CI155" s="45">
        <v>133.64974471184897</v>
      </c>
      <c r="CJ155" s="45">
        <v>703648.25395240553</v>
      </c>
      <c r="CK155" s="45"/>
      <c r="CL155" s="45"/>
      <c r="CM155" s="45"/>
      <c r="CN155" s="45"/>
      <c r="CO155" s="45"/>
      <c r="CP155" s="45"/>
      <c r="CQ155" s="45"/>
      <c r="CR155" s="45"/>
      <c r="CS155" s="45"/>
      <c r="CT155" s="45"/>
      <c r="CU155" s="45"/>
      <c r="CV155" s="45"/>
      <c r="CW155" s="45"/>
      <c r="CX155" s="45"/>
      <c r="CY155" s="45"/>
      <c r="CZ155" s="45">
        <v>13.316194422857478</v>
      </c>
      <c r="DA155" s="45">
        <v>18.053862932844712</v>
      </c>
      <c r="DB155" s="45">
        <v>403075723.09826589</v>
      </c>
      <c r="DC155" s="45"/>
      <c r="DD155" s="45">
        <v>22862588.094313454</v>
      </c>
      <c r="DE155" s="45"/>
      <c r="DF155" s="45">
        <v>130209946.15053764</v>
      </c>
      <c r="DG155" s="45">
        <v>23113017.875173371</v>
      </c>
      <c r="DH155" s="45"/>
      <c r="DI155" s="45">
        <v>1585700585.631068</v>
      </c>
      <c r="DJ155" s="45">
        <v>135151303.54507628</v>
      </c>
      <c r="DK155" s="45">
        <v>69689321.276005551</v>
      </c>
      <c r="DL155" s="45">
        <v>259383824.33287102</v>
      </c>
      <c r="DM155" s="45">
        <v>393473570.79611653</v>
      </c>
      <c r="DN155" s="45">
        <v>43064026.008321777</v>
      </c>
      <c r="DO155" s="45">
        <v>237444671.20110956</v>
      </c>
      <c r="DP155" s="45">
        <v>92695723.850208044</v>
      </c>
      <c r="DQ155" s="45"/>
      <c r="DR155" s="45">
        <v>105615911.05686547</v>
      </c>
      <c r="DS155" s="45">
        <v>21772665.786407769</v>
      </c>
      <c r="DT155" s="45">
        <v>353744128</v>
      </c>
      <c r="DU155" s="45"/>
      <c r="DV155" s="45"/>
      <c r="DW155" s="45"/>
      <c r="DX155" s="45"/>
      <c r="DY155" s="45"/>
      <c r="DZ155" s="45"/>
      <c r="EA155" s="45"/>
      <c r="EB155" s="45"/>
      <c r="EC155" s="45"/>
      <c r="ED155" s="45"/>
      <c r="EE155" s="45"/>
      <c r="EF155" s="45"/>
      <c r="EG155" s="45"/>
      <c r="EH155" s="45"/>
      <c r="EI155" s="45"/>
      <c r="EJ155" s="45">
        <v>65380391.766990289</v>
      </c>
      <c r="EK155" s="45">
        <v>26009690.89597781</v>
      </c>
      <c r="EL155" s="45">
        <v>8.9509541990296064</v>
      </c>
      <c r="EM155" s="45">
        <v>17.276132304096791</v>
      </c>
      <c r="EN155" s="45">
        <v>8.3207670366944484</v>
      </c>
      <c r="EO155" s="45"/>
      <c r="EP155" s="45"/>
      <c r="EQ155" s="45"/>
    </row>
    <row r="156" spans="1:147" s="92" customFormat="1" ht="15" customHeight="1" x14ac:dyDescent="0.25">
      <c r="A156" s="106" t="s">
        <v>613</v>
      </c>
      <c r="B156" s="136" t="s">
        <v>921</v>
      </c>
      <c r="C156" s="106" t="s">
        <v>614</v>
      </c>
      <c r="D156" s="107" t="s">
        <v>533</v>
      </c>
      <c r="E156" s="107" t="s">
        <v>599</v>
      </c>
      <c r="F156" s="118" t="s">
        <v>196</v>
      </c>
      <c r="G156" s="118">
        <v>32</v>
      </c>
      <c r="H156" s="118">
        <v>512</v>
      </c>
      <c r="I156" s="106"/>
      <c r="J156" s="109" t="s">
        <v>233</v>
      </c>
      <c r="K156" s="45">
        <v>11418.599443671766</v>
      </c>
      <c r="L156" s="45">
        <v>8592.9011005906414</v>
      </c>
      <c r="M156" s="45">
        <v>69.784659620721513</v>
      </c>
      <c r="N156" s="45"/>
      <c r="O156" s="45"/>
      <c r="P156" s="45"/>
      <c r="Q156" s="45"/>
      <c r="R156" s="45">
        <v>10555.156038724595</v>
      </c>
      <c r="S156" s="45"/>
      <c r="T156" s="45"/>
      <c r="U156" s="45">
        <v>86187.407626430519</v>
      </c>
      <c r="V156" s="45"/>
      <c r="W156" s="45"/>
      <c r="X156" s="45"/>
      <c r="Y156" s="45"/>
      <c r="Z156" s="45"/>
      <c r="AA156" s="45"/>
      <c r="AB156" s="45"/>
      <c r="AC156" s="45"/>
      <c r="AD156" s="45">
        <v>4297.1589757354341</v>
      </c>
      <c r="AE156" s="45">
        <v>98.940094043591884</v>
      </c>
      <c r="AF156" s="45">
        <v>33110.408835633672</v>
      </c>
      <c r="AG156" s="45">
        <v>17522.741886108251</v>
      </c>
      <c r="AH156" s="45">
        <v>1.9337542067044482</v>
      </c>
      <c r="AI156" s="45"/>
      <c r="AJ156" s="45">
        <v>3.9883984462048411E-2</v>
      </c>
      <c r="AK156" s="45"/>
      <c r="AL156" s="45">
        <v>0.80706871256243629</v>
      </c>
      <c r="AM156" s="45">
        <v>0.60563058457414276</v>
      </c>
      <c r="AN156" s="45"/>
      <c r="AO156" s="45">
        <v>12.667681233486466</v>
      </c>
      <c r="AP156" s="45">
        <v>3.1754316356670663E-2</v>
      </c>
      <c r="AQ156" s="45">
        <v>8.7704346143683401E-2</v>
      </c>
      <c r="AR156" s="45">
        <v>0.63133915443447974</v>
      </c>
      <c r="AS156" s="45">
        <v>5.2708128744042746</v>
      </c>
      <c r="AT156" s="45">
        <v>7.1462492006134928E-2</v>
      </c>
      <c r="AU156" s="45">
        <v>1.3400410553736735</v>
      </c>
      <c r="AV156" s="45">
        <v>0.19498206824242498</v>
      </c>
      <c r="AW156" s="45">
        <v>9.5618125812928622E-3</v>
      </c>
      <c r="AX156" s="45">
        <v>0.53794425164338022</v>
      </c>
      <c r="AY156" s="45">
        <v>2.4233209604247241E-2</v>
      </c>
      <c r="AZ156" s="45">
        <v>6.560796287235557</v>
      </c>
      <c r="BA156" s="45"/>
      <c r="BB156" s="45"/>
      <c r="BC156" s="45"/>
      <c r="BD156" s="45"/>
      <c r="BE156" s="45"/>
      <c r="BF156" s="45"/>
      <c r="BG156" s="45"/>
      <c r="BH156" s="45"/>
      <c r="BI156" s="45"/>
      <c r="BJ156" s="45"/>
      <c r="BK156" s="45"/>
      <c r="BL156" s="45"/>
      <c r="BM156" s="45"/>
      <c r="BN156" s="45"/>
      <c r="BO156" s="45"/>
      <c r="BP156" s="45">
        <v>4.5969134683989395E-2</v>
      </c>
      <c r="BQ156" s="45">
        <v>0.29374391245641401</v>
      </c>
      <c r="BR156" s="45">
        <v>10853.480220045119</v>
      </c>
      <c r="BS156" s="45"/>
      <c r="BT156" s="45">
        <v>103.51066960958218</v>
      </c>
      <c r="BU156" s="45"/>
      <c r="BV156" s="45">
        <v>2519.349581764548</v>
      </c>
      <c r="BW156" s="45">
        <v>133.73012099111079</v>
      </c>
      <c r="BX156" s="45"/>
      <c r="BY156" s="45">
        <v>31437.121271550084</v>
      </c>
      <c r="BZ156" s="45">
        <v>1098.9322187476437</v>
      </c>
      <c r="CA156" s="45">
        <v>203.35356295934267</v>
      </c>
      <c r="CB156" s="45">
        <v>2196.6605726644757</v>
      </c>
      <c r="CC156" s="45">
        <v>163236.42672960702</v>
      </c>
      <c r="CD156" s="45">
        <v>68.743213225506466</v>
      </c>
      <c r="CE156" s="45">
        <v>375813.16239249945</v>
      </c>
      <c r="CF156" s="45">
        <v>11683.922908119846</v>
      </c>
      <c r="CG156" s="45">
        <v>1152.8276709810668</v>
      </c>
      <c r="CH156" s="45">
        <v>23.93825225755673</v>
      </c>
      <c r="CI156" s="45">
        <v>121.11017423887044</v>
      </c>
      <c r="CJ156" s="45">
        <v>8546.1066393509373</v>
      </c>
      <c r="CK156" s="45"/>
      <c r="CL156" s="45"/>
      <c r="CM156" s="45"/>
      <c r="CN156" s="45"/>
      <c r="CO156" s="45"/>
      <c r="CP156" s="45"/>
      <c r="CQ156" s="45"/>
      <c r="CR156" s="45"/>
      <c r="CS156" s="45"/>
      <c r="CT156" s="45"/>
      <c r="CU156" s="45"/>
      <c r="CV156" s="45"/>
      <c r="CW156" s="45"/>
      <c r="CX156" s="45"/>
      <c r="CY156" s="45"/>
      <c r="CZ156" s="45">
        <v>13.37112600764298</v>
      </c>
      <c r="DA156" s="45">
        <v>11.508718652636336</v>
      </c>
      <c r="DB156" s="45">
        <v>716648776.20512819</v>
      </c>
      <c r="DC156" s="45"/>
      <c r="DD156" s="45">
        <v>22453742.197496522</v>
      </c>
      <c r="DE156" s="45"/>
      <c r="DF156" s="45">
        <v>140100951.23226705</v>
      </c>
      <c r="DG156" s="45">
        <v>50046676.917941585</v>
      </c>
      <c r="DH156" s="45"/>
      <c r="DI156" s="45">
        <v>2649883427.2489567</v>
      </c>
      <c r="DJ156" s="45">
        <v>116711019.52712101</v>
      </c>
      <c r="DK156" s="45">
        <v>118984607.15438108</v>
      </c>
      <c r="DL156" s="45">
        <v>290738438.0528512</v>
      </c>
      <c r="DM156" s="45">
        <v>390566093.08484006</v>
      </c>
      <c r="DN156" s="45">
        <v>41356691.048678719</v>
      </c>
      <c r="DO156" s="45">
        <v>224830317.30737135</v>
      </c>
      <c r="DP156" s="45">
        <v>104824165.47426982</v>
      </c>
      <c r="DQ156" s="45">
        <v>91468471.009735748</v>
      </c>
      <c r="DR156" s="45">
        <v>116548290.40333797</v>
      </c>
      <c r="DS156" s="45">
        <v>22276486.230876219</v>
      </c>
      <c r="DT156" s="45">
        <v>372606030.76923078</v>
      </c>
      <c r="DU156" s="45"/>
      <c r="DV156" s="45"/>
      <c r="DW156" s="45"/>
      <c r="DX156" s="45"/>
      <c r="DY156" s="45"/>
      <c r="DZ156" s="45"/>
      <c r="EA156" s="45"/>
      <c r="EB156" s="45"/>
      <c r="EC156" s="45"/>
      <c r="ED156" s="45"/>
      <c r="EE156" s="45"/>
      <c r="EF156" s="45"/>
      <c r="EG156" s="45"/>
      <c r="EH156" s="45"/>
      <c r="EI156" s="45"/>
      <c r="EJ156" s="45">
        <v>65507071.643949933</v>
      </c>
      <c r="EK156" s="45">
        <v>28592757.496522948</v>
      </c>
      <c r="EL156" s="45">
        <v>7.0295737535729357</v>
      </c>
      <c r="EM156" s="45">
        <v>16.31276994430479</v>
      </c>
      <c r="EN156" s="45">
        <v>9.2817190543901802</v>
      </c>
      <c r="EO156" s="45"/>
      <c r="EP156" s="45"/>
      <c r="EQ156" s="45"/>
    </row>
    <row r="157" spans="1:147" s="92" customFormat="1" ht="15" customHeight="1" x14ac:dyDescent="0.25">
      <c r="A157" s="106" t="s">
        <v>615</v>
      </c>
      <c r="B157" s="136" t="s">
        <v>922</v>
      </c>
      <c r="C157" s="106" t="s">
        <v>616</v>
      </c>
      <c r="D157" s="107" t="s">
        <v>539</v>
      </c>
      <c r="E157" s="107" t="s">
        <v>599</v>
      </c>
      <c r="F157" s="118" t="s">
        <v>31</v>
      </c>
      <c r="G157" s="118">
        <v>16</v>
      </c>
      <c r="H157" s="118">
        <v>256</v>
      </c>
      <c r="I157" s="106"/>
      <c r="J157" s="109" t="s">
        <v>233</v>
      </c>
      <c r="K157" s="45">
        <v>4939.2538141470177</v>
      </c>
      <c r="L157" s="45">
        <v>5271.2439789726759</v>
      </c>
      <c r="M157" s="45">
        <v>100.68482629599566</v>
      </c>
      <c r="N157" s="45"/>
      <c r="O157" s="45"/>
      <c r="P157" s="45"/>
      <c r="Q157" s="45">
        <v>6.0630160513059108</v>
      </c>
      <c r="R157" s="45"/>
      <c r="S157" s="45"/>
      <c r="T157" s="45"/>
      <c r="U157" s="45">
        <v>49110.514774431664</v>
      </c>
      <c r="V157" s="45"/>
      <c r="W157" s="45"/>
      <c r="X157" s="45"/>
      <c r="Y157" s="45"/>
      <c r="Z157" s="45"/>
      <c r="AA157" s="45"/>
      <c r="AB157" s="45"/>
      <c r="AC157" s="45"/>
      <c r="AD157" s="45"/>
      <c r="AE157" s="45">
        <v>99.275209800268613</v>
      </c>
      <c r="AF157" s="45">
        <v>31614.48699347326</v>
      </c>
      <c r="AG157" s="45">
        <v>17369.821021988511</v>
      </c>
      <c r="AH157" s="45">
        <v>3.6343960800717769</v>
      </c>
      <c r="AI157" s="45"/>
      <c r="AJ157" s="45">
        <v>1.0633415131830708E-2</v>
      </c>
      <c r="AK157" s="45"/>
      <c r="AL157" s="45">
        <v>0.13301726461781399</v>
      </c>
      <c r="AM157" s="45">
        <v>3.6168344682417732E-3</v>
      </c>
      <c r="AN157" s="45"/>
      <c r="AO157" s="45">
        <v>2.055254649055247</v>
      </c>
      <c r="AP157" s="45">
        <v>2.0546401544669763E-2</v>
      </c>
      <c r="AQ157" s="45">
        <v>9.8382663439256085E-3</v>
      </c>
      <c r="AR157" s="45">
        <v>0.21397610368678527</v>
      </c>
      <c r="AS157" s="45">
        <v>3.1479237902271335</v>
      </c>
      <c r="AT157" s="45">
        <v>9.5263627375338319E-2</v>
      </c>
      <c r="AU157" s="45">
        <v>0.25990151992359506</v>
      </c>
      <c r="AV157" s="45">
        <v>4.2027346228199092E-2</v>
      </c>
      <c r="AW157" s="45"/>
      <c r="AX157" s="45">
        <v>9.6060183069319821E-2</v>
      </c>
      <c r="AY157" s="45">
        <v>1.8156533895761894E-2</v>
      </c>
      <c r="AZ157" s="45">
        <v>1.8229014141119155</v>
      </c>
      <c r="BA157" s="45"/>
      <c r="BB157" s="45"/>
      <c r="BC157" s="45"/>
      <c r="BD157" s="45"/>
      <c r="BE157" s="45"/>
      <c r="BF157" s="45"/>
      <c r="BG157" s="45"/>
      <c r="BH157" s="45"/>
      <c r="BI157" s="45"/>
      <c r="BJ157" s="45"/>
      <c r="BK157" s="45"/>
      <c r="BL157" s="45"/>
      <c r="BM157" s="45"/>
      <c r="BN157" s="45"/>
      <c r="BO157" s="45"/>
      <c r="BP157" s="45">
        <v>8.8252680813997487E-3</v>
      </c>
      <c r="BQ157" s="45">
        <v>6.8794091512559857E-2</v>
      </c>
      <c r="BR157" s="45">
        <v>29457.964275320082</v>
      </c>
      <c r="BS157" s="45"/>
      <c r="BT157" s="45">
        <v>105.26325536344159</v>
      </c>
      <c r="BU157" s="45"/>
      <c r="BV157" s="45">
        <v>2186.7611283947945</v>
      </c>
      <c r="BW157" s="45">
        <v>21.362934155067666</v>
      </c>
      <c r="BX157" s="45"/>
      <c r="BY157" s="45">
        <v>25234.510491809859</v>
      </c>
      <c r="BZ157" s="45">
        <v>2159.4867672565906</v>
      </c>
      <c r="CA157" s="45">
        <v>6.8922044851574675</v>
      </c>
      <c r="CB157" s="45">
        <v>4220.2092620370267</v>
      </c>
      <c r="CC157" s="45">
        <v>181458.93894846301</v>
      </c>
      <c r="CD157" s="45">
        <v>37956.058870287517</v>
      </c>
      <c r="CE157" s="45">
        <v>72163.095959693281</v>
      </c>
      <c r="CF157" s="45">
        <v>7846.024534260273</v>
      </c>
      <c r="CG157" s="45"/>
      <c r="CH157" s="45">
        <v>32.858989059550971</v>
      </c>
      <c r="CI157" s="45">
        <v>120.44566112546778</v>
      </c>
      <c r="CJ157" s="45">
        <v>493.84903065438317</v>
      </c>
      <c r="CK157" s="45"/>
      <c r="CL157" s="45"/>
      <c r="CM157" s="45"/>
      <c r="CN157" s="45"/>
      <c r="CO157" s="45"/>
      <c r="CP157" s="45"/>
      <c r="CQ157" s="45"/>
      <c r="CR157" s="45"/>
      <c r="CS157" s="45"/>
      <c r="CT157" s="45"/>
      <c r="CU157" s="45"/>
      <c r="CV157" s="45"/>
      <c r="CW157" s="45"/>
      <c r="CX157" s="45"/>
      <c r="CY157" s="45"/>
      <c r="CZ157" s="45">
        <v>13.297607652005246</v>
      </c>
      <c r="DA157" s="45">
        <v>1.175562539733858</v>
      </c>
      <c r="DB157" s="45">
        <v>524684192.28218693</v>
      </c>
      <c r="DC157" s="45"/>
      <c r="DD157" s="45">
        <v>23082766.557558946</v>
      </c>
      <c r="DE157" s="45"/>
      <c r="DF157" s="45">
        <v>110294404.63622047</v>
      </c>
      <c r="DG157" s="45">
        <v>16184114.063800277</v>
      </c>
      <c r="DH157" s="45"/>
      <c r="DI157" s="45">
        <v>997372119.87794733</v>
      </c>
      <c r="DJ157" s="45">
        <v>127062277.3259362</v>
      </c>
      <c r="DK157" s="45">
        <v>55932385.464632452</v>
      </c>
      <c r="DL157" s="45">
        <v>206793422.64632455</v>
      </c>
      <c r="DM157" s="45">
        <v>402580711.5006935</v>
      </c>
      <c r="DN157" s="45">
        <v>86933867.58391124</v>
      </c>
      <c r="DO157" s="45">
        <v>145422435.41747573</v>
      </c>
      <c r="DP157" s="45">
        <v>91996330.429958388</v>
      </c>
      <c r="DQ157" s="45"/>
      <c r="DR157" s="45">
        <v>106542033.13176145</v>
      </c>
      <c r="DS157" s="45">
        <v>20529276.981969487</v>
      </c>
      <c r="DT157" s="45">
        <v>361174357.33333331</v>
      </c>
      <c r="DU157" s="45"/>
      <c r="DV157" s="45"/>
      <c r="DW157" s="45"/>
      <c r="DX157" s="45"/>
      <c r="DY157" s="45"/>
      <c r="DZ157" s="45"/>
      <c r="EA157" s="45"/>
      <c r="EB157" s="45"/>
      <c r="EC157" s="45"/>
      <c r="ED157" s="45"/>
      <c r="EE157" s="45"/>
      <c r="EF157" s="45"/>
      <c r="EG157" s="45"/>
      <c r="EH157" s="45"/>
      <c r="EI157" s="45"/>
      <c r="EJ157" s="45">
        <v>62937051.073509015</v>
      </c>
      <c r="EK157" s="45">
        <v>24527524.038834952</v>
      </c>
      <c r="EL157" s="45">
        <v>1.166391702570087</v>
      </c>
      <c r="EM157" s="45">
        <v>3.2162782178065275</v>
      </c>
      <c r="EN157" s="45">
        <v>2.0495717647632881</v>
      </c>
      <c r="EO157" s="45"/>
      <c r="EP157" s="45"/>
      <c r="EQ157" s="45"/>
    </row>
    <row r="158" spans="1:147" s="92" customFormat="1" ht="15" customHeight="1" x14ac:dyDescent="0.25">
      <c r="A158" s="106" t="s">
        <v>617</v>
      </c>
      <c r="B158" s="136" t="s">
        <v>923</v>
      </c>
      <c r="C158" s="106" t="s">
        <v>618</v>
      </c>
      <c r="D158" s="107" t="s">
        <v>541</v>
      </c>
      <c r="E158" s="107" t="s">
        <v>599</v>
      </c>
      <c r="F158" s="118" t="s">
        <v>31</v>
      </c>
      <c r="G158" s="118">
        <v>16</v>
      </c>
      <c r="H158" s="118">
        <v>256</v>
      </c>
      <c r="I158" s="106"/>
      <c r="J158" s="109" t="s">
        <v>233</v>
      </c>
      <c r="K158" s="45">
        <v>2990.3467406380028</v>
      </c>
      <c r="L158" s="45">
        <v>16583.025705977205</v>
      </c>
      <c r="M158" s="45">
        <v>290.77148968000097</v>
      </c>
      <c r="N158" s="45"/>
      <c r="O158" s="45"/>
      <c r="P158" s="45"/>
      <c r="Q158" s="45"/>
      <c r="R158" s="45">
        <v>14280.093074093738</v>
      </c>
      <c r="S158" s="45"/>
      <c r="T158" s="45"/>
      <c r="U158" s="45">
        <v>52666.214214296255</v>
      </c>
      <c r="V158" s="45"/>
      <c r="W158" s="45"/>
      <c r="X158" s="45"/>
      <c r="Y158" s="45"/>
      <c r="Z158" s="45"/>
      <c r="AA158" s="45"/>
      <c r="AB158" s="45"/>
      <c r="AC158" s="45"/>
      <c r="AD158" s="45"/>
      <c r="AE158" s="45">
        <v>98.704532765259273</v>
      </c>
      <c r="AF158" s="45">
        <v>34772.67760552399</v>
      </c>
      <c r="AG158" s="45">
        <v>27784.183785543239</v>
      </c>
      <c r="AH158" s="45">
        <v>0.61503748040502848</v>
      </c>
      <c r="AI158" s="45"/>
      <c r="AJ158" s="45">
        <v>5.7580659552197135E-2</v>
      </c>
      <c r="AK158" s="45"/>
      <c r="AL158" s="45">
        <v>1.6138466999375727</v>
      </c>
      <c r="AM158" s="45">
        <v>0.73314442276051761</v>
      </c>
      <c r="AN158" s="45"/>
      <c r="AO158" s="45">
        <v>34.658636245338336</v>
      </c>
      <c r="AP158" s="45">
        <v>2.8429655276293278E-2</v>
      </c>
      <c r="AQ158" s="45">
        <v>0.12029534538022092</v>
      </c>
      <c r="AR158" s="45">
        <v>0.37000795506808631</v>
      </c>
      <c r="AS158" s="45">
        <v>5.7828796997340923</v>
      </c>
      <c r="AT158" s="45">
        <v>0.23545284737537192</v>
      </c>
      <c r="AU158" s="45">
        <v>2.7261455524470568</v>
      </c>
      <c r="AV158" s="45">
        <v>0.24015733874596737</v>
      </c>
      <c r="AW158" s="45">
        <v>2.6758991717074116E-3</v>
      </c>
      <c r="AX158" s="45">
        <v>0.56605358906490144</v>
      </c>
      <c r="AY158" s="45">
        <v>4.3186522027360189E-2</v>
      </c>
      <c r="AZ158" s="45">
        <v>0.78119296579455533</v>
      </c>
      <c r="BA158" s="45"/>
      <c r="BB158" s="45"/>
      <c r="BC158" s="45"/>
      <c r="BD158" s="45"/>
      <c r="BE158" s="45"/>
      <c r="BF158" s="45"/>
      <c r="BG158" s="45"/>
      <c r="BH158" s="45"/>
      <c r="BI158" s="45"/>
      <c r="BJ158" s="45"/>
      <c r="BK158" s="45"/>
      <c r="BL158" s="45"/>
      <c r="BM158" s="45"/>
      <c r="BN158" s="45"/>
      <c r="BO158" s="45"/>
      <c r="BP158" s="45">
        <v>6.0183874040286051E-2</v>
      </c>
      <c r="BQ158" s="45">
        <v>0.27914843353825375</v>
      </c>
      <c r="BR158" s="45">
        <v>9888.3590449811018</v>
      </c>
      <c r="BS158" s="45"/>
      <c r="BT158" s="45">
        <v>105.27060666687335</v>
      </c>
      <c r="BU158" s="45"/>
      <c r="BV158" s="45">
        <v>2013.3091199669707</v>
      </c>
      <c r="BW158" s="45">
        <v>112.10726061727982</v>
      </c>
      <c r="BX158" s="45"/>
      <c r="BY158" s="45">
        <v>130506.68108832552</v>
      </c>
      <c r="BZ158" s="45">
        <v>536.2017068479538</v>
      </c>
      <c r="CA158" s="45">
        <v>1157.2200879587435</v>
      </c>
      <c r="CB158" s="45">
        <v>249.5947239739088</v>
      </c>
      <c r="CC158" s="45">
        <v>171461.52547208767</v>
      </c>
      <c r="CD158" s="45">
        <v>31142.675851519358</v>
      </c>
      <c r="CE158" s="45">
        <v>148941.80127803629</v>
      </c>
      <c r="CF158" s="45">
        <v>7194.8474513368019</v>
      </c>
      <c r="CG158" s="45">
        <v>0.36286021781161792</v>
      </c>
      <c r="CH158" s="45">
        <v>27.197487509545141</v>
      </c>
      <c r="CI158" s="45">
        <v>133.85228324856448</v>
      </c>
      <c r="CJ158" s="45">
        <v>12003.632885101171</v>
      </c>
      <c r="CK158" s="45"/>
      <c r="CL158" s="45"/>
      <c r="CM158" s="45"/>
      <c r="CN158" s="45"/>
      <c r="CO158" s="45"/>
      <c r="CP158" s="45"/>
      <c r="CQ158" s="45"/>
      <c r="CR158" s="45"/>
      <c r="CS158" s="45"/>
      <c r="CT158" s="45"/>
      <c r="CU158" s="45"/>
      <c r="CV158" s="45"/>
      <c r="CW158" s="45"/>
      <c r="CX158" s="45"/>
      <c r="CY158" s="45"/>
      <c r="CZ158" s="45">
        <v>13.32399008482334</v>
      </c>
      <c r="DA158" s="45">
        <v>22.46327274696662</v>
      </c>
      <c r="DB158" s="45">
        <v>201710361.27594936</v>
      </c>
      <c r="DC158" s="45"/>
      <c r="DD158" s="45">
        <v>23038329.786407769</v>
      </c>
      <c r="DE158" s="45"/>
      <c r="DF158" s="45">
        <v>140117709.45222929</v>
      </c>
      <c r="DG158" s="45">
        <v>36611269.414701805</v>
      </c>
      <c r="DH158" s="45"/>
      <c r="DI158" s="45">
        <v>1384518319.4008322</v>
      </c>
      <c r="DJ158" s="45">
        <v>152088104.47711512</v>
      </c>
      <c r="DK158" s="45">
        <v>128898938.49653259</v>
      </c>
      <c r="DL158" s="45">
        <v>224239746.6629681</v>
      </c>
      <c r="DM158" s="45">
        <v>380632945.97503465</v>
      </c>
      <c r="DN158" s="45">
        <v>92570202.185852975</v>
      </c>
      <c r="DO158" s="45">
        <v>257169501.73647711</v>
      </c>
      <c r="DP158" s="45">
        <v>100207117.49237171</v>
      </c>
      <c r="DQ158" s="45">
        <v>91610175.911234394</v>
      </c>
      <c r="DR158" s="45">
        <v>119429918.18030514</v>
      </c>
      <c r="DS158" s="45">
        <v>22482409.986130375</v>
      </c>
      <c r="DT158" s="45">
        <v>331548531.72602737</v>
      </c>
      <c r="DU158" s="45"/>
      <c r="DV158" s="45"/>
      <c r="DW158" s="45"/>
      <c r="DX158" s="45"/>
      <c r="DY158" s="45"/>
      <c r="DZ158" s="45"/>
      <c r="EA158" s="45"/>
      <c r="EB158" s="45"/>
      <c r="EC158" s="45"/>
      <c r="ED158" s="45"/>
      <c r="EE158" s="45"/>
      <c r="EF158" s="45"/>
      <c r="EG158" s="45"/>
      <c r="EH158" s="45"/>
      <c r="EI158" s="45"/>
      <c r="EJ158" s="45">
        <v>67310937.120665744</v>
      </c>
      <c r="EK158" s="45">
        <v>28691065.431345355</v>
      </c>
      <c r="EL158" s="45">
        <v>8.8147101986074627</v>
      </c>
      <c r="EM158" s="45">
        <v>18.747999109386747</v>
      </c>
      <c r="EN158" s="45">
        <v>9.9333775250105845</v>
      </c>
      <c r="EO158" s="45"/>
      <c r="EP158" s="45"/>
      <c r="EQ158" s="45"/>
    </row>
    <row r="159" spans="1:147" s="92" customFormat="1" ht="15" customHeight="1" x14ac:dyDescent="0.25">
      <c r="A159" s="106" t="s">
        <v>619</v>
      </c>
      <c r="B159" s="136" t="s">
        <v>924</v>
      </c>
      <c r="C159" s="106" t="s">
        <v>620</v>
      </c>
      <c r="D159" s="107" t="s">
        <v>198</v>
      </c>
      <c r="E159" s="107" t="s">
        <v>599</v>
      </c>
      <c r="F159" s="118"/>
      <c r="G159" s="118"/>
      <c r="H159" s="118"/>
      <c r="I159" s="106"/>
      <c r="J159" s="109" t="s">
        <v>233</v>
      </c>
      <c r="K159" s="45">
        <v>2109.1983356449377</v>
      </c>
      <c r="L159" s="45">
        <v>9012.4093143718619</v>
      </c>
      <c r="M159" s="45">
        <v>960.90035350964774</v>
      </c>
      <c r="N159" s="45"/>
      <c r="O159" s="45"/>
      <c r="P159" s="45"/>
      <c r="Q159" s="45">
        <v>2.7944359989971828</v>
      </c>
      <c r="R159" s="45">
        <v>4763.7771781452975</v>
      </c>
      <c r="S159" s="45"/>
      <c r="T159" s="45"/>
      <c r="U159" s="45">
        <v>70845.305923047825</v>
      </c>
      <c r="V159" s="45"/>
      <c r="W159" s="45"/>
      <c r="X159" s="45"/>
      <c r="Y159" s="45"/>
      <c r="Z159" s="45"/>
      <c r="AA159" s="45">
        <v>0.65020152233298745</v>
      </c>
      <c r="AB159" s="45"/>
      <c r="AC159" s="45"/>
      <c r="AD159" s="45"/>
      <c r="AE159" s="45">
        <v>96.784005213111925</v>
      </c>
      <c r="AF159" s="45">
        <v>44344.377314687794</v>
      </c>
      <c r="AG159" s="45">
        <v>41272.181070618244</v>
      </c>
      <c r="AH159" s="45">
        <v>2.1609662342713816</v>
      </c>
      <c r="AI159" s="45"/>
      <c r="AJ159" s="45">
        <v>0.15888766074563868</v>
      </c>
      <c r="AK159" s="45">
        <v>0.6094293399893016</v>
      </c>
      <c r="AL159" s="45">
        <v>3.2626251482564474</v>
      </c>
      <c r="AM159" s="45">
        <v>0.41445292734748923</v>
      </c>
      <c r="AN159" s="45"/>
      <c r="AO159" s="45">
        <v>46.93102804911797</v>
      </c>
      <c r="AP159" s="45">
        <v>1.515031382753286</v>
      </c>
      <c r="AQ159" s="45">
        <v>0.28335015492860022</v>
      </c>
      <c r="AR159" s="45">
        <v>0.97830396035463418</v>
      </c>
      <c r="AS159" s="45">
        <v>12.810595985299679</v>
      </c>
      <c r="AT159" s="45">
        <v>0.1274367530733212</v>
      </c>
      <c r="AU159" s="45">
        <v>2.3280726036072048</v>
      </c>
      <c r="AV159" s="45">
        <v>1.0777539235745992</v>
      </c>
      <c r="AW159" s="45"/>
      <c r="AX159" s="45">
        <v>0.95202851959514889</v>
      </c>
      <c r="AY159" s="45">
        <v>5.8366159464198673E-2</v>
      </c>
      <c r="AZ159" s="45">
        <v>0.2513467746562742</v>
      </c>
      <c r="BA159" s="45"/>
      <c r="BB159" s="45"/>
      <c r="BC159" s="45"/>
      <c r="BD159" s="45"/>
      <c r="BE159" s="45"/>
      <c r="BF159" s="45"/>
      <c r="BG159" s="45"/>
      <c r="BH159" s="45"/>
      <c r="BI159" s="45"/>
      <c r="BJ159" s="45"/>
      <c r="BK159" s="45"/>
      <c r="BL159" s="45"/>
      <c r="BM159" s="45"/>
      <c r="BN159" s="45"/>
      <c r="BO159" s="45"/>
      <c r="BP159" s="45">
        <v>0.10828732426736597</v>
      </c>
      <c r="BQ159" s="45">
        <v>0.35551108906961892</v>
      </c>
      <c r="BR159" s="45">
        <v>9268.5230173731688</v>
      </c>
      <c r="BS159" s="45"/>
      <c r="BT159" s="45">
        <v>87.735363503315199</v>
      </c>
      <c r="BU159" s="45">
        <v>1607.8153139993044</v>
      </c>
      <c r="BV159" s="45">
        <v>2176.2561990357312</v>
      </c>
      <c r="BW159" s="45">
        <v>72.753062263930047</v>
      </c>
      <c r="BX159" s="45"/>
      <c r="BY159" s="45">
        <v>113042.27392710182</v>
      </c>
      <c r="BZ159" s="45">
        <v>8901.1606453885306</v>
      </c>
      <c r="CA159" s="45">
        <v>1120.1002127923548</v>
      </c>
      <c r="CB159" s="45">
        <v>164.74508544826983</v>
      </c>
      <c r="CC159" s="45">
        <v>285139.46559104155</v>
      </c>
      <c r="CD159" s="45">
        <v>156.53911308624708</v>
      </c>
      <c r="CE159" s="45">
        <v>93888.085431101819</v>
      </c>
      <c r="CF159" s="45">
        <v>8068.1152314611827</v>
      </c>
      <c r="CG159" s="45"/>
      <c r="CH159" s="45">
        <v>35.658348859524438</v>
      </c>
      <c r="CI159" s="45">
        <v>183.7096623270109</v>
      </c>
      <c r="CJ159" s="45">
        <v>73.189526574045772</v>
      </c>
      <c r="CK159" s="45"/>
      <c r="CL159" s="45"/>
      <c r="CM159" s="45"/>
      <c r="CN159" s="45"/>
      <c r="CO159" s="45"/>
      <c r="CP159" s="45"/>
      <c r="CQ159" s="45"/>
      <c r="CR159" s="45"/>
      <c r="CS159" s="45"/>
      <c r="CT159" s="45"/>
      <c r="CU159" s="45"/>
      <c r="CV159" s="45"/>
      <c r="CW159" s="45"/>
      <c r="CX159" s="45"/>
      <c r="CY159" s="45"/>
      <c r="CZ159" s="45">
        <v>13.332911071377209</v>
      </c>
      <c r="DA159" s="45">
        <v>8.8105277926733816</v>
      </c>
      <c r="DB159" s="45">
        <v>777238474.03051317</v>
      </c>
      <c r="DC159" s="45"/>
      <c r="DD159" s="45">
        <v>23756436.416088767</v>
      </c>
      <c r="DE159" s="45">
        <v>695694283.45076287</v>
      </c>
      <c r="DF159" s="45">
        <v>659205922.44105411</v>
      </c>
      <c r="DG159" s="45">
        <v>66993880.588072121</v>
      </c>
      <c r="DH159" s="45"/>
      <c r="DI159" s="45">
        <v>2741117575.633842</v>
      </c>
      <c r="DJ159" s="45">
        <v>170836269.0929265</v>
      </c>
      <c r="DK159" s="45">
        <v>95964422.746185854</v>
      </c>
      <c r="DL159" s="45">
        <v>283041337.52011096</v>
      </c>
      <c r="DM159" s="45">
        <v>395378119.90013868</v>
      </c>
      <c r="DN159" s="45">
        <v>46084459.583911233</v>
      </c>
      <c r="DO159" s="45">
        <v>604251975.36754513</v>
      </c>
      <c r="DP159" s="45">
        <v>103866515.70596394</v>
      </c>
      <c r="DQ159" s="45"/>
      <c r="DR159" s="45">
        <v>114520206.02496533</v>
      </c>
      <c r="DS159" s="45">
        <v>23088305.531206656</v>
      </c>
      <c r="DT159" s="45">
        <v>478603198.66851592</v>
      </c>
      <c r="DU159" s="45"/>
      <c r="DV159" s="45"/>
      <c r="DW159" s="45"/>
      <c r="DX159" s="45"/>
      <c r="DY159" s="45"/>
      <c r="DZ159" s="45"/>
      <c r="EA159" s="45"/>
      <c r="EB159" s="45"/>
      <c r="EC159" s="45"/>
      <c r="ED159" s="45"/>
      <c r="EE159" s="45"/>
      <c r="EF159" s="45"/>
      <c r="EG159" s="45"/>
      <c r="EH159" s="45"/>
      <c r="EI159" s="45"/>
      <c r="EJ159" s="45">
        <v>66940195.151178919</v>
      </c>
      <c r="EK159" s="45">
        <v>27086842.319001388</v>
      </c>
      <c r="EL159" s="45">
        <v>12.235269263626636</v>
      </c>
      <c r="EM159" s="45">
        <v>21.405027574785485</v>
      </c>
      <c r="EN159" s="45">
        <v>9.1534727403098834</v>
      </c>
      <c r="EO159" s="45"/>
      <c r="EP159" s="45" t="s">
        <v>225</v>
      </c>
      <c r="EQ159" s="45"/>
    </row>
    <row r="160" spans="1:147" s="92" customFormat="1" ht="15" customHeight="1" x14ac:dyDescent="0.25">
      <c r="A160" s="106" t="s">
        <v>621</v>
      </c>
      <c r="B160" s="136" t="s">
        <v>925</v>
      </c>
      <c r="C160" s="106" t="s">
        <v>622</v>
      </c>
      <c r="D160" s="107" t="s">
        <v>533</v>
      </c>
      <c r="E160" s="107" t="s">
        <v>599</v>
      </c>
      <c r="F160" s="118" t="s">
        <v>31</v>
      </c>
      <c r="G160" s="118">
        <v>16</v>
      </c>
      <c r="H160" s="118">
        <v>256</v>
      </c>
      <c r="I160" s="106"/>
      <c r="J160" s="109" t="s">
        <v>233</v>
      </c>
      <c r="K160" s="45">
        <v>2766.5450762829405</v>
      </c>
      <c r="L160" s="45">
        <v>8254.4777923240435</v>
      </c>
      <c r="M160" s="45">
        <v>395.6940043100779</v>
      </c>
      <c r="N160" s="45"/>
      <c r="O160" s="45"/>
      <c r="P160" s="45"/>
      <c r="Q160" s="45">
        <v>6.8698291690153708</v>
      </c>
      <c r="R160" s="45"/>
      <c r="S160" s="45"/>
      <c r="T160" s="45"/>
      <c r="U160" s="45">
        <v>74793.190488250344</v>
      </c>
      <c r="V160" s="45"/>
      <c r="W160" s="45"/>
      <c r="X160" s="45"/>
      <c r="Y160" s="45"/>
      <c r="Z160" s="45"/>
      <c r="AA160" s="45"/>
      <c r="AB160" s="45"/>
      <c r="AC160" s="45"/>
      <c r="AD160" s="45"/>
      <c r="AE160" s="45">
        <v>98.176887471848573</v>
      </c>
      <c r="AF160" s="45">
        <v>39176.012623104318</v>
      </c>
      <c r="AG160" s="45">
        <v>23786.269696709282</v>
      </c>
      <c r="AH160" s="45">
        <v>7.9021953633667898</v>
      </c>
      <c r="AI160" s="45"/>
      <c r="AJ160" s="45">
        <v>6.1922096125521776E-2</v>
      </c>
      <c r="AK160" s="45"/>
      <c r="AL160" s="45">
        <v>3.0639462449288515</v>
      </c>
      <c r="AM160" s="45">
        <v>8.0439489678167886E-2</v>
      </c>
      <c r="AN160" s="45"/>
      <c r="AO160" s="45">
        <v>14.534324853375688</v>
      </c>
      <c r="AP160" s="45">
        <v>0.47048444942579548</v>
      </c>
      <c r="AQ160" s="45">
        <v>0.10474514240206752</v>
      </c>
      <c r="AR160" s="45">
        <v>0.39598440719623323</v>
      </c>
      <c r="AS160" s="45">
        <v>6.9187018386262267</v>
      </c>
      <c r="AT160" s="45">
        <v>7.3425266916948687E-2</v>
      </c>
      <c r="AU160" s="45"/>
      <c r="AV160" s="45">
        <v>0.58680863155587104</v>
      </c>
      <c r="AW160" s="45"/>
      <c r="AX160" s="45">
        <v>0.7790142245895374</v>
      </c>
      <c r="AY160" s="45">
        <v>4.3981832421368647E-2</v>
      </c>
      <c r="AZ160" s="45">
        <v>3.5412548194994278</v>
      </c>
      <c r="BA160" s="45"/>
      <c r="BB160" s="45"/>
      <c r="BC160" s="45"/>
      <c r="BD160" s="45"/>
      <c r="BE160" s="45"/>
      <c r="BF160" s="45">
        <v>2.7694930984930859</v>
      </c>
      <c r="BG160" s="45"/>
      <c r="BH160" s="45"/>
      <c r="BI160" s="45"/>
      <c r="BJ160" s="45"/>
      <c r="BK160" s="45"/>
      <c r="BL160" s="45"/>
      <c r="BM160" s="45"/>
      <c r="BN160" s="45"/>
      <c r="BO160" s="45"/>
      <c r="BP160" s="45"/>
      <c r="BQ160" s="45">
        <v>0.18742880087970898</v>
      </c>
      <c r="BR160" s="45">
        <v>43822.772039900541</v>
      </c>
      <c r="BS160" s="45"/>
      <c r="BT160" s="45">
        <v>102.34177976470582</v>
      </c>
      <c r="BU160" s="45"/>
      <c r="BV160" s="45">
        <v>8004.3413451611923</v>
      </c>
      <c r="BW160" s="45">
        <v>19.564259171145004</v>
      </c>
      <c r="BX160" s="45"/>
      <c r="BY160" s="45">
        <v>62312.459876938483</v>
      </c>
      <c r="BZ160" s="45">
        <v>543483.43259591365</v>
      </c>
      <c r="CA160" s="45">
        <v>6.890587140352082</v>
      </c>
      <c r="CB160" s="45">
        <v>36.119565168310238</v>
      </c>
      <c r="CC160" s="45">
        <v>438240.63917938096</v>
      </c>
      <c r="CD160" s="45">
        <v>171.93965411301309</v>
      </c>
      <c r="CE160" s="45"/>
      <c r="CF160" s="45">
        <v>9496.8022874984472</v>
      </c>
      <c r="CG160" s="45"/>
      <c r="CH160" s="45">
        <v>25.813692830744014</v>
      </c>
      <c r="CI160" s="45">
        <v>120.75552240702602</v>
      </c>
      <c r="CJ160" s="45">
        <v>107018.06223947935</v>
      </c>
      <c r="CK160" s="45"/>
      <c r="CL160" s="45"/>
      <c r="CM160" s="45"/>
      <c r="CN160" s="45"/>
      <c r="CO160" s="45"/>
      <c r="CP160" s="45">
        <v>238701.10249052872</v>
      </c>
      <c r="CQ160" s="45"/>
      <c r="CR160" s="45"/>
      <c r="CS160" s="45"/>
      <c r="CT160" s="45"/>
      <c r="CU160" s="45"/>
      <c r="CV160" s="45"/>
      <c r="CW160" s="45"/>
      <c r="CX160" s="45"/>
      <c r="CY160" s="45"/>
      <c r="CZ160" s="45"/>
      <c r="DA160" s="45">
        <v>8.041615102342039</v>
      </c>
      <c r="DB160" s="45">
        <v>547652336.62190807</v>
      </c>
      <c r="DC160" s="45"/>
      <c r="DD160" s="45">
        <v>24214785.065187238</v>
      </c>
      <c r="DE160" s="45"/>
      <c r="DF160" s="45">
        <v>157491330.03174603</v>
      </c>
      <c r="DG160" s="45">
        <v>57620624.865464635</v>
      </c>
      <c r="DH160" s="45"/>
      <c r="DI160" s="45">
        <v>1950469200.9542303</v>
      </c>
      <c r="DJ160" s="45">
        <v>175593406.66851595</v>
      </c>
      <c r="DK160" s="45">
        <v>63150213.503467403</v>
      </c>
      <c r="DL160" s="45">
        <v>197472096.93203884</v>
      </c>
      <c r="DM160" s="45">
        <v>378085563.47295421</v>
      </c>
      <c r="DN160" s="45">
        <v>48014249.36477115</v>
      </c>
      <c r="DO160" s="45"/>
      <c r="DP160" s="45">
        <v>103149619.12898752</v>
      </c>
      <c r="DQ160" s="45"/>
      <c r="DR160" s="45">
        <v>122831864.89875174</v>
      </c>
      <c r="DS160" s="45">
        <v>23079562.474341191</v>
      </c>
      <c r="DT160" s="45">
        <v>349971890.84931505</v>
      </c>
      <c r="DU160" s="45"/>
      <c r="DV160" s="45"/>
      <c r="DW160" s="45"/>
      <c r="DX160" s="45"/>
      <c r="DY160" s="45"/>
      <c r="DZ160" s="45">
        <v>145220250.11126962</v>
      </c>
      <c r="EA160" s="45"/>
      <c r="EB160" s="45"/>
      <c r="EC160" s="45"/>
      <c r="ED160" s="45"/>
      <c r="EE160" s="45"/>
      <c r="EF160" s="45"/>
      <c r="EG160" s="45"/>
      <c r="EH160" s="45"/>
      <c r="EI160" s="45"/>
      <c r="EJ160" s="45"/>
      <c r="EK160" s="45">
        <v>27669940.01664355</v>
      </c>
      <c r="EL160" s="45">
        <v>9.1320100613393791</v>
      </c>
      <c r="EM160" s="45">
        <v>18.439325415490355</v>
      </c>
      <c r="EN160" s="45">
        <v>9.3073423884033755</v>
      </c>
      <c r="EO160" s="45"/>
      <c r="EP160" s="45"/>
      <c r="EQ160" s="45"/>
    </row>
    <row r="161" spans="1:147" s="92" customFormat="1" ht="15" customHeight="1" x14ac:dyDescent="0.25">
      <c r="A161" s="106" t="s">
        <v>623</v>
      </c>
      <c r="B161" s="136" t="s">
        <v>926</v>
      </c>
      <c r="C161" s="106" t="s">
        <v>624</v>
      </c>
      <c r="D161" s="107" t="s">
        <v>533</v>
      </c>
      <c r="E161" s="107" t="s">
        <v>599</v>
      </c>
      <c r="F161" s="118" t="s">
        <v>48</v>
      </c>
      <c r="G161" s="118">
        <v>16</v>
      </c>
      <c r="H161" s="118">
        <v>256</v>
      </c>
      <c r="I161" s="106"/>
      <c r="J161" s="109" t="s">
        <v>233</v>
      </c>
      <c r="K161" s="45">
        <v>4232.8335644937588</v>
      </c>
      <c r="L161" s="45">
        <v>32755.511653964637</v>
      </c>
      <c r="M161" s="45">
        <v>276.24355059603022</v>
      </c>
      <c r="N161" s="45"/>
      <c r="O161" s="45"/>
      <c r="P161" s="45"/>
      <c r="Q161" s="45">
        <v>3.5616954097799951</v>
      </c>
      <c r="R161" s="45"/>
      <c r="S161" s="45"/>
      <c r="T161" s="45"/>
      <c r="U161" s="45">
        <v>236600.52180304495</v>
      </c>
      <c r="V161" s="45"/>
      <c r="W161" s="45"/>
      <c r="X161" s="45"/>
      <c r="Y161" s="45"/>
      <c r="Z161" s="45"/>
      <c r="AA161" s="45"/>
      <c r="AB161" s="45"/>
      <c r="AC161" s="45"/>
      <c r="AD161" s="45"/>
      <c r="AE161" s="45">
        <v>98.433730039462432</v>
      </c>
      <c r="AF161" s="45">
        <v>40095.678031955278</v>
      </c>
      <c r="AG161" s="45">
        <v>23846.996256873663</v>
      </c>
      <c r="AH161" s="45">
        <v>4.6655979724714012</v>
      </c>
      <c r="AI161" s="45"/>
      <c r="AJ161" s="45">
        <v>0.18982122502914056</v>
      </c>
      <c r="AK161" s="45"/>
      <c r="AL161" s="45">
        <v>1.6472575422697486</v>
      </c>
      <c r="AM161" s="45">
        <v>0.12109846577083909</v>
      </c>
      <c r="AN161" s="45"/>
      <c r="AO161" s="45">
        <v>5.8319783016055444</v>
      </c>
      <c r="AP161" s="45">
        <v>0.19706950761742345</v>
      </c>
      <c r="AQ161" s="45">
        <v>0.3183616232773942</v>
      </c>
      <c r="AR161" s="45">
        <v>1.0916219488103851</v>
      </c>
      <c r="AS161" s="45">
        <v>15.502744313942928</v>
      </c>
      <c r="AT161" s="45">
        <v>9.8035027184992365E-2</v>
      </c>
      <c r="AU161" s="45">
        <v>6.6311594536142344</v>
      </c>
      <c r="AV161" s="45">
        <v>0.74720790239608936</v>
      </c>
      <c r="AW161" s="45"/>
      <c r="AX161" s="45"/>
      <c r="AY161" s="45">
        <v>5.0564246460212896E-2</v>
      </c>
      <c r="AZ161" s="45">
        <v>5.276536213348729</v>
      </c>
      <c r="BA161" s="45"/>
      <c r="BB161" s="45"/>
      <c r="BC161" s="45"/>
      <c r="BD161" s="45"/>
      <c r="BE161" s="45"/>
      <c r="BF161" s="45"/>
      <c r="BG161" s="45"/>
      <c r="BH161" s="45"/>
      <c r="BI161" s="45"/>
      <c r="BJ161" s="45"/>
      <c r="BK161" s="45"/>
      <c r="BL161" s="45"/>
      <c r="BM161" s="45"/>
      <c r="BN161" s="45"/>
      <c r="BO161" s="45"/>
      <c r="BP161" s="45">
        <v>0.12731408308020839</v>
      </c>
      <c r="BQ161" s="45">
        <v>0.39265130609183124</v>
      </c>
      <c r="BR161" s="45">
        <v>10546.980168119268</v>
      </c>
      <c r="BS161" s="45"/>
      <c r="BT161" s="45">
        <v>96.509866964473545</v>
      </c>
      <c r="BU161" s="45"/>
      <c r="BV161" s="45">
        <v>13107.826003279584</v>
      </c>
      <c r="BW161" s="45">
        <v>18.649743242146737</v>
      </c>
      <c r="BX161" s="45"/>
      <c r="BY161" s="45">
        <v>480045.31494713982</v>
      </c>
      <c r="BZ161" s="45">
        <v>6453.3842943480222</v>
      </c>
      <c r="CA161" s="45">
        <v>178.54417699478103</v>
      </c>
      <c r="CB161" s="45">
        <v>2781.2440553530655</v>
      </c>
      <c r="CC161" s="45">
        <v>229185.40721292314</v>
      </c>
      <c r="CD161" s="45">
        <v>94.877730219248349</v>
      </c>
      <c r="CE161" s="45">
        <v>630226.88801082561</v>
      </c>
      <c r="CF161" s="45">
        <v>6842.391151019523</v>
      </c>
      <c r="CG161" s="45"/>
      <c r="CH161" s="45"/>
      <c r="CI161" s="45">
        <v>119.38821735634176</v>
      </c>
      <c r="CJ161" s="45">
        <v>13559.104732377296</v>
      </c>
      <c r="CK161" s="45"/>
      <c r="CL161" s="45"/>
      <c r="CM161" s="45"/>
      <c r="CN161" s="45"/>
      <c r="CO161" s="45"/>
      <c r="CP161" s="45"/>
      <c r="CQ161" s="45"/>
      <c r="CR161" s="45"/>
      <c r="CS161" s="45"/>
      <c r="CT161" s="45"/>
      <c r="CU161" s="45"/>
      <c r="CV161" s="45"/>
      <c r="CW161" s="45"/>
      <c r="CX161" s="45"/>
      <c r="CY161" s="45"/>
      <c r="CZ161" s="45">
        <v>13.322521604123406</v>
      </c>
      <c r="DA161" s="45">
        <v>1.1599716955035546</v>
      </c>
      <c r="DB161" s="45">
        <v>529691475.96799999</v>
      </c>
      <c r="DC161" s="45"/>
      <c r="DD161" s="45">
        <v>24300505.653259363</v>
      </c>
      <c r="DE161" s="45"/>
      <c r="DF161" s="45">
        <v>307414794.01117319</v>
      </c>
      <c r="DG161" s="45">
        <v>22368858.185852982</v>
      </c>
      <c r="DH161" s="45"/>
      <c r="DI161" s="45">
        <v>994667106.70735085</v>
      </c>
      <c r="DJ161" s="45">
        <v>153413589.39251041</v>
      </c>
      <c r="DK161" s="45">
        <v>92660905.009708732</v>
      </c>
      <c r="DL161" s="45">
        <v>220111302.47988904</v>
      </c>
      <c r="DM161" s="45">
        <v>423549947.73925102</v>
      </c>
      <c r="DN161" s="45">
        <v>43084460.560332872</v>
      </c>
      <c r="DO161" s="45">
        <v>356349818.49653262</v>
      </c>
      <c r="DP161" s="45">
        <v>92345569.819694862</v>
      </c>
      <c r="DQ161" s="45"/>
      <c r="DR161" s="45"/>
      <c r="DS161" s="45">
        <v>22214681.56449376</v>
      </c>
      <c r="DT161" s="45">
        <v>321574229.33333331</v>
      </c>
      <c r="DU161" s="45"/>
      <c r="DV161" s="45"/>
      <c r="DW161" s="45"/>
      <c r="DX161" s="45"/>
      <c r="DY161" s="45"/>
      <c r="DZ161" s="45"/>
      <c r="EA161" s="45"/>
      <c r="EB161" s="45"/>
      <c r="EC161" s="45"/>
      <c r="ED161" s="45"/>
      <c r="EE161" s="45"/>
      <c r="EF161" s="45"/>
      <c r="EG161" s="45"/>
      <c r="EH161" s="45"/>
      <c r="EI161" s="45"/>
      <c r="EJ161" s="45">
        <v>68911126.723994449</v>
      </c>
      <c r="EK161" s="45">
        <v>24128138.474341191</v>
      </c>
      <c r="EL161" s="45">
        <v>13.896571124897848</v>
      </c>
      <c r="EM161" s="45">
        <v>30.880791081708729</v>
      </c>
      <c r="EN161" s="45">
        <v>16.984434497175215</v>
      </c>
      <c r="EO161" s="45"/>
      <c r="EP161" s="45"/>
      <c r="EQ161" s="45"/>
    </row>
    <row r="162" spans="1:147" s="92" customFormat="1" ht="15" customHeight="1" x14ac:dyDescent="0.25">
      <c r="A162" s="106" t="s">
        <v>625</v>
      </c>
      <c r="B162" s="136" t="s">
        <v>927</v>
      </c>
      <c r="C162" s="106" t="s">
        <v>629</v>
      </c>
      <c r="D162" s="107" t="s">
        <v>850</v>
      </c>
      <c r="E162" s="107" t="s">
        <v>599</v>
      </c>
      <c r="F162" s="118" t="s">
        <v>48</v>
      </c>
      <c r="G162" s="118">
        <v>16</v>
      </c>
      <c r="H162" s="118">
        <v>256</v>
      </c>
      <c r="I162" s="106"/>
      <c r="J162" s="109" t="s">
        <v>233</v>
      </c>
      <c r="K162" s="45">
        <v>3418.4036061026354</v>
      </c>
      <c r="L162" s="45">
        <v>7807.0151308587147</v>
      </c>
      <c r="M162" s="45">
        <v>173.60055299512723</v>
      </c>
      <c r="N162" s="45"/>
      <c r="O162" s="45"/>
      <c r="P162" s="45"/>
      <c r="Q162" s="45">
        <v>5.9979426818127317</v>
      </c>
      <c r="R162" s="45"/>
      <c r="S162" s="45"/>
      <c r="T162" s="45"/>
      <c r="U162" s="45">
        <v>58876.415839210764</v>
      </c>
      <c r="V162" s="45"/>
      <c r="W162" s="45"/>
      <c r="X162" s="45"/>
      <c r="Y162" s="45"/>
      <c r="Z162" s="45"/>
      <c r="AA162" s="45"/>
      <c r="AB162" s="45"/>
      <c r="AC162" s="45"/>
      <c r="AD162" s="45"/>
      <c r="AE162" s="45">
        <v>99.020604336785254</v>
      </c>
      <c r="AF162" s="45">
        <v>39411.435012903195</v>
      </c>
      <c r="AG162" s="45">
        <v>20859.199092522671</v>
      </c>
      <c r="AH162" s="45">
        <v>9.7090359627560634</v>
      </c>
      <c r="AI162" s="45"/>
      <c r="AJ162" s="45">
        <v>0.17585855080125473</v>
      </c>
      <c r="AK162" s="45"/>
      <c r="AL162" s="45">
        <v>4.4084560730381375</v>
      </c>
      <c r="AM162" s="45">
        <v>0.11726283962052256</v>
      </c>
      <c r="AN162" s="45"/>
      <c r="AO162" s="45">
        <v>11.58839051963475</v>
      </c>
      <c r="AP162" s="45">
        <v>1.8217034351346297</v>
      </c>
      <c r="AQ162" s="45">
        <v>0.25767423026164427</v>
      </c>
      <c r="AR162" s="45">
        <v>0.92585471635616967</v>
      </c>
      <c r="AS162" s="45">
        <v>14.939997777708431</v>
      </c>
      <c r="AT162" s="45">
        <v>0.27412538247197304</v>
      </c>
      <c r="AU162" s="45">
        <v>0.3341239524470393</v>
      </c>
      <c r="AV162" s="45">
        <v>0.64194110915369151</v>
      </c>
      <c r="AW162" s="45">
        <v>4.866819419154076E-2</v>
      </c>
      <c r="AX162" s="45">
        <v>0.85584500436193878</v>
      </c>
      <c r="AY162" s="45">
        <v>4.7089181584186693E-2</v>
      </c>
      <c r="AZ162" s="45"/>
      <c r="BA162" s="45"/>
      <c r="BB162" s="45"/>
      <c r="BC162" s="45"/>
      <c r="BD162" s="45"/>
      <c r="BE162" s="45"/>
      <c r="BF162" s="45">
        <v>2.5219298054088921</v>
      </c>
      <c r="BG162" s="45"/>
      <c r="BH162" s="45"/>
      <c r="BI162" s="45"/>
      <c r="BJ162" s="45"/>
      <c r="BK162" s="45"/>
      <c r="BL162" s="45"/>
      <c r="BM162" s="45"/>
      <c r="BN162" s="45"/>
      <c r="BO162" s="45"/>
      <c r="BP162" s="45">
        <v>0.12384222270848429</v>
      </c>
      <c r="BQ162" s="45">
        <v>0.40855631335062081</v>
      </c>
      <c r="BR162" s="45">
        <v>132567.7467041054</v>
      </c>
      <c r="BS162" s="45"/>
      <c r="BT162" s="45">
        <v>87.735774729594667</v>
      </c>
      <c r="BU162" s="45"/>
      <c r="BV162" s="45">
        <v>56929.09210954859</v>
      </c>
      <c r="BW162" s="45">
        <v>23.762658488498932</v>
      </c>
      <c r="BX162" s="45"/>
      <c r="BY162" s="45">
        <v>9865.2581397979684</v>
      </c>
      <c r="BZ162" s="45">
        <v>972.23892924089353</v>
      </c>
      <c r="CA162" s="45">
        <v>6.890703592499472</v>
      </c>
      <c r="CB162" s="45">
        <v>37.837335450548693</v>
      </c>
      <c r="CC162" s="45">
        <v>261184.20819646626</v>
      </c>
      <c r="CD162" s="45">
        <v>11996.399059299925</v>
      </c>
      <c r="CE162" s="45">
        <v>13459.322809288495</v>
      </c>
      <c r="CF162" s="45">
        <v>4764.0251526109432</v>
      </c>
      <c r="CG162" s="45">
        <v>839.06878880664328</v>
      </c>
      <c r="CH162" s="45">
        <v>25.720009649498468</v>
      </c>
      <c r="CI162" s="45">
        <v>120.5068942631587</v>
      </c>
      <c r="CJ162" s="45"/>
      <c r="CK162" s="45"/>
      <c r="CL162" s="45"/>
      <c r="CM162" s="45"/>
      <c r="CN162" s="45"/>
      <c r="CO162" s="45"/>
      <c r="CP162" s="45">
        <v>192238.92837527918</v>
      </c>
      <c r="CQ162" s="45"/>
      <c r="CR162" s="45"/>
      <c r="CS162" s="45"/>
      <c r="CT162" s="45"/>
      <c r="CU162" s="45"/>
      <c r="CV162" s="45"/>
      <c r="CW162" s="45"/>
      <c r="CX162" s="45"/>
      <c r="CY162" s="45"/>
      <c r="CZ162" s="45">
        <v>13.329574648985302</v>
      </c>
      <c r="DA162" s="45">
        <v>1.1455543869782787</v>
      </c>
      <c r="DB162" s="45">
        <v>429626066.82352942</v>
      </c>
      <c r="DC162" s="45"/>
      <c r="DD162" s="45">
        <v>23657223.456310678</v>
      </c>
      <c r="DE162" s="45"/>
      <c r="DF162" s="45">
        <v>372427167.13513511</v>
      </c>
      <c r="DG162" s="45">
        <v>20974087.811373092</v>
      </c>
      <c r="DH162" s="45"/>
      <c r="DI162" s="45">
        <v>929461752.18862689</v>
      </c>
      <c r="DJ162" s="45">
        <v>136913964.02773926</v>
      </c>
      <c r="DK162" s="45">
        <v>74082926.069348127</v>
      </c>
      <c r="DL162" s="45">
        <v>217673852.98196948</v>
      </c>
      <c r="DM162" s="45">
        <v>381626592.39944524</v>
      </c>
      <c r="DN162" s="45">
        <v>82739841.952843279</v>
      </c>
      <c r="DO162" s="45">
        <v>78931703.83356449</v>
      </c>
      <c r="DP162" s="45">
        <v>93109169.886269078</v>
      </c>
      <c r="DQ162" s="45">
        <v>90877974.723994449</v>
      </c>
      <c r="DR162" s="45">
        <v>114670422.99029127</v>
      </c>
      <c r="DS162" s="45">
        <v>23073341.780859917</v>
      </c>
      <c r="DT162" s="45"/>
      <c r="DU162" s="45"/>
      <c r="DV162" s="45"/>
      <c r="DW162" s="45"/>
      <c r="DX162" s="45"/>
      <c r="DY162" s="45"/>
      <c r="DZ162" s="45">
        <v>106849427.12643678</v>
      </c>
      <c r="EA162" s="45"/>
      <c r="EB162" s="45"/>
      <c r="EC162" s="45"/>
      <c r="ED162" s="45"/>
      <c r="EE162" s="45"/>
      <c r="EF162" s="45"/>
      <c r="EG162" s="45"/>
      <c r="EH162" s="45"/>
      <c r="EI162" s="45"/>
      <c r="EJ162" s="45">
        <v>64657598.31345354</v>
      </c>
      <c r="EK162" s="45">
        <v>24784146.108183078</v>
      </c>
      <c r="EL162" s="45">
        <v>11.023174918013369</v>
      </c>
      <c r="EM162" s="45">
        <v>22.116023444753385</v>
      </c>
      <c r="EN162" s="45">
        <v>11.092774018023499</v>
      </c>
      <c r="EO162" s="45"/>
      <c r="EP162" s="45"/>
      <c r="EQ162" s="45"/>
    </row>
    <row r="163" spans="1:147" s="92" customFormat="1" ht="15" customHeight="1" x14ac:dyDescent="0.25">
      <c r="A163" s="106" t="s">
        <v>626</v>
      </c>
      <c r="B163" s="136" t="s">
        <v>929</v>
      </c>
      <c r="C163" s="106" t="s">
        <v>630</v>
      </c>
      <c r="D163" s="107" t="s">
        <v>601</v>
      </c>
      <c r="E163" s="107" t="s">
        <v>599</v>
      </c>
      <c r="F163" s="118" t="s">
        <v>47</v>
      </c>
      <c r="G163" s="118">
        <v>16</v>
      </c>
      <c r="H163" s="118">
        <v>256</v>
      </c>
      <c r="I163" s="106"/>
      <c r="J163" s="109" t="s">
        <v>233</v>
      </c>
      <c r="K163" s="45">
        <v>4254.4743411927875</v>
      </c>
      <c r="L163" s="45">
        <v>11551.632149076091</v>
      </c>
      <c r="M163" s="45">
        <v>192.26414458602838</v>
      </c>
      <c r="N163" s="45"/>
      <c r="O163" s="45"/>
      <c r="P163" s="45"/>
      <c r="Q163" s="45">
        <v>0.24900295765110231</v>
      </c>
      <c r="R163" s="45">
        <v>34345.46303462526</v>
      </c>
      <c r="S163" s="45"/>
      <c r="T163" s="45"/>
      <c r="U163" s="45"/>
      <c r="V163" s="45"/>
      <c r="W163" s="45"/>
      <c r="X163" s="45"/>
      <c r="Y163" s="45"/>
      <c r="Z163" s="45"/>
      <c r="AA163" s="45">
        <v>47061.275944744506</v>
      </c>
      <c r="AB163" s="45"/>
      <c r="AC163" s="45"/>
      <c r="AD163" s="45"/>
      <c r="AE163" s="45">
        <v>94.292356319390493</v>
      </c>
      <c r="AF163" s="45">
        <v>48476.773580023902</v>
      </c>
      <c r="AG163" s="45">
        <v>18900.246589557461</v>
      </c>
      <c r="AH163" s="45">
        <v>1.825224820471433</v>
      </c>
      <c r="AI163" s="45"/>
      <c r="AJ163" s="45">
        <v>0.20869918887653405</v>
      </c>
      <c r="AK163" s="45"/>
      <c r="AL163" s="45"/>
      <c r="AM163" s="45">
        <v>0.95131179428924295</v>
      </c>
      <c r="AN163" s="45"/>
      <c r="AO163" s="45">
        <v>9.53765054908793</v>
      </c>
      <c r="AP163" s="45">
        <v>8.3160275431172298E-2</v>
      </c>
      <c r="AQ163" s="45">
        <v>0.23987624982333575</v>
      </c>
      <c r="AR163" s="45">
        <v>0.53936417036224271</v>
      </c>
      <c r="AS163" s="45">
        <v>12.370034174435526</v>
      </c>
      <c r="AT163" s="45">
        <v>7.3493756829447449E-2</v>
      </c>
      <c r="AU163" s="45">
        <v>3.9879996985180513</v>
      </c>
      <c r="AV163" s="45">
        <v>0.243190833048197</v>
      </c>
      <c r="AW163" s="45">
        <v>0.10693862370062002</v>
      </c>
      <c r="AX163" s="45">
        <v>0.43565040185198056</v>
      </c>
      <c r="AY163" s="45">
        <v>5.2247337395589039E-2</v>
      </c>
      <c r="AZ163" s="45">
        <v>6.1832278032999239</v>
      </c>
      <c r="BA163" s="45"/>
      <c r="BB163" s="45"/>
      <c r="BC163" s="45"/>
      <c r="BD163" s="45"/>
      <c r="BE163" s="45"/>
      <c r="BF163" s="45"/>
      <c r="BG163" s="45"/>
      <c r="BH163" s="45"/>
      <c r="BI163" s="45"/>
      <c r="BJ163" s="45"/>
      <c r="BK163" s="45"/>
      <c r="BL163" s="45"/>
      <c r="BM163" s="45"/>
      <c r="BN163" s="45"/>
      <c r="BO163" s="45"/>
      <c r="BP163" s="45">
        <v>6.3001911461621193E-2</v>
      </c>
      <c r="BQ163" s="45">
        <v>0.35216336823949268</v>
      </c>
      <c r="BR163" s="45">
        <v>39148.357108587363</v>
      </c>
      <c r="BS163" s="45"/>
      <c r="BT163" s="45">
        <v>76.782250681188827</v>
      </c>
      <c r="BU163" s="45"/>
      <c r="BV163" s="45"/>
      <c r="BW163" s="45">
        <v>206.2417806578573</v>
      </c>
      <c r="BX163" s="45"/>
      <c r="BY163" s="45">
        <v>11098.435212013559</v>
      </c>
      <c r="BZ163" s="45">
        <v>1190.0859185762529</v>
      </c>
      <c r="CA163" s="45">
        <v>5.7427119950418302</v>
      </c>
      <c r="CB163" s="45">
        <v>153.70533988311061</v>
      </c>
      <c r="CC163" s="45">
        <v>500966.93803434545</v>
      </c>
      <c r="CD163" s="45">
        <v>175.9508385682968</v>
      </c>
      <c r="CE163" s="45">
        <v>722663.67628418363</v>
      </c>
      <c r="CF163" s="45">
        <v>6479.6236428087086</v>
      </c>
      <c r="CG163" s="45">
        <v>6614.6970703119514</v>
      </c>
      <c r="CH163" s="45">
        <v>36.214690654935822</v>
      </c>
      <c r="CI163" s="45">
        <v>132.22369802936061</v>
      </c>
      <c r="CJ163" s="45">
        <v>99052.071971042853</v>
      </c>
      <c r="CK163" s="45"/>
      <c r="CL163" s="45"/>
      <c r="CM163" s="45"/>
      <c r="CN163" s="45"/>
      <c r="CO163" s="45"/>
      <c r="CP163" s="45"/>
      <c r="CQ163" s="45"/>
      <c r="CR163" s="45"/>
      <c r="CS163" s="45"/>
      <c r="CT163" s="45"/>
      <c r="CU163" s="45"/>
      <c r="CV163" s="45"/>
      <c r="CW163" s="45"/>
      <c r="CX163" s="45"/>
      <c r="CY163" s="45"/>
      <c r="CZ163" s="45">
        <v>14.452003776501154</v>
      </c>
      <c r="DA163" s="45">
        <v>13.894247805510009</v>
      </c>
      <c r="DB163" s="45">
        <v>389291713.86407769</v>
      </c>
      <c r="DC163" s="45"/>
      <c r="DD163" s="45">
        <v>26226517.570041608</v>
      </c>
      <c r="DE163" s="45"/>
      <c r="DF163" s="45"/>
      <c r="DG163" s="45">
        <v>48439494.834951453</v>
      </c>
      <c r="DH163" s="45"/>
      <c r="DI163" s="45">
        <v>1303871419.8280168</v>
      </c>
      <c r="DJ163" s="45">
        <v>118803713.06518725</v>
      </c>
      <c r="DK163" s="45">
        <v>73417215.28987518</v>
      </c>
      <c r="DL163" s="45">
        <v>174093634.3966713</v>
      </c>
      <c r="DM163" s="45">
        <v>452046456.0110957</v>
      </c>
      <c r="DN163" s="45">
        <v>43292498.7295423</v>
      </c>
      <c r="DO163" s="45">
        <v>191160251.82801664</v>
      </c>
      <c r="DP163" s="45">
        <v>104008069.14840499</v>
      </c>
      <c r="DQ163" s="45">
        <v>99354450.7295423</v>
      </c>
      <c r="DR163" s="45">
        <v>112771259.47295423</v>
      </c>
      <c r="DS163" s="45">
        <v>22276002.263522886</v>
      </c>
      <c r="DT163" s="45">
        <v>460328215.27272725</v>
      </c>
      <c r="DU163" s="45"/>
      <c r="DV163" s="45"/>
      <c r="DW163" s="45"/>
      <c r="DX163" s="45"/>
      <c r="DY163" s="45"/>
      <c r="DZ163" s="45"/>
      <c r="EA163" s="45"/>
      <c r="EB163" s="45"/>
      <c r="EC163" s="45"/>
      <c r="ED163" s="45"/>
      <c r="EE163" s="45"/>
      <c r="EF163" s="45"/>
      <c r="EG163" s="45"/>
      <c r="EH163" s="45"/>
      <c r="EI163" s="45"/>
      <c r="EJ163" s="45">
        <v>65898657.908460468</v>
      </c>
      <c r="EK163" s="45">
        <v>28419076.26074896</v>
      </c>
      <c r="EL163" s="45">
        <v>2.7017128725104129</v>
      </c>
      <c r="EM163" s="45">
        <v>5.2778667590880817</v>
      </c>
      <c r="EN163" s="45">
        <v>2.574131604020323</v>
      </c>
      <c r="EO163" s="45"/>
      <c r="EP163" s="45"/>
      <c r="EQ163" s="45"/>
    </row>
    <row r="164" spans="1:147" s="92" customFormat="1" ht="15" customHeight="1" x14ac:dyDescent="0.25">
      <c r="A164" s="106" t="s">
        <v>627</v>
      </c>
      <c r="B164" s="136" t="s">
        <v>954</v>
      </c>
      <c r="C164" s="106" t="s">
        <v>631</v>
      </c>
      <c r="D164" s="107" t="s">
        <v>532</v>
      </c>
      <c r="E164" s="107" t="s">
        <v>599</v>
      </c>
      <c r="F164" s="118" t="s">
        <v>48</v>
      </c>
      <c r="G164" s="118">
        <v>16</v>
      </c>
      <c r="H164" s="118">
        <v>512</v>
      </c>
      <c r="I164" s="106"/>
      <c r="J164" s="109" t="s">
        <v>233</v>
      </c>
      <c r="K164" s="45">
        <v>2928.5880721220528</v>
      </c>
      <c r="L164" s="45">
        <v>10171.355127268926</v>
      </c>
      <c r="M164" s="45">
        <v>197.69704307685538</v>
      </c>
      <c r="N164" s="45"/>
      <c r="O164" s="45"/>
      <c r="P164" s="45"/>
      <c r="Q164" s="45">
        <v>5.2514213928079609</v>
      </c>
      <c r="R164" s="45"/>
      <c r="S164" s="45"/>
      <c r="T164" s="45"/>
      <c r="U164" s="45">
        <v>207668.33441347294</v>
      </c>
      <c r="V164" s="45"/>
      <c r="W164" s="45"/>
      <c r="X164" s="45"/>
      <c r="Y164" s="45"/>
      <c r="Z164" s="45"/>
      <c r="AA164" s="45">
        <v>3376.6517639227036</v>
      </c>
      <c r="AB164" s="45"/>
      <c r="AC164" s="45"/>
      <c r="AD164" s="45"/>
      <c r="AE164" s="45">
        <v>99.497635190545296</v>
      </c>
      <c r="AF164" s="45">
        <v>38951.835240274602</v>
      </c>
      <c r="AG164" s="45">
        <v>13316.553359683699</v>
      </c>
      <c r="AH164" s="45">
        <v>4.9234060676811202</v>
      </c>
      <c r="AI164" s="45"/>
      <c r="AJ164" s="45">
        <v>0.17948189992096586</v>
      </c>
      <c r="AK164" s="45"/>
      <c r="AL164" s="45">
        <v>2.0506092993373533</v>
      </c>
      <c r="AM164" s="45">
        <v>9.8817329415209834E-2</v>
      </c>
      <c r="AN164" s="45"/>
      <c r="AO164" s="45">
        <v>19.554147127762562</v>
      </c>
      <c r="AP164" s="45">
        <v>3.3939127485267817</v>
      </c>
      <c r="AQ164" s="45">
        <v>0.26400898587114385</v>
      </c>
      <c r="AR164" s="45">
        <v>1.1512419146784381</v>
      </c>
      <c r="AS164" s="45">
        <v>11.384469014178835</v>
      </c>
      <c r="AT164" s="45">
        <v>5.8364320945768412E-2</v>
      </c>
      <c r="AU164" s="45">
        <v>0.83570915848505678</v>
      </c>
      <c r="AV164" s="45">
        <v>0.56423455121764921</v>
      </c>
      <c r="AW164" s="45">
        <v>1.4119347494686234E-2</v>
      </c>
      <c r="AX164" s="45">
        <v>0.78697874147434976</v>
      </c>
      <c r="AY164" s="45">
        <v>5.6827220940557102E-2</v>
      </c>
      <c r="AZ164" s="45">
        <v>0.6015515293138598</v>
      </c>
      <c r="BA164" s="45"/>
      <c r="BB164" s="45"/>
      <c r="BC164" s="45"/>
      <c r="BD164" s="45"/>
      <c r="BE164" s="45"/>
      <c r="BF164" s="45"/>
      <c r="BG164" s="45"/>
      <c r="BH164" s="45"/>
      <c r="BI164" s="45"/>
      <c r="BJ164" s="45"/>
      <c r="BK164" s="45"/>
      <c r="BL164" s="45"/>
      <c r="BM164" s="45"/>
      <c r="BN164" s="45"/>
      <c r="BO164" s="45"/>
      <c r="BP164" s="45">
        <v>0.11775827286274033</v>
      </c>
      <c r="BQ164" s="45">
        <v>1.0301794051299662</v>
      </c>
      <c r="BR164" s="45">
        <v>10634.34025007854</v>
      </c>
      <c r="BS164" s="45"/>
      <c r="BT164" s="45">
        <v>105.27008924685184</v>
      </c>
      <c r="BU164" s="45"/>
      <c r="BV164" s="45">
        <v>3396.447797380657</v>
      </c>
      <c r="BW164" s="45">
        <v>14.207089638074887</v>
      </c>
      <c r="BX164" s="45"/>
      <c r="BY164" s="45">
        <v>126249.01881069367</v>
      </c>
      <c r="BZ164" s="45">
        <v>6506.2422882224573</v>
      </c>
      <c r="CA164" s="45">
        <v>6.8901327428727406</v>
      </c>
      <c r="CB164" s="45">
        <v>1095.531792797407</v>
      </c>
      <c r="CC164" s="45">
        <v>142548.40923930189</v>
      </c>
      <c r="CD164" s="45">
        <v>103.52242474312536</v>
      </c>
      <c r="CE164" s="45">
        <v>26875.402193020731</v>
      </c>
      <c r="CF164" s="45">
        <v>8620.5646873144178</v>
      </c>
      <c r="CG164" s="45">
        <v>3.4158567179695059</v>
      </c>
      <c r="CH164" s="45">
        <v>33.003117262662805</v>
      </c>
      <c r="CI164" s="45">
        <v>126.77528957098487</v>
      </c>
      <c r="CJ164" s="45">
        <v>211.99113560219075</v>
      </c>
      <c r="CK164" s="45"/>
      <c r="CL164" s="45"/>
      <c r="CM164" s="45"/>
      <c r="CN164" s="45"/>
      <c r="CO164" s="45"/>
      <c r="CP164" s="45"/>
      <c r="CQ164" s="45"/>
      <c r="CR164" s="45"/>
      <c r="CS164" s="45"/>
      <c r="CT164" s="45"/>
      <c r="CU164" s="45"/>
      <c r="CV164" s="45"/>
      <c r="CW164" s="45"/>
      <c r="CX164" s="45"/>
      <c r="CY164" s="45"/>
      <c r="CZ164" s="45">
        <v>13.306197967904755</v>
      </c>
      <c r="DA164" s="45">
        <v>1.1786108028732141</v>
      </c>
      <c r="DB164" s="45">
        <v>506191739.68539327</v>
      </c>
      <c r="DC164" s="45"/>
      <c r="DD164" s="45">
        <v>23868755.439667128</v>
      </c>
      <c r="DE164" s="45"/>
      <c r="DF164" s="45">
        <v>471039494.39112341</v>
      </c>
      <c r="DG164" s="45">
        <v>17126290.640776698</v>
      </c>
      <c r="DH164" s="45"/>
      <c r="DI164" s="45">
        <v>1690278691.8613038</v>
      </c>
      <c r="DJ164" s="45">
        <v>180410257.22052705</v>
      </c>
      <c r="DK164" s="45">
        <v>71611225.830790564</v>
      </c>
      <c r="DL164" s="45">
        <v>252477508.17198336</v>
      </c>
      <c r="DM164" s="45">
        <v>381260452.03883493</v>
      </c>
      <c r="DN164" s="45">
        <v>45782207.733703189</v>
      </c>
      <c r="DO164" s="45">
        <v>181111888.95423025</v>
      </c>
      <c r="DP164" s="45">
        <v>99187298.707350895</v>
      </c>
      <c r="DQ164" s="45">
        <v>88887523.239944518</v>
      </c>
      <c r="DR164" s="45">
        <v>113650564.43828017</v>
      </c>
      <c r="DS164" s="45">
        <v>22244432.954230234</v>
      </c>
      <c r="DT164" s="45">
        <v>381823480.12307692</v>
      </c>
      <c r="DU164" s="45"/>
      <c r="DV164" s="45"/>
      <c r="DW164" s="45"/>
      <c r="DX164" s="45"/>
      <c r="DY164" s="45"/>
      <c r="DZ164" s="45"/>
      <c r="EA164" s="45"/>
      <c r="EB164" s="45"/>
      <c r="EC164" s="45"/>
      <c r="ED164" s="45"/>
      <c r="EE164" s="45"/>
      <c r="EF164" s="45"/>
      <c r="EG164" s="45"/>
      <c r="EH164" s="45"/>
      <c r="EI164" s="45"/>
      <c r="EJ164" s="45">
        <v>64059235.77253814</v>
      </c>
      <c r="EK164" s="45">
        <v>24880688.998613037</v>
      </c>
      <c r="EL164" s="45">
        <v>9.2669366750752609</v>
      </c>
      <c r="EM164" s="45">
        <v>19.479098167531706</v>
      </c>
      <c r="EN164" s="45">
        <v>10.210753265456285</v>
      </c>
      <c r="EO164" s="45"/>
      <c r="EP164" s="45"/>
      <c r="EQ164" s="45"/>
    </row>
    <row r="165" spans="1:147" s="92" customFormat="1" ht="15" customHeight="1" x14ac:dyDescent="0.25">
      <c r="A165" s="106" t="s">
        <v>628</v>
      </c>
      <c r="B165" s="136" t="s">
        <v>879</v>
      </c>
      <c r="C165" s="106" t="s">
        <v>632</v>
      </c>
      <c r="D165" s="107" t="s">
        <v>351</v>
      </c>
      <c r="E165" s="107" t="s">
        <v>599</v>
      </c>
      <c r="F165" s="118"/>
      <c r="G165" s="118"/>
      <c r="H165" s="118"/>
      <c r="I165" s="106"/>
      <c r="J165" s="109" t="s">
        <v>233</v>
      </c>
      <c r="K165" s="45">
        <v>38649.080443828017</v>
      </c>
      <c r="L165" s="45">
        <v>8495.7076225819001</v>
      </c>
      <c r="M165" s="45">
        <v>56.625678987100372</v>
      </c>
      <c r="N165" s="45"/>
      <c r="O165" s="45"/>
      <c r="P165" s="45"/>
      <c r="Q165" s="45"/>
      <c r="R165" s="45">
        <v>75650.566033238239</v>
      </c>
      <c r="S165" s="45"/>
      <c r="T165" s="45"/>
      <c r="U165" s="45"/>
      <c r="V165" s="45"/>
      <c r="W165" s="45"/>
      <c r="X165" s="45"/>
      <c r="Y165" s="45"/>
      <c r="Z165" s="45"/>
      <c r="AA165" s="45">
        <v>115567.79277594894</v>
      </c>
      <c r="AB165" s="45"/>
      <c r="AC165" s="45"/>
      <c r="AD165" s="45"/>
      <c r="AE165" s="45">
        <v>98.481429381976852</v>
      </c>
      <c r="AF165" s="45">
        <v>12810.928546376948</v>
      </c>
      <c r="AG165" s="45">
        <v>16012.163313876348</v>
      </c>
      <c r="AH165" s="45"/>
      <c r="AI165" s="45"/>
      <c r="AJ165" s="45">
        <v>0.16897581096324774</v>
      </c>
      <c r="AK165" s="45"/>
      <c r="AL165" s="45"/>
      <c r="AM165" s="45">
        <v>0.55072076309848939</v>
      </c>
      <c r="AN165" s="45"/>
      <c r="AO165" s="45">
        <v>8.6858474040785882</v>
      </c>
      <c r="AP165" s="45">
        <v>72.194422964932329</v>
      </c>
      <c r="AQ165" s="45">
        <v>0.23690440386372116</v>
      </c>
      <c r="AR165" s="45">
        <v>0.65862606753582809</v>
      </c>
      <c r="AS165" s="45">
        <v>6.1269406340827608</v>
      </c>
      <c r="AT165" s="45">
        <v>2.734322376368466E-2</v>
      </c>
      <c r="AU165" s="45">
        <v>0.17694490649507058</v>
      </c>
      <c r="AV165" s="45">
        <v>0.43460757055522442</v>
      </c>
      <c r="AW165" s="45"/>
      <c r="AX165" s="45">
        <v>0.38128522865624348</v>
      </c>
      <c r="AY165" s="45">
        <v>2.9948610278281391E-2</v>
      </c>
      <c r="AZ165" s="45">
        <v>5.8682600233579167</v>
      </c>
      <c r="BA165" s="45"/>
      <c r="BB165" s="45"/>
      <c r="BC165" s="45"/>
      <c r="BD165" s="45"/>
      <c r="BE165" s="45"/>
      <c r="BF165" s="45"/>
      <c r="BG165" s="45"/>
      <c r="BH165" s="45"/>
      <c r="BI165" s="45"/>
      <c r="BJ165" s="45"/>
      <c r="BK165" s="45"/>
      <c r="BL165" s="45"/>
      <c r="BM165" s="45"/>
      <c r="BN165" s="45"/>
      <c r="BO165" s="45"/>
      <c r="BP165" s="45">
        <v>5.5989496719497829E-2</v>
      </c>
      <c r="BQ165" s="45">
        <v>0.26229351396143119</v>
      </c>
      <c r="BR165" s="45"/>
      <c r="BS165" s="45"/>
      <c r="BT165" s="45">
        <v>105.2642167919239</v>
      </c>
      <c r="BU165" s="45"/>
      <c r="BV165" s="45"/>
      <c r="BW165" s="45">
        <v>106.01451903359157</v>
      </c>
      <c r="BX165" s="45"/>
      <c r="BY165" s="45">
        <v>40948.295641378514</v>
      </c>
      <c r="BZ165" s="45">
        <v>410293.21533478977</v>
      </c>
      <c r="CA165" s="45">
        <v>6.8907837376782295</v>
      </c>
      <c r="CB165" s="45">
        <v>57.843880630582717</v>
      </c>
      <c r="CC165" s="45">
        <v>319011.55791136989</v>
      </c>
      <c r="CD165" s="45">
        <v>150.38854828538683</v>
      </c>
      <c r="CE165" s="45">
        <v>14962.727997046939</v>
      </c>
      <c r="CF165" s="45">
        <v>9062.9236765097521</v>
      </c>
      <c r="CG165" s="45"/>
      <c r="CH165" s="45">
        <v>23.794312051715526</v>
      </c>
      <c r="CI165" s="45">
        <v>133.18827671157743</v>
      </c>
      <c r="CJ165" s="45">
        <v>118013.36957855987</v>
      </c>
      <c r="CK165" s="45"/>
      <c r="CL165" s="45"/>
      <c r="CM165" s="45"/>
      <c r="CN165" s="45"/>
      <c r="CO165" s="45"/>
      <c r="CP165" s="45"/>
      <c r="CQ165" s="45"/>
      <c r="CR165" s="45"/>
      <c r="CS165" s="45"/>
      <c r="CT165" s="45"/>
      <c r="CU165" s="45"/>
      <c r="CV165" s="45"/>
      <c r="CW165" s="45"/>
      <c r="CX165" s="45"/>
      <c r="CY165" s="45"/>
      <c r="CZ165" s="45">
        <v>13.255946572629837</v>
      </c>
      <c r="DA165" s="45">
        <v>14.223327318541921</v>
      </c>
      <c r="DB165" s="45"/>
      <c r="DC165" s="45"/>
      <c r="DD165" s="45">
        <v>28104564.815533981</v>
      </c>
      <c r="DE165" s="45"/>
      <c r="DF165" s="45"/>
      <c r="DG165" s="45">
        <v>45243813.814147018</v>
      </c>
      <c r="DH165" s="45"/>
      <c r="DI165" s="45">
        <v>2012145155.5506241</v>
      </c>
      <c r="DJ165" s="45">
        <v>522311756.69348127</v>
      </c>
      <c r="DK165" s="45">
        <v>78051751.234396666</v>
      </c>
      <c r="DL165" s="45">
        <v>233280050.4188627</v>
      </c>
      <c r="DM165" s="45">
        <v>394997419.14008319</v>
      </c>
      <c r="DN165" s="45">
        <v>47430004.105409153</v>
      </c>
      <c r="DO165" s="45">
        <v>155447875.46185854</v>
      </c>
      <c r="DP165" s="45">
        <v>100680980.94868238</v>
      </c>
      <c r="DQ165" s="45"/>
      <c r="DR165" s="45">
        <v>226231226.407767</v>
      </c>
      <c r="DS165" s="45">
        <v>23176207.622746184</v>
      </c>
      <c r="DT165" s="45">
        <v>665000361.98399997</v>
      </c>
      <c r="DU165" s="45"/>
      <c r="DV165" s="45"/>
      <c r="DW165" s="45"/>
      <c r="DX165" s="45"/>
      <c r="DY165" s="45"/>
      <c r="DZ165" s="45"/>
      <c r="EA165" s="45"/>
      <c r="EB165" s="45"/>
      <c r="EC165" s="45"/>
      <c r="ED165" s="45"/>
      <c r="EE165" s="45"/>
      <c r="EF165" s="45"/>
      <c r="EG165" s="45"/>
      <c r="EH165" s="45"/>
      <c r="EI165" s="45"/>
      <c r="EJ165" s="45">
        <v>67440526.380027741</v>
      </c>
      <c r="EK165" s="45">
        <v>29070090.296809986</v>
      </c>
      <c r="EL165" s="45">
        <v>3.6738283836967538</v>
      </c>
      <c r="EM165" s="45">
        <v>11.889185170576523</v>
      </c>
      <c r="EN165" s="45">
        <v>8.2145539994226588</v>
      </c>
      <c r="EO165" s="45"/>
      <c r="EP165" s="45"/>
      <c r="EQ165" s="45"/>
    </row>
    <row r="166" spans="1:147" s="92" customFormat="1" ht="15" customHeight="1" x14ac:dyDescent="0.25">
      <c r="A166" s="102" t="s">
        <v>633</v>
      </c>
      <c r="B166" s="137"/>
      <c r="C166" s="102" t="s">
        <v>634</v>
      </c>
      <c r="D166" s="103" t="s">
        <v>595</v>
      </c>
      <c r="E166" s="103" t="s">
        <v>599</v>
      </c>
      <c r="F166" s="119" t="s">
        <v>848</v>
      </c>
      <c r="G166" s="119">
        <v>64</v>
      </c>
      <c r="H166" s="119" t="s">
        <v>231</v>
      </c>
      <c r="I166" s="102"/>
      <c r="J166" s="114" t="s">
        <v>242</v>
      </c>
      <c r="K166" s="45"/>
      <c r="L166" s="45"/>
      <c r="M166" s="45"/>
      <c r="N166" s="45"/>
      <c r="O166" s="45"/>
      <c r="P166" s="45"/>
      <c r="Q166" s="45"/>
      <c r="R166" s="45"/>
      <c r="S166" s="45"/>
      <c r="T166" s="45"/>
      <c r="U166" s="45"/>
      <c r="V166" s="45"/>
      <c r="W166" s="45"/>
      <c r="X166" s="45"/>
      <c r="Y166" s="45"/>
      <c r="Z166" s="45"/>
      <c r="AA166" s="45"/>
      <c r="AB166" s="45"/>
      <c r="AC166" s="45"/>
      <c r="AD166" s="45"/>
      <c r="AE166" s="45"/>
      <c r="AF166" s="45"/>
      <c r="AG166" s="45"/>
      <c r="AH166" s="45"/>
      <c r="AI166" s="45"/>
      <c r="AJ166" s="45"/>
      <c r="AK166" s="45"/>
      <c r="AL166" s="45"/>
      <c r="AM166" s="45"/>
      <c r="AN166" s="45"/>
      <c r="AO166" s="45"/>
      <c r="AP166" s="45"/>
      <c r="AQ166" s="45"/>
      <c r="AR166" s="45"/>
      <c r="AS166" s="45"/>
      <c r="AT166" s="45"/>
      <c r="AU166" s="45"/>
      <c r="AV166" s="45"/>
      <c r="AW166" s="45"/>
      <c r="AX166" s="45"/>
      <c r="AY166" s="45"/>
      <c r="AZ166" s="45"/>
      <c r="BA166" s="45"/>
      <c r="BB166" s="45"/>
      <c r="BC166" s="45"/>
      <c r="BD166" s="45"/>
      <c r="BE166" s="45"/>
      <c r="BF166" s="45"/>
      <c r="BG166" s="45"/>
      <c r="BH166" s="45"/>
      <c r="BI166" s="45"/>
      <c r="BJ166" s="45"/>
      <c r="BK166" s="45"/>
      <c r="BL166" s="45"/>
      <c r="BM166" s="45"/>
      <c r="BN166" s="45"/>
      <c r="BO166" s="45"/>
      <c r="BP166" s="45"/>
      <c r="BQ166" s="45"/>
      <c r="BR166" s="45"/>
      <c r="BS166" s="45"/>
      <c r="BT166" s="45"/>
      <c r="BU166" s="45"/>
      <c r="BV166" s="45"/>
      <c r="BW166" s="45"/>
      <c r="BX166" s="45"/>
      <c r="BY166" s="45"/>
      <c r="BZ166" s="45"/>
      <c r="CA166" s="45"/>
      <c r="CB166" s="45"/>
      <c r="CC166" s="45"/>
      <c r="CD166" s="45"/>
      <c r="CE166" s="45"/>
      <c r="CF166" s="45"/>
      <c r="CG166" s="45"/>
      <c r="CH166" s="45"/>
      <c r="CI166" s="45"/>
      <c r="CJ166" s="45"/>
      <c r="CK166" s="45"/>
      <c r="CL166" s="45"/>
      <c r="CM166" s="45"/>
      <c r="CN166" s="45"/>
      <c r="CO166" s="45"/>
      <c r="CP166" s="45"/>
      <c r="CQ166" s="45"/>
      <c r="CR166" s="45"/>
      <c r="CS166" s="45"/>
      <c r="CT166" s="45"/>
      <c r="CU166" s="45"/>
      <c r="CV166" s="45"/>
      <c r="CW166" s="45"/>
      <c r="CX166" s="45"/>
      <c r="CY166" s="45"/>
      <c r="CZ166" s="45"/>
      <c r="DA166" s="45"/>
      <c r="DB166" s="45"/>
      <c r="DC166" s="45"/>
      <c r="DD166" s="45"/>
      <c r="DE166" s="45"/>
      <c r="DF166" s="45"/>
      <c r="DG166" s="45"/>
      <c r="DH166" s="45"/>
      <c r="DI166" s="45"/>
      <c r="DJ166" s="45"/>
      <c r="DK166" s="45"/>
      <c r="DL166" s="45"/>
      <c r="DM166" s="45"/>
      <c r="DN166" s="45"/>
      <c r="DO166" s="45"/>
      <c r="DP166" s="45"/>
      <c r="DQ166" s="45"/>
      <c r="DR166" s="45"/>
      <c r="DS166" s="45"/>
      <c r="DT166" s="45"/>
      <c r="DU166" s="45"/>
      <c r="DV166" s="45"/>
      <c r="DW166" s="45"/>
      <c r="DX166" s="45"/>
      <c r="DY166" s="45"/>
      <c r="DZ166" s="45"/>
      <c r="EA166" s="45"/>
      <c r="EB166" s="45"/>
      <c r="EC166" s="45"/>
      <c r="ED166" s="45"/>
      <c r="EE166" s="45"/>
      <c r="EF166" s="45"/>
      <c r="EG166" s="45"/>
      <c r="EH166" s="45"/>
      <c r="EI166" s="45"/>
      <c r="EJ166" s="45"/>
      <c r="EK166" s="45"/>
      <c r="EL166" s="45"/>
      <c r="EM166" s="45"/>
      <c r="EN166" s="45"/>
      <c r="EO166" s="45"/>
      <c r="EP166" s="45"/>
      <c r="EQ166" s="45"/>
    </row>
    <row r="167" spans="1:147" s="92" customFormat="1" ht="15" customHeight="1" x14ac:dyDescent="0.25">
      <c r="A167" s="106" t="s">
        <v>635</v>
      </c>
      <c r="B167" s="136" t="s">
        <v>930</v>
      </c>
      <c r="C167" s="106" t="s">
        <v>636</v>
      </c>
      <c r="D167" s="107" t="s">
        <v>537</v>
      </c>
      <c r="E167" s="107" t="s">
        <v>599</v>
      </c>
      <c r="F167" s="118" t="s">
        <v>48</v>
      </c>
      <c r="G167" s="118">
        <v>16</v>
      </c>
      <c r="H167" s="118">
        <v>512</v>
      </c>
      <c r="I167" s="106"/>
      <c r="J167" s="109" t="s">
        <v>233</v>
      </c>
      <c r="K167" s="45">
        <v>2349.6490984743414</v>
      </c>
      <c r="L167" s="45">
        <v>7900.1972457984193</v>
      </c>
      <c r="M167" s="45">
        <v>365.61605505055752</v>
      </c>
      <c r="N167" s="45"/>
      <c r="O167" s="45"/>
      <c r="P167" s="45"/>
      <c r="Q167" s="45">
        <v>4.031876246112813E-2</v>
      </c>
      <c r="R167" s="45">
        <v>18515.873079133555</v>
      </c>
      <c r="S167" s="45"/>
      <c r="T167" s="45"/>
      <c r="U167" s="45"/>
      <c r="V167" s="45"/>
      <c r="W167" s="45"/>
      <c r="X167" s="45"/>
      <c r="Y167" s="45"/>
      <c r="Z167" s="45"/>
      <c r="AA167" s="45">
        <v>37630.154403733664</v>
      </c>
      <c r="AB167" s="45"/>
      <c r="AC167" s="45"/>
      <c r="AD167" s="45"/>
      <c r="AE167" s="45">
        <v>98.889531679935558</v>
      </c>
      <c r="AF167" s="45">
        <v>48124.647035640963</v>
      </c>
      <c r="AG167" s="45">
        <v>25142.153317286673</v>
      </c>
      <c r="AH167" s="45">
        <v>4.6851860986684839</v>
      </c>
      <c r="AI167" s="45"/>
      <c r="AJ167" s="45">
        <v>0.14293857288785469</v>
      </c>
      <c r="AK167" s="45"/>
      <c r="AL167" s="45">
        <v>2.4043989810918855</v>
      </c>
      <c r="AM167" s="45">
        <v>0.80210520680918462</v>
      </c>
      <c r="AN167" s="45"/>
      <c r="AO167" s="45">
        <v>14.776624716936421</v>
      </c>
      <c r="AP167" s="45">
        <v>0.89941669904937049</v>
      </c>
      <c r="AQ167" s="45">
        <v>0.25405474969804881</v>
      </c>
      <c r="AR167" s="45">
        <v>0.7306954985044718</v>
      </c>
      <c r="AS167" s="45">
        <v>14.00604600470731</v>
      </c>
      <c r="AT167" s="45">
        <v>5.5695837646237568E-2</v>
      </c>
      <c r="AU167" s="45">
        <v>0.90982991912430677</v>
      </c>
      <c r="AV167" s="45">
        <v>0.41355803551671999</v>
      </c>
      <c r="AW167" s="45">
        <v>2.2064041937907314E-2</v>
      </c>
      <c r="AX167" s="45">
        <v>0.75874745875549887</v>
      </c>
      <c r="AY167" s="45">
        <v>4.6362552550554603E-2</v>
      </c>
      <c r="AZ167" s="45">
        <v>0.22361396126439023</v>
      </c>
      <c r="BA167" s="45"/>
      <c r="BB167" s="45"/>
      <c r="BC167" s="45"/>
      <c r="BD167" s="45"/>
      <c r="BE167" s="45"/>
      <c r="BF167" s="45">
        <v>1.4503441675763236</v>
      </c>
      <c r="BG167" s="45"/>
      <c r="BH167" s="45"/>
      <c r="BI167" s="45"/>
      <c r="BJ167" s="45"/>
      <c r="BK167" s="45"/>
      <c r="BL167" s="45"/>
      <c r="BM167" s="45"/>
      <c r="BN167" s="45"/>
      <c r="BO167" s="45"/>
      <c r="BP167" s="45"/>
      <c r="BQ167" s="45">
        <v>0.67412220671625378</v>
      </c>
      <c r="BR167" s="45">
        <v>96564.64452419155</v>
      </c>
      <c r="BS167" s="45"/>
      <c r="BT167" s="45">
        <v>99.41626959584211</v>
      </c>
      <c r="BU167" s="45"/>
      <c r="BV167" s="45">
        <v>38808.449879812586</v>
      </c>
      <c r="BW167" s="45">
        <v>109.37413910431223</v>
      </c>
      <c r="BX167" s="45"/>
      <c r="BY167" s="45">
        <v>97563.89981551058</v>
      </c>
      <c r="BZ167" s="45">
        <v>87543.68801034725</v>
      </c>
      <c r="CA167" s="45">
        <v>951.75010569024448</v>
      </c>
      <c r="CB167" s="45">
        <v>3507.0201847680441</v>
      </c>
      <c r="CC167" s="45">
        <v>703267.50565433153</v>
      </c>
      <c r="CD167" s="45">
        <v>121.63077632553028</v>
      </c>
      <c r="CE167" s="45">
        <v>24117.15698028768</v>
      </c>
      <c r="CF167" s="45">
        <v>7207.0382037106656</v>
      </c>
      <c r="CG167" s="45">
        <v>12.044717884324648</v>
      </c>
      <c r="CH167" s="45">
        <v>25.965967640675746</v>
      </c>
      <c r="CI167" s="45">
        <v>133.76336754389916</v>
      </c>
      <c r="CJ167" s="45">
        <v>96.598551719919143</v>
      </c>
      <c r="CK167" s="45"/>
      <c r="CL167" s="45"/>
      <c r="CM167" s="45"/>
      <c r="CN167" s="45"/>
      <c r="CO167" s="45"/>
      <c r="CP167" s="45">
        <v>45195.829238662031</v>
      </c>
      <c r="CQ167" s="45"/>
      <c r="CR167" s="45"/>
      <c r="CS167" s="45"/>
      <c r="CT167" s="45"/>
      <c r="CU167" s="45"/>
      <c r="CV167" s="45"/>
      <c r="CW167" s="45"/>
      <c r="CX167" s="45"/>
      <c r="CY167" s="45"/>
      <c r="CZ167" s="45"/>
      <c r="DA167" s="45">
        <v>22.437306771062495</v>
      </c>
      <c r="DB167" s="45">
        <v>427881911.73573571</v>
      </c>
      <c r="DC167" s="45"/>
      <c r="DD167" s="45">
        <v>24067925.570041608</v>
      </c>
      <c r="DE167" s="45"/>
      <c r="DF167" s="45">
        <v>303065029.92816633</v>
      </c>
      <c r="DG167" s="45">
        <v>53000251.650485434</v>
      </c>
      <c r="DH167" s="45"/>
      <c r="DI167" s="45">
        <v>1579294982.4178274</v>
      </c>
      <c r="DJ167" s="45">
        <v>170430719.64493757</v>
      </c>
      <c r="DK167" s="45">
        <v>108226449.22052705</v>
      </c>
      <c r="DL167" s="45">
        <v>271290055.54507631</v>
      </c>
      <c r="DM167" s="45">
        <v>403798621.02635229</v>
      </c>
      <c r="DN167" s="45">
        <v>42454045.825242721</v>
      </c>
      <c r="DO167" s="45">
        <v>100925627.47295423</v>
      </c>
      <c r="DP167" s="45">
        <v>95665454.513176143</v>
      </c>
      <c r="DQ167" s="45">
        <v>93436503.345353678</v>
      </c>
      <c r="DR167" s="45">
        <v>132844034.13037448</v>
      </c>
      <c r="DS167" s="45">
        <v>22850845.470180307</v>
      </c>
      <c r="DT167" s="45">
        <v>437502118.16632861</v>
      </c>
      <c r="DU167" s="45"/>
      <c r="DV167" s="45"/>
      <c r="DW167" s="45"/>
      <c r="DX167" s="45"/>
      <c r="DY167" s="45"/>
      <c r="DZ167" s="45">
        <v>173000899.99445215</v>
      </c>
      <c r="EA167" s="45"/>
      <c r="EB167" s="45"/>
      <c r="EC167" s="45"/>
      <c r="ED167" s="45"/>
      <c r="EE167" s="45"/>
      <c r="EF167" s="45"/>
      <c r="EG167" s="45"/>
      <c r="EH167" s="45"/>
      <c r="EI167" s="45"/>
      <c r="EJ167" s="45"/>
      <c r="EK167" s="45">
        <v>28309256.876560334</v>
      </c>
      <c r="EL167" s="45">
        <v>6.4441380089951545</v>
      </c>
      <c r="EM167" s="45">
        <v>11.83802515458181</v>
      </c>
      <c r="EN167" s="45">
        <v>5.3939401524418704</v>
      </c>
      <c r="EO167" s="45"/>
      <c r="EP167" s="45"/>
      <c r="EQ167" s="45"/>
    </row>
    <row r="168" spans="1:147" s="92" customFormat="1" ht="15" customHeight="1" x14ac:dyDescent="0.25">
      <c r="A168" s="106" t="s">
        <v>637</v>
      </c>
      <c r="B168" s="136" t="s">
        <v>953</v>
      </c>
      <c r="C168" s="106" t="s">
        <v>638</v>
      </c>
      <c r="D168" s="107" t="s">
        <v>532</v>
      </c>
      <c r="E168" s="107" t="s">
        <v>599</v>
      </c>
      <c r="F168" s="118"/>
      <c r="G168" s="118"/>
      <c r="H168" s="118"/>
      <c r="I168" s="106"/>
      <c r="J168" s="109" t="s">
        <v>233</v>
      </c>
      <c r="K168" s="45">
        <v>3518.1442441054091</v>
      </c>
      <c r="L168" s="45">
        <v>3937.2912707200508</v>
      </c>
      <c r="M168" s="45">
        <v>101.92274878559421</v>
      </c>
      <c r="N168" s="45"/>
      <c r="O168" s="45"/>
      <c r="P168" s="45"/>
      <c r="Q168" s="45"/>
      <c r="R168" s="45">
        <v>4968.0180068448053</v>
      </c>
      <c r="S168" s="45"/>
      <c r="T168" s="45"/>
      <c r="U168" s="45"/>
      <c r="V168" s="45"/>
      <c r="W168" s="45"/>
      <c r="X168" s="45"/>
      <c r="Y168" s="45"/>
      <c r="Z168" s="45"/>
      <c r="AA168" s="45">
        <v>114041.83879654795</v>
      </c>
      <c r="AB168" s="45"/>
      <c r="AC168" s="45"/>
      <c r="AD168" s="45"/>
      <c r="AE168" s="45">
        <v>99.246358201630514</v>
      </c>
      <c r="AF168" s="45">
        <v>28646.881613595622</v>
      </c>
      <c r="AG168" s="45">
        <v>13218.648679253552</v>
      </c>
      <c r="AH168" s="45">
        <v>15.011488127995209</v>
      </c>
      <c r="AI168" s="45"/>
      <c r="AJ168" s="45">
        <v>1.092335736027939E-2</v>
      </c>
      <c r="AK168" s="45">
        <v>3.7196654728979379E-3</v>
      </c>
      <c r="AL168" s="45">
        <v>8.7023753499201051E-2</v>
      </c>
      <c r="AM168" s="45">
        <v>4.9336485358725125E-2</v>
      </c>
      <c r="AN168" s="45"/>
      <c r="AO168" s="45">
        <v>2.5253638293614631</v>
      </c>
      <c r="AP168" s="45">
        <v>0.12377089196024661</v>
      </c>
      <c r="AQ168" s="45">
        <v>1.3454543532878303E-2</v>
      </c>
      <c r="AR168" s="45">
        <v>5.0927355074150478E-2</v>
      </c>
      <c r="AS168" s="45">
        <v>1.6150022677813334</v>
      </c>
      <c r="AT168" s="45">
        <v>4.6009855506080007E-2</v>
      </c>
      <c r="AU168" s="45">
        <v>0.20204243944200148</v>
      </c>
      <c r="AV168" s="45">
        <v>2.9365781049833114E-2</v>
      </c>
      <c r="AW168" s="45">
        <v>4.3420586840602852E-4</v>
      </c>
      <c r="AX168" s="45">
        <v>6.6841369281951515E-2</v>
      </c>
      <c r="AY168" s="45">
        <v>2.3943575308548879E-2</v>
      </c>
      <c r="AZ168" s="45">
        <v>4.8175441605120196E-2</v>
      </c>
      <c r="BA168" s="45"/>
      <c r="BB168" s="45"/>
      <c r="BC168" s="45"/>
      <c r="BD168" s="45"/>
      <c r="BE168" s="45"/>
      <c r="BF168" s="45"/>
      <c r="BG168" s="45"/>
      <c r="BH168" s="45"/>
      <c r="BI168" s="45"/>
      <c r="BJ168" s="45"/>
      <c r="BK168" s="45"/>
      <c r="BL168" s="45"/>
      <c r="BM168" s="45"/>
      <c r="BN168" s="45"/>
      <c r="BO168" s="45"/>
      <c r="BP168" s="45">
        <v>1.287633640898015E-2</v>
      </c>
      <c r="BQ168" s="45">
        <v>0.14959585841150716</v>
      </c>
      <c r="BR168" s="45">
        <v>259066.65688204244</v>
      </c>
      <c r="BS168" s="45"/>
      <c r="BT168" s="45">
        <v>81.884708649694986</v>
      </c>
      <c r="BU168" s="45">
        <v>1.1400376762699305</v>
      </c>
      <c r="BV168" s="45">
        <v>72.31872622746657</v>
      </c>
      <c r="BW168" s="45">
        <v>90.963068520491831</v>
      </c>
      <c r="BX168" s="45"/>
      <c r="BY168" s="45">
        <v>93767.29255388504</v>
      </c>
      <c r="BZ168" s="45">
        <v>2695.1369766998614</v>
      </c>
      <c r="CA168" s="45">
        <v>6.8918688034686193</v>
      </c>
      <c r="CB168" s="45">
        <v>181.11812269705288</v>
      </c>
      <c r="CC168" s="45">
        <v>156954.47162389808</v>
      </c>
      <c r="CD168" s="45">
        <v>75.654289856633966</v>
      </c>
      <c r="CE168" s="45">
        <v>22766.741499948304</v>
      </c>
      <c r="CF168" s="45">
        <v>2826.0297407757171</v>
      </c>
      <c r="CG168" s="45">
        <v>6.2219567861376605E-2</v>
      </c>
      <c r="CH168" s="45">
        <v>24.463710090071931</v>
      </c>
      <c r="CI168" s="45">
        <v>120.58952368065438</v>
      </c>
      <c r="CJ168" s="45">
        <v>1603.3740243976329</v>
      </c>
      <c r="CK168" s="45"/>
      <c r="CL168" s="45"/>
      <c r="CM168" s="45"/>
      <c r="CN168" s="45"/>
      <c r="CO168" s="45"/>
      <c r="CP168" s="45"/>
      <c r="CQ168" s="45"/>
      <c r="CR168" s="45"/>
      <c r="CS168" s="45"/>
      <c r="CT168" s="45"/>
      <c r="CU168" s="45"/>
      <c r="CV168" s="45"/>
      <c r="CW168" s="45"/>
      <c r="CX168" s="45"/>
      <c r="CY168" s="45"/>
      <c r="CZ168" s="45">
        <v>13.49673551258633</v>
      </c>
      <c r="DA168" s="45">
        <v>13.838799061535797</v>
      </c>
      <c r="DB168" s="45">
        <v>376277869.71428573</v>
      </c>
      <c r="DC168" s="45"/>
      <c r="DD168" s="45">
        <v>21790061.004160888</v>
      </c>
      <c r="DE168" s="45">
        <v>149060018.42424244</v>
      </c>
      <c r="DF168" s="45">
        <v>95667175.855755895</v>
      </c>
      <c r="DG168" s="45">
        <v>49145506.618585296</v>
      </c>
      <c r="DH168" s="45"/>
      <c r="DI168" s="45">
        <v>1767382108.3162274</v>
      </c>
      <c r="DJ168" s="45">
        <v>144245684.72676837</v>
      </c>
      <c r="DK168" s="45">
        <v>61268002.085991681</v>
      </c>
      <c r="DL168" s="45">
        <v>186780332.56033286</v>
      </c>
      <c r="DM168" s="45">
        <v>397272176.19972259</v>
      </c>
      <c r="DN168" s="45">
        <v>40649442.529819697</v>
      </c>
      <c r="DO168" s="45">
        <v>303475287.34535366</v>
      </c>
      <c r="DP168" s="45">
        <v>95432317.692094311</v>
      </c>
      <c r="DQ168" s="45">
        <v>90689927.988904297</v>
      </c>
      <c r="DR168" s="45">
        <v>117719551.28987518</v>
      </c>
      <c r="DS168" s="45">
        <v>23034409.897364773</v>
      </c>
      <c r="DT168" s="45">
        <v>440353381.54785019</v>
      </c>
      <c r="DU168" s="45"/>
      <c r="DV168" s="45"/>
      <c r="DW168" s="45"/>
      <c r="DX168" s="45"/>
      <c r="DY168" s="45"/>
      <c r="DZ168" s="45"/>
      <c r="EA168" s="45"/>
      <c r="EB168" s="45"/>
      <c r="EC168" s="45"/>
      <c r="ED168" s="45"/>
      <c r="EE168" s="45"/>
      <c r="EF168" s="45"/>
      <c r="EG168" s="45"/>
      <c r="EH168" s="45"/>
      <c r="EI168" s="45"/>
      <c r="EJ168" s="45">
        <v>69924378.274618581</v>
      </c>
      <c r="EK168" s="45">
        <v>29241679.178918168</v>
      </c>
      <c r="EL168" s="45">
        <v>1.1454208923518852</v>
      </c>
      <c r="EM168" s="45">
        <v>3.0571455603604374</v>
      </c>
      <c r="EN168" s="45">
        <v>1.9124932972735669</v>
      </c>
      <c r="EO168" s="45"/>
      <c r="EP168" s="45"/>
      <c r="EQ168" s="45"/>
    </row>
    <row r="169" spans="1:147" s="92" customFormat="1" ht="15" customHeight="1" x14ac:dyDescent="0.25">
      <c r="A169" s="106" t="s">
        <v>639</v>
      </c>
      <c r="B169" s="136" t="s">
        <v>952</v>
      </c>
      <c r="C169" s="106" t="s">
        <v>640</v>
      </c>
      <c r="D169" s="107" t="s">
        <v>847</v>
      </c>
      <c r="E169" s="107" t="s">
        <v>599</v>
      </c>
      <c r="F169" s="118"/>
      <c r="G169" s="118"/>
      <c r="H169" s="118"/>
      <c r="I169" s="106"/>
      <c r="J169" s="109" t="s">
        <v>233</v>
      </c>
      <c r="K169" s="45">
        <v>18031.249653259361</v>
      </c>
      <c r="L169" s="45">
        <v>4375.7583338001359</v>
      </c>
      <c r="M169" s="45">
        <v>12.328851902863029</v>
      </c>
      <c r="N169" s="45"/>
      <c r="O169" s="45"/>
      <c r="P169" s="45"/>
      <c r="Q169" s="45"/>
      <c r="R169" s="45">
        <v>4707.3967519350417</v>
      </c>
      <c r="S169" s="45"/>
      <c r="T169" s="45"/>
      <c r="U169" s="45"/>
      <c r="V169" s="45"/>
      <c r="W169" s="45"/>
      <c r="X169" s="45"/>
      <c r="Y169" s="45"/>
      <c r="Z169" s="45"/>
      <c r="AA169" s="45"/>
      <c r="AB169" s="45"/>
      <c r="AC169" s="45"/>
      <c r="AD169" s="45">
        <v>6988.3932308587191</v>
      </c>
      <c r="AE169" s="45">
        <v>99.51643049642108</v>
      </c>
      <c r="AF169" s="45">
        <v>30854.035996715062</v>
      </c>
      <c r="AG169" s="45">
        <v>12207.995661013007</v>
      </c>
      <c r="AH169" s="45">
        <v>0.24355917073388536</v>
      </c>
      <c r="AI169" s="45"/>
      <c r="AJ169" s="45">
        <v>4.1305366014153772E-2</v>
      </c>
      <c r="AK169" s="45"/>
      <c r="AL169" s="45"/>
      <c r="AM169" s="45">
        <v>0.29557277907610319</v>
      </c>
      <c r="AN169" s="45"/>
      <c r="AO169" s="45">
        <v>98.459810330186173</v>
      </c>
      <c r="AP169" s="45">
        <v>0.69023859663369203</v>
      </c>
      <c r="AQ169" s="45">
        <v>5.3964602342605576E-2</v>
      </c>
      <c r="AR169" s="45">
        <v>0.1888001216880254</v>
      </c>
      <c r="AS169" s="45">
        <v>3.7325530859626155</v>
      </c>
      <c r="AT169" s="45">
        <v>2.141307643866662E-2</v>
      </c>
      <c r="AU169" s="45">
        <v>4.0148049794569832E-2</v>
      </c>
      <c r="AV169" s="45">
        <v>2.8936192453501323E-2</v>
      </c>
      <c r="AW169" s="45">
        <v>2.2066089276301836E-2</v>
      </c>
      <c r="AX169" s="45">
        <v>0.16109441211669795</v>
      </c>
      <c r="AY169" s="45">
        <v>2.0254950192280075E-2</v>
      </c>
      <c r="AZ169" s="45"/>
      <c r="BA169" s="45"/>
      <c r="BB169" s="45"/>
      <c r="BC169" s="45"/>
      <c r="BD169" s="45"/>
      <c r="BE169" s="45"/>
      <c r="BF169" s="45">
        <v>0.20645191459832987</v>
      </c>
      <c r="BG169" s="45"/>
      <c r="BH169" s="45"/>
      <c r="BI169" s="45"/>
      <c r="BJ169" s="45"/>
      <c r="BK169" s="45"/>
      <c r="BL169" s="45"/>
      <c r="BM169" s="45"/>
      <c r="BN169" s="45"/>
      <c r="BO169" s="45"/>
      <c r="BP169" s="45">
        <v>3.86999006822311E-2</v>
      </c>
      <c r="BQ169" s="45">
        <v>0.17223582885040137</v>
      </c>
      <c r="BR169" s="45">
        <v>653.2077282137019</v>
      </c>
      <c r="BS169" s="45"/>
      <c r="BT169" s="45">
        <v>105.26509021082305</v>
      </c>
      <c r="BU169" s="45"/>
      <c r="BV169" s="45"/>
      <c r="BW169" s="45">
        <v>113.20444137911348</v>
      </c>
      <c r="BX169" s="45"/>
      <c r="BY169" s="45">
        <v>486.81494908285975</v>
      </c>
      <c r="BZ169" s="45">
        <v>6472.8024445456194</v>
      </c>
      <c r="CA169" s="45">
        <v>0</v>
      </c>
      <c r="CB169" s="45">
        <v>0</v>
      </c>
      <c r="CC169" s="45">
        <v>178497.10123481025</v>
      </c>
      <c r="CD169" s="45">
        <v>134.36025840955676</v>
      </c>
      <c r="CE169" s="45">
        <v>2072.44223676006</v>
      </c>
      <c r="CF169" s="45">
        <v>1042.7957870430937</v>
      </c>
      <c r="CG169" s="45">
        <v>279.95247791299806</v>
      </c>
      <c r="CH169" s="45">
        <v>38.994852296269158</v>
      </c>
      <c r="CI169" s="45">
        <v>114.03198555368522</v>
      </c>
      <c r="CJ169" s="45"/>
      <c r="CK169" s="45"/>
      <c r="CL169" s="45"/>
      <c r="CM169" s="45"/>
      <c r="CN169" s="45"/>
      <c r="CO169" s="45"/>
      <c r="CP169" s="45">
        <v>14680.936319627675</v>
      </c>
      <c r="CQ169" s="45"/>
      <c r="CR169" s="45"/>
      <c r="CS169" s="45"/>
      <c r="CT169" s="45"/>
      <c r="CU169" s="45"/>
      <c r="CV169" s="45"/>
      <c r="CW169" s="45"/>
      <c r="CX169" s="45"/>
      <c r="CY169" s="45"/>
      <c r="CZ169" s="45">
        <v>13.254271473559738</v>
      </c>
      <c r="DA169" s="45">
        <v>11.97620711475458</v>
      </c>
      <c r="DB169" s="45">
        <v>413212978.77392513</v>
      </c>
      <c r="DC169" s="45"/>
      <c r="DD169" s="45">
        <v>20934519.656033289</v>
      </c>
      <c r="DE169" s="45"/>
      <c r="DF169" s="45"/>
      <c r="DG169" s="45">
        <v>33364368.510402218</v>
      </c>
      <c r="DH169" s="45"/>
      <c r="DI169" s="45">
        <v>678808122.94036067</v>
      </c>
      <c r="DJ169" s="45">
        <v>115474102.50208044</v>
      </c>
      <c r="DK169" s="45">
        <v>67557952.621359229</v>
      </c>
      <c r="DL169" s="45">
        <v>158853514.82940361</v>
      </c>
      <c r="DM169" s="45">
        <v>401991370.38557559</v>
      </c>
      <c r="DN169" s="45">
        <v>43328266.296809986</v>
      </c>
      <c r="DO169" s="45">
        <v>97835050.607489601</v>
      </c>
      <c r="DP169" s="45">
        <v>64404981.348127604</v>
      </c>
      <c r="DQ169" s="45">
        <v>92283919.622746184</v>
      </c>
      <c r="DR169" s="45">
        <v>107636818.37447989</v>
      </c>
      <c r="DS169" s="45">
        <v>20891412.238557559</v>
      </c>
      <c r="DT169" s="45"/>
      <c r="DU169" s="45"/>
      <c r="DV169" s="45"/>
      <c r="DW169" s="45"/>
      <c r="DX169" s="45"/>
      <c r="DY169" s="45"/>
      <c r="DZ169" s="45">
        <v>97449384.654646322</v>
      </c>
      <c r="EA169" s="45"/>
      <c r="EB169" s="45"/>
      <c r="EC169" s="45"/>
      <c r="ED169" s="45"/>
      <c r="EE169" s="45"/>
      <c r="EF169" s="45"/>
      <c r="EG169" s="45"/>
      <c r="EH169" s="45"/>
      <c r="EI169" s="45"/>
      <c r="EJ169" s="45">
        <v>64033978.05270458</v>
      </c>
      <c r="EK169" s="45">
        <v>26030471.988904301</v>
      </c>
      <c r="EL169" s="45">
        <v>3.8898131844183355</v>
      </c>
      <c r="EM169" s="45">
        <v>16.71100750247205</v>
      </c>
      <c r="EN169" s="45">
        <v>12.820324232842381</v>
      </c>
      <c r="EO169" s="45"/>
      <c r="EP169" s="45"/>
      <c r="EQ169" s="45"/>
    </row>
    <row r="170" spans="1:147" s="92" customFormat="1" ht="15" customHeight="1" x14ac:dyDescent="0.25">
      <c r="A170" s="106" t="s">
        <v>641</v>
      </c>
      <c r="B170" s="136" t="s">
        <v>951</v>
      </c>
      <c r="C170" s="106" t="s">
        <v>642</v>
      </c>
      <c r="D170" s="107" t="s">
        <v>533</v>
      </c>
      <c r="E170" s="107" t="s">
        <v>599</v>
      </c>
      <c r="F170" s="118"/>
      <c r="G170" s="118"/>
      <c r="H170" s="118"/>
      <c r="I170" s="106"/>
      <c r="J170" s="109" t="s">
        <v>233</v>
      </c>
      <c r="K170" s="45">
        <v>4401.7073509015254</v>
      </c>
      <c r="L170" s="45">
        <v>8297.0666614444817</v>
      </c>
      <c r="M170" s="45">
        <v>403.2845308371202</v>
      </c>
      <c r="N170" s="45"/>
      <c r="O170" s="45"/>
      <c r="P170" s="45"/>
      <c r="Q170" s="45">
        <v>4.5750682820283366</v>
      </c>
      <c r="R170" s="45">
        <v>6078.1347450049843</v>
      </c>
      <c r="S170" s="45"/>
      <c r="T170" s="45"/>
      <c r="U170" s="45">
        <v>69744.700029468469</v>
      </c>
      <c r="V170" s="45"/>
      <c r="W170" s="45"/>
      <c r="X170" s="45"/>
      <c r="Y170" s="45"/>
      <c r="Z170" s="45"/>
      <c r="AA170" s="45">
        <v>1077.144266248232</v>
      </c>
      <c r="AB170" s="45"/>
      <c r="AC170" s="45"/>
      <c r="AD170" s="45"/>
      <c r="AE170" s="45">
        <v>97.367956637955473</v>
      </c>
      <c r="AF170" s="45">
        <v>47539.733964045488</v>
      </c>
      <c r="AG170" s="45">
        <v>14858.710905750697</v>
      </c>
      <c r="AH170" s="45"/>
      <c r="AI170" s="45"/>
      <c r="AJ170" s="45">
        <v>5.6262928317619809E-2</v>
      </c>
      <c r="AK170" s="45"/>
      <c r="AL170" s="45">
        <v>1.1755214006561048</v>
      </c>
      <c r="AM170" s="45">
        <v>0.33919577185247551</v>
      </c>
      <c r="AN170" s="45"/>
      <c r="AO170" s="45">
        <v>14.82025776313457</v>
      </c>
      <c r="AP170" s="45">
        <v>3.3274862377901546E-2</v>
      </c>
      <c r="AQ170" s="45">
        <v>8.834539103959102E-2</v>
      </c>
      <c r="AR170" s="45">
        <v>0.38644789668444302</v>
      </c>
      <c r="AS170" s="45">
        <v>9.3449810993110756</v>
      </c>
      <c r="AT170" s="45">
        <v>6.65930313801813E-2</v>
      </c>
      <c r="AU170" s="45"/>
      <c r="AV170" s="45">
        <v>0.54292191538375778</v>
      </c>
      <c r="AW170" s="45"/>
      <c r="AX170" s="45">
        <v>0.6167456316496166</v>
      </c>
      <c r="AY170" s="45">
        <v>4.8150894310363956E-2</v>
      </c>
      <c r="AZ170" s="45">
        <v>2.6669617035967628</v>
      </c>
      <c r="BA170" s="45"/>
      <c r="BB170" s="45"/>
      <c r="BC170" s="45"/>
      <c r="BD170" s="45"/>
      <c r="BE170" s="45"/>
      <c r="BF170" s="45">
        <v>1.9621912439583298</v>
      </c>
      <c r="BG170" s="45"/>
      <c r="BH170" s="45"/>
      <c r="BI170" s="45"/>
      <c r="BJ170" s="45"/>
      <c r="BK170" s="45"/>
      <c r="BL170" s="45"/>
      <c r="BM170" s="45"/>
      <c r="BN170" s="45"/>
      <c r="BO170" s="45"/>
      <c r="BP170" s="45">
        <v>6.7269590911840219E-2</v>
      </c>
      <c r="BQ170" s="45">
        <v>0.71323888788821854</v>
      </c>
      <c r="BR170" s="45"/>
      <c r="BS170" s="45"/>
      <c r="BT170" s="45">
        <v>96.162919855845573</v>
      </c>
      <c r="BU170" s="45"/>
      <c r="BV170" s="45">
        <v>203.2897212733734</v>
      </c>
      <c r="BW170" s="45">
        <v>200.95462884802166</v>
      </c>
      <c r="BX170" s="45"/>
      <c r="BY170" s="45">
        <v>51689.671336865766</v>
      </c>
      <c r="BZ170" s="45">
        <v>519.4912017130556</v>
      </c>
      <c r="CA170" s="45">
        <v>0</v>
      </c>
      <c r="CB170" s="45">
        <v>18.225253006659404</v>
      </c>
      <c r="CC170" s="45">
        <v>219744.26607428523</v>
      </c>
      <c r="CD170" s="45">
        <v>537.98478270116425</v>
      </c>
      <c r="CE170" s="45"/>
      <c r="CF170" s="45">
        <v>7709.7750136065752</v>
      </c>
      <c r="CG170" s="45"/>
      <c r="CH170" s="45">
        <v>37.4537461551608</v>
      </c>
      <c r="CI170" s="45">
        <v>120.40714944453075</v>
      </c>
      <c r="CJ170" s="45">
        <v>13571.612978404244</v>
      </c>
      <c r="CK170" s="45"/>
      <c r="CL170" s="45"/>
      <c r="CM170" s="45"/>
      <c r="CN170" s="45"/>
      <c r="CO170" s="45"/>
      <c r="CP170" s="45">
        <v>164255.17281151784</v>
      </c>
      <c r="CQ170" s="45"/>
      <c r="CR170" s="45"/>
      <c r="CS170" s="45"/>
      <c r="CT170" s="45"/>
      <c r="CU170" s="45"/>
      <c r="CV170" s="45"/>
      <c r="CW170" s="45"/>
      <c r="CX170" s="45"/>
      <c r="CY170" s="45"/>
      <c r="CZ170" s="45">
        <v>13.365446302596588</v>
      </c>
      <c r="DA170" s="45">
        <v>13.98603712334911</v>
      </c>
      <c r="DB170" s="45"/>
      <c r="DC170" s="45"/>
      <c r="DD170" s="45">
        <v>22720233.631067961</v>
      </c>
      <c r="DE170" s="45"/>
      <c r="DF170" s="45">
        <v>181061959.522158</v>
      </c>
      <c r="DG170" s="45">
        <v>17584701.780859917</v>
      </c>
      <c r="DH170" s="45"/>
      <c r="DI170" s="45">
        <v>976447246.55755889</v>
      </c>
      <c r="DJ170" s="45">
        <v>144345471.46740639</v>
      </c>
      <c r="DK170" s="45">
        <v>55128558.246879332</v>
      </c>
      <c r="DL170" s="45">
        <v>163874682.49653259</v>
      </c>
      <c r="DM170" s="45">
        <v>398502640.73231626</v>
      </c>
      <c r="DN170" s="45">
        <v>45960193.420249656</v>
      </c>
      <c r="DO170" s="45"/>
      <c r="DP170" s="45">
        <v>91238377.276005551</v>
      </c>
      <c r="DQ170" s="45"/>
      <c r="DR170" s="45">
        <v>110542069.70319001</v>
      </c>
      <c r="DS170" s="45">
        <v>20424803.417475726</v>
      </c>
      <c r="DT170" s="45">
        <v>394131716.39862543</v>
      </c>
      <c r="DU170" s="45"/>
      <c r="DV170" s="45"/>
      <c r="DW170" s="45"/>
      <c r="DX170" s="45"/>
      <c r="DY170" s="45"/>
      <c r="DZ170" s="45">
        <v>142627141.97923875</v>
      </c>
      <c r="EA170" s="45"/>
      <c r="EB170" s="45"/>
      <c r="EC170" s="45"/>
      <c r="ED170" s="45"/>
      <c r="EE170" s="45"/>
      <c r="EF170" s="45"/>
      <c r="EG170" s="45"/>
      <c r="EH170" s="45"/>
      <c r="EI170" s="45"/>
      <c r="EJ170" s="45">
        <v>65734545.220527045</v>
      </c>
      <c r="EK170" s="45">
        <v>24661703.545076285</v>
      </c>
      <c r="EL170" s="45">
        <v>9.5025626794097171</v>
      </c>
      <c r="EM170" s="45">
        <v>19.209461051768503</v>
      </c>
      <c r="EN170" s="45">
        <v>9.7067179154758083</v>
      </c>
      <c r="EO170" s="45"/>
      <c r="EP170" s="45"/>
      <c r="EQ170" s="45"/>
    </row>
    <row r="171" spans="1:147" s="92" customFormat="1" ht="15" customHeight="1" x14ac:dyDescent="0.25">
      <c r="A171" s="106" t="s">
        <v>643</v>
      </c>
      <c r="B171" s="136" t="s">
        <v>950</v>
      </c>
      <c r="C171" s="106" t="s">
        <v>644</v>
      </c>
      <c r="D171" s="107" t="s">
        <v>533</v>
      </c>
      <c r="E171" s="107" t="s">
        <v>599</v>
      </c>
      <c r="F171" s="118" t="s">
        <v>31</v>
      </c>
      <c r="G171" s="118">
        <v>16</v>
      </c>
      <c r="H171" s="118">
        <v>256</v>
      </c>
      <c r="I171" s="106"/>
      <c r="J171" s="109" t="s">
        <v>233</v>
      </c>
      <c r="K171" s="45">
        <v>4697.3217753120662</v>
      </c>
      <c r="L171" s="45">
        <v>6093.0583571705411</v>
      </c>
      <c r="M171" s="45">
        <v>140.15147358237766</v>
      </c>
      <c r="N171" s="45"/>
      <c r="O171" s="45"/>
      <c r="P171" s="45"/>
      <c r="Q171" s="45">
        <v>6.346884232478919</v>
      </c>
      <c r="R171" s="45"/>
      <c r="S171" s="45"/>
      <c r="T171" s="45"/>
      <c r="U171" s="45">
        <v>56165.817636647167</v>
      </c>
      <c r="V171" s="45"/>
      <c r="W171" s="45"/>
      <c r="X171" s="45"/>
      <c r="Y171" s="45"/>
      <c r="Z171" s="45"/>
      <c r="AA171" s="45"/>
      <c r="AB171" s="45"/>
      <c r="AC171" s="45"/>
      <c r="AD171" s="45"/>
      <c r="AE171" s="45">
        <v>98.874178161058651</v>
      </c>
      <c r="AF171" s="45">
        <v>27794.138867088295</v>
      </c>
      <c r="AG171" s="45">
        <v>17564.258087081482</v>
      </c>
      <c r="AH171" s="45">
        <v>1.051900625658031</v>
      </c>
      <c r="AI171" s="45"/>
      <c r="AJ171" s="45">
        <v>8.9697776495220819E-3</v>
      </c>
      <c r="AK171" s="45"/>
      <c r="AL171" s="45">
        <v>0.33459332946486497</v>
      </c>
      <c r="AM171" s="45">
        <v>4.4848974429660153E-3</v>
      </c>
      <c r="AN171" s="45"/>
      <c r="AO171" s="45">
        <v>7.6159241728071709</v>
      </c>
      <c r="AP171" s="45">
        <v>6.5754913443478266E-2</v>
      </c>
      <c r="AQ171" s="45">
        <v>1.1067989455750401E-2</v>
      </c>
      <c r="AR171" s="45">
        <v>6.9514336923816186E-2</v>
      </c>
      <c r="AS171" s="45">
        <v>2.8914123511957497</v>
      </c>
      <c r="AT171" s="45">
        <v>5.7291450985675577E-2</v>
      </c>
      <c r="AU171" s="45">
        <v>0.39090486973471805</v>
      </c>
      <c r="AV171" s="45">
        <v>0.22309158190889658</v>
      </c>
      <c r="AW171" s="45"/>
      <c r="AX171" s="45">
        <v>0.10265105831685817</v>
      </c>
      <c r="AY171" s="45">
        <v>1.7941349734881883E-2</v>
      </c>
      <c r="AZ171" s="45">
        <v>7.4531112616226798</v>
      </c>
      <c r="BA171" s="45"/>
      <c r="BB171" s="45"/>
      <c r="BC171" s="45"/>
      <c r="BD171" s="45"/>
      <c r="BE171" s="45"/>
      <c r="BF171" s="45"/>
      <c r="BG171" s="45"/>
      <c r="BH171" s="45"/>
      <c r="BI171" s="45"/>
      <c r="BJ171" s="45"/>
      <c r="BK171" s="45"/>
      <c r="BL171" s="45"/>
      <c r="BM171" s="45"/>
      <c r="BN171" s="45"/>
      <c r="BO171" s="45"/>
      <c r="BP171" s="45"/>
      <c r="BQ171" s="45">
        <v>7.5809482485994784E-2</v>
      </c>
      <c r="BR171" s="45">
        <v>12578.725740824328</v>
      </c>
      <c r="BS171" s="45"/>
      <c r="BT171" s="45">
        <v>81.873745954713584</v>
      </c>
      <c r="BU171" s="45"/>
      <c r="BV171" s="45">
        <v>17704.371057446111</v>
      </c>
      <c r="BW171" s="45">
        <v>20.350991960890731</v>
      </c>
      <c r="BX171" s="45"/>
      <c r="BY171" s="45">
        <v>41084.201551101127</v>
      </c>
      <c r="BZ171" s="45">
        <v>2198.8701751408084</v>
      </c>
      <c r="CA171" s="45">
        <v>6.8907401692072172</v>
      </c>
      <c r="CB171" s="45">
        <v>6349.1071231758497</v>
      </c>
      <c r="CC171" s="45">
        <v>327044.59284967213</v>
      </c>
      <c r="CD171" s="45">
        <v>77.259838453189204</v>
      </c>
      <c r="CE171" s="45">
        <v>186163.77687060178</v>
      </c>
      <c r="CF171" s="45">
        <v>8652.577560615191</v>
      </c>
      <c r="CG171" s="45"/>
      <c r="CH171" s="45">
        <v>23.440728609673645</v>
      </c>
      <c r="CI171" s="45">
        <v>113.97569310303089</v>
      </c>
      <c r="CJ171" s="45">
        <v>658803.22634547995</v>
      </c>
      <c r="CK171" s="45"/>
      <c r="CL171" s="45"/>
      <c r="CM171" s="45"/>
      <c r="CN171" s="45"/>
      <c r="CO171" s="45"/>
      <c r="CP171" s="45"/>
      <c r="CQ171" s="45"/>
      <c r="CR171" s="45"/>
      <c r="CS171" s="45"/>
      <c r="CT171" s="45"/>
      <c r="CU171" s="45"/>
      <c r="CV171" s="45"/>
      <c r="CW171" s="45"/>
      <c r="CX171" s="45"/>
      <c r="CY171" s="45"/>
      <c r="CZ171" s="45"/>
      <c r="DA171" s="45">
        <v>1.1604238845850621</v>
      </c>
      <c r="DB171" s="45">
        <v>571070745.20943129</v>
      </c>
      <c r="DC171" s="45"/>
      <c r="DD171" s="45">
        <v>22974043.606102634</v>
      </c>
      <c r="DE171" s="45"/>
      <c r="DF171" s="45">
        <v>423370085.63582093</v>
      </c>
      <c r="DG171" s="45">
        <v>16291967.822468793</v>
      </c>
      <c r="DH171" s="45"/>
      <c r="DI171" s="45">
        <v>1141411078.7461858</v>
      </c>
      <c r="DJ171" s="45">
        <v>138131004.36061028</v>
      </c>
      <c r="DK171" s="45">
        <v>56987091.262135923</v>
      </c>
      <c r="DL171" s="45">
        <v>231618131.08460471</v>
      </c>
      <c r="DM171" s="45">
        <v>384217803.80582523</v>
      </c>
      <c r="DN171" s="45">
        <v>40281756.937586688</v>
      </c>
      <c r="DO171" s="45">
        <v>141705965.89181691</v>
      </c>
      <c r="DP171" s="45">
        <v>88542567.323162273</v>
      </c>
      <c r="DQ171" s="45"/>
      <c r="DR171" s="45">
        <v>102361738.4743412</v>
      </c>
      <c r="DS171" s="45">
        <v>20138390.191400833</v>
      </c>
      <c r="DT171" s="45">
        <v>254974634.66666666</v>
      </c>
      <c r="DU171" s="45"/>
      <c r="DV171" s="45"/>
      <c r="DW171" s="45"/>
      <c r="DX171" s="45"/>
      <c r="DY171" s="45"/>
      <c r="DZ171" s="45"/>
      <c r="EA171" s="45"/>
      <c r="EB171" s="45"/>
      <c r="EC171" s="45"/>
      <c r="ED171" s="45"/>
      <c r="EE171" s="45"/>
      <c r="EF171" s="45"/>
      <c r="EG171" s="45"/>
      <c r="EH171" s="45"/>
      <c r="EI171" s="45"/>
      <c r="EJ171" s="45"/>
      <c r="EK171" s="45">
        <v>24673554.108183078</v>
      </c>
      <c r="EL171" s="45">
        <v>1.5091995500944797</v>
      </c>
      <c r="EM171" s="45">
        <v>4.633028943383934</v>
      </c>
      <c r="EN171" s="45">
        <v>3.1243372160968965</v>
      </c>
      <c r="EO171" s="45"/>
      <c r="EP171" s="45"/>
      <c r="EQ171" s="45"/>
    </row>
    <row r="172" spans="1:147" s="92" customFormat="1" ht="15" customHeight="1" x14ac:dyDescent="0.25">
      <c r="A172" s="106" t="s">
        <v>645</v>
      </c>
      <c r="B172" s="136" t="s">
        <v>863</v>
      </c>
      <c r="C172" s="106" t="s">
        <v>647</v>
      </c>
      <c r="D172" s="107" t="s">
        <v>536</v>
      </c>
      <c r="E172" s="107" t="s">
        <v>599</v>
      </c>
      <c r="F172" s="118" t="s">
        <v>196</v>
      </c>
      <c r="G172" s="118">
        <v>32</v>
      </c>
      <c r="H172" s="118">
        <v>256</v>
      </c>
      <c r="I172" s="106"/>
      <c r="J172" s="109" t="s">
        <v>233</v>
      </c>
      <c r="K172" s="45">
        <v>7081.1005586592182</v>
      </c>
      <c r="L172" s="45">
        <v>8389.6099700462655</v>
      </c>
      <c r="M172" s="45">
        <v>137.61133510395535</v>
      </c>
      <c r="N172" s="45"/>
      <c r="O172" s="45"/>
      <c r="P172" s="45"/>
      <c r="Q172" s="45">
        <v>8.2525269791785334</v>
      </c>
      <c r="R172" s="45">
        <v>2928.0192955293178</v>
      </c>
      <c r="S172" s="45"/>
      <c r="T172" s="45"/>
      <c r="U172" s="45">
        <v>306480.46937423694</v>
      </c>
      <c r="V172" s="45"/>
      <c r="W172" s="45"/>
      <c r="X172" s="45"/>
      <c r="Y172" s="45"/>
      <c r="Z172" s="45"/>
      <c r="AA172" s="45"/>
      <c r="AB172" s="45"/>
      <c r="AC172" s="45"/>
      <c r="AD172" s="45"/>
      <c r="AE172" s="45">
        <v>98.88251453764876</v>
      </c>
      <c r="AF172" s="45">
        <v>36403.351100060179</v>
      </c>
      <c r="AG172" s="45">
        <v>16471.756853197727</v>
      </c>
      <c r="AH172" s="45"/>
      <c r="AI172" s="45"/>
      <c r="AJ172" s="45">
        <v>4.3384767098767076E-2</v>
      </c>
      <c r="AK172" s="45"/>
      <c r="AL172" s="45">
        <v>1.0611574549115799</v>
      </c>
      <c r="AM172" s="45">
        <v>0.10657922128247428</v>
      </c>
      <c r="AN172" s="45"/>
      <c r="AO172" s="45">
        <v>10.834323803149733</v>
      </c>
      <c r="AP172" s="45">
        <v>4.93119294180909E-2</v>
      </c>
      <c r="AQ172" s="45">
        <v>8.6761684755237475E-2</v>
      </c>
      <c r="AR172" s="45">
        <v>0.35420199316388945</v>
      </c>
      <c r="AS172" s="45">
        <v>5.8099993178335456</v>
      </c>
      <c r="AT172" s="45">
        <v>2.6007616589926046E-2</v>
      </c>
      <c r="AU172" s="45"/>
      <c r="AV172" s="45">
        <v>0.14606760961593654</v>
      </c>
      <c r="AW172" s="45">
        <v>1.4134287554581487E-2</v>
      </c>
      <c r="AX172" s="45">
        <v>0.37657310129822308</v>
      </c>
      <c r="AY172" s="45">
        <v>2.5515254223790054E-2</v>
      </c>
      <c r="AZ172" s="45"/>
      <c r="BA172" s="45"/>
      <c r="BB172" s="45"/>
      <c r="BC172" s="45"/>
      <c r="BD172" s="45"/>
      <c r="BE172" s="45"/>
      <c r="BF172" s="45">
        <v>2.0337984403077964</v>
      </c>
      <c r="BG172" s="45"/>
      <c r="BH172" s="45"/>
      <c r="BI172" s="45"/>
      <c r="BJ172" s="45"/>
      <c r="BK172" s="45"/>
      <c r="BL172" s="45"/>
      <c r="BM172" s="45"/>
      <c r="BN172" s="45"/>
      <c r="BO172" s="45"/>
      <c r="BP172" s="45">
        <v>1.0698511636750447</v>
      </c>
      <c r="BQ172" s="45">
        <v>0.23979993765003246</v>
      </c>
      <c r="BR172" s="45"/>
      <c r="BS172" s="45"/>
      <c r="BT172" s="45">
        <v>91.28917834442457</v>
      </c>
      <c r="BU172" s="45"/>
      <c r="BV172" s="45">
        <v>1119.8175059114187</v>
      </c>
      <c r="BW172" s="45">
        <v>29.734383746437722</v>
      </c>
      <c r="BX172" s="45"/>
      <c r="BY172" s="45">
        <v>83046.097834052183</v>
      </c>
      <c r="BZ172" s="45">
        <v>1716.1857798831486</v>
      </c>
      <c r="CA172" s="45">
        <v>9.2296714511920168</v>
      </c>
      <c r="CB172" s="45">
        <v>69.362689141512931</v>
      </c>
      <c r="CC172" s="45">
        <v>599091.40509390051</v>
      </c>
      <c r="CD172" s="45">
        <v>114.25775502938835</v>
      </c>
      <c r="CE172" s="45"/>
      <c r="CF172" s="45">
        <v>5982.7371887899881</v>
      </c>
      <c r="CG172" s="45">
        <v>743.7089720948303</v>
      </c>
      <c r="CH172" s="45">
        <v>23.669896950703539</v>
      </c>
      <c r="CI172" s="45">
        <v>120.010891434828</v>
      </c>
      <c r="CJ172" s="45"/>
      <c r="CK172" s="45"/>
      <c r="CL172" s="45"/>
      <c r="CM172" s="45"/>
      <c r="CN172" s="45"/>
      <c r="CO172" s="45"/>
      <c r="CP172" s="45">
        <v>642771.79259154818</v>
      </c>
      <c r="CQ172" s="45"/>
      <c r="CR172" s="45"/>
      <c r="CS172" s="45"/>
      <c r="CT172" s="45"/>
      <c r="CU172" s="45"/>
      <c r="CV172" s="45"/>
      <c r="CW172" s="45"/>
      <c r="CX172" s="45"/>
      <c r="CY172" s="45"/>
      <c r="CZ172" s="45">
        <v>31.299424170422448</v>
      </c>
      <c r="DA172" s="45">
        <v>1.4568833799320731</v>
      </c>
      <c r="DB172" s="45"/>
      <c r="DC172" s="45"/>
      <c r="DD172" s="45">
        <v>22704316.782122906</v>
      </c>
      <c r="DE172" s="45"/>
      <c r="DF172" s="45">
        <v>135103457.704142</v>
      </c>
      <c r="DG172" s="45">
        <v>16341026.324022347</v>
      </c>
      <c r="DH172" s="45"/>
      <c r="DI172" s="45">
        <v>1259304468.0223463</v>
      </c>
      <c r="DJ172" s="45">
        <v>119827896.49162011</v>
      </c>
      <c r="DK172" s="45">
        <v>74195573.273743019</v>
      </c>
      <c r="DL172" s="45">
        <v>215158343.50837988</v>
      </c>
      <c r="DM172" s="45">
        <v>384069111.41899443</v>
      </c>
      <c r="DN172" s="45">
        <v>43751464.04469274</v>
      </c>
      <c r="DO172" s="45"/>
      <c r="DP172" s="45">
        <v>96581386.011173189</v>
      </c>
      <c r="DQ172" s="45">
        <v>91995296.178770944</v>
      </c>
      <c r="DR172" s="45">
        <v>110467558.25698324</v>
      </c>
      <c r="DS172" s="45">
        <v>20855573.452513967</v>
      </c>
      <c r="DT172" s="45"/>
      <c r="DU172" s="45"/>
      <c r="DV172" s="45"/>
      <c r="DW172" s="45"/>
      <c r="DX172" s="45"/>
      <c r="DY172" s="45"/>
      <c r="DZ172" s="45">
        <v>228424246.3463687</v>
      </c>
      <c r="EA172" s="45"/>
      <c r="EB172" s="45"/>
      <c r="EC172" s="45"/>
      <c r="ED172" s="45"/>
      <c r="EE172" s="45"/>
      <c r="EF172" s="45"/>
      <c r="EG172" s="45"/>
      <c r="EH172" s="45"/>
      <c r="EI172" s="45"/>
      <c r="EJ172" s="45">
        <v>106053906.59217878</v>
      </c>
      <c r="EK172" s="45">
        <v>24054046.033519555</v>
      </c>
      <c r="EL172" s="45"/>
      <c r="EM172" s="45"/>
      <c r="EN172" s="45"/>
      <c r="EO172" s="45"/>
      <c r="EP172" s="45"/>
      <c r="EQ172" s="45"/>
    </row>
    <row r="173" spans="1:147" s="92" customFormat="1" ht="15" customHeight="1" x14ac:dyDescent="0.25">
      <c r="A173" s="106" t="s">
        <v>646</v>
      </c>
      <c r="B173" s="136" t="s">
        <v>949</v>
      </c>
      <c r="C173" s="106" t="s">
        <v>648</v>
      </c>
      <c r="D173" s="107" t="s">
        <v>847</v>
      </c>
      <c r="E173" s="107" t="s">
        <v>599</v>
      </c>
      <c r="F173" s="118"/>
      <c r="G173" s="118"/>
      <c r="H173" s="118"/>
      <c r="I173" s="106"/>
      <c r="J173" s="109" t="s">
        <v>233</v>
      </c>
      <c r="K173" s="45">
        <v>2664.9972260748959</v>
      </c>
      <c r="L173" s="45">
        <v>11499.681080430573</v>
      </c>
      <c r="M173" s="45">
        <v>956.14940682319013</v>
      </c>
      <c r="N173" s="45"/>
      <c r="O173" s="45"/>
      <c r="P173" s="45"/>
      <c r="Q173" s="45"/>
      <c r="R173" s="45">
        <v>59749.102085303064</v>
      </c>
      <c r="S173" s="45"/>
      <c r="T173" s="45"/>
      <c r="U173" s="45"/>
      <c r="V173" s="45"/>
      <c r="W173" s="45"/>
      <c r="X173" s="45"/>
      <c r="Y173" s="45"/>
      <c r="Z173" s="45"/>
      <c r="AA173" s="45">
        <v>84717.801696773095</v>
      </c>
      <c r="AB173" s="45"/>
      <c r="AC173" s="45"/>
      <c r="AD173" s="45"/>
      <c r="AE173" s="45">
        <v>96.926081698131611</v>
      </c>
      <c r="AF173" s="45">
        <v>37775.116922484718</v>
      </c>
      <c r="AG173" s="45">
        <v>35114.333517535255</v>
      </c>
      <c r="AH173" s="45">
        <v>1.5780055316216064</v>
      </c>
      <c r="AI173" s="45"/>
      <c r="AJ173" s="45">
        <v>0.17470006911842875</v>
      </c>
      <c r="AK173" s="45"/>
      <c r="AL173" s="45"/>
      <c r="AM173" s="45">
        <v>1.1810826550315323</v>
      </c>
      <c r="AN173" s="45"/>
      <c r="AO173" s="45">
        <v>4.2217991111142368</v>
      </c>
      <c r="AP173" s="45">
        <v>1.3750085373987719</v>
      </c>
      <c r="AQ173" s="45">
        <v>0.23050892810430629</v>
      </c>
      <c r="AR173" s="45">
        <v>0.46533362826815949</v>
      </c>
      <c r="AS173" s="45">
        <v>11.657459321780021</v>
      </c>
      <c r="AT173" s="45">
        <v>5.0082760856526294</v>
      </c>
      <c r="AU173" s="45"/>
      <c r="AV173" s="45">
        <v>0.20973313790915146</v>
      </c>
      <c r="AW173" s="45">
        <v>8.0408649047065586E-2</v>
      </c>
      <c r="AX173" s="45">
        <v>0.57091673153615552</v>
      </c>
      <c r="AY173" s="45">
        <v>4.0322039558932765E-2</v>
      </c>
      <c r="AZ173" s="45">
        <v>0.61703071387159436</v>
      </c>
      <c r="BA173" s="45"/>
      <c r="BB173" s="45"/>
      <c r="BC173" s="45"/>
      <c r="BD173" s="45"/>
      <c r="BE173" s="45"/>
      <c r="BF173" s="45">
        <v>6.7473930724800297</v>
      </c>
      <c r="BG173" s="45"/>
      <c r="BH173" s="45"/>
      <c r="BI173" s="45"/>
      <c r="BJ173" s="45"/>
      <c r="BK173" s="45"/>
      <c r="BL173" s="45"/>
      <c r="BM173" s="45"/>
      <c r="BN173" s="45"/>
      <c r="BO173" s="45"/>
      <c r="BP173" s="45">
        <v>6.0707512079178245E-2</v>
      </c>
      <c r="BQ173" s="45">
        <v>0.63379342513716719</v>
      </c>
      <c r="BR173" s="45">
        <v>20731.051129415275</v>
      </c>
      <c r="BS173" s="45"/>
      <c r="BT173" s="45">
        <v>105.26217217187863</v>
      </c>
      <c r="BU173" s="45"/>
      <c r="BV173" s="45"/>
      <c r="BW173" s="45">
        <v>258.54054919234551</v>
      </c>
      <c r="BX173" s="45"/>
      <c r="BY173" s="45">
        <v>408346.60187455371</v>
      </c>
      <c r="BZ173" s="45">
        <v>4834.5947721315461</v>
      </c>
      <c r="CA173" s="45">
        <v>6.8891904725419497</v>
      </c>
      <c r="CB173" s="45">
        <v>40.109945865298357</v>
      </c>
      <c r="CC173" s="45">
        <v>780576.62380078749</v>
      </c>
      <c r="CD173" s="45">
        <v>3358270.5645378693</v>
      </c>
      <c r="CE173" s="45"/>
      <c r="CF173" s="45">
        <v>6910.6335471120001</v>
      </c>
      <c r="CG173" s="45">
        <v>356.00542110736927</v>
      </c>
      <c r="CH173" s="45">
        <v>39.685124980561859</v>
      </c>
      <c r="CI173" s="45">
        <v>120.68523111586134</v>
      </c>
      <c r="CJ173" s="45">
        <v>4068.6679546205969</v>
      </c>
      <c r="CK173" s="45"/>
      <c r="CL173" s="45"/>
      <c r="CM173" s="45"/>
      <c r="CN173" s="45"/>
      <c r="CO173" s="45"/>
      <c r="CP173" s="45">
        <v>542388.40932545089</v>
      </c>
      <c r="CQ173" s="45"/>
      <c r="CR173" s="45"/>
      <c r="CS173" s="45"/>
      <c r="CT173" s="45"/>
      <c r="CU173" s="45"/>
      <c r="CV173" s="45"/>
      <c r="CW173" s="45"/>
      <c r="CX173" s="45"/>
      <c r="CY173" s="45"/>
      <c r="CZ173" s="45">
        <v>13.232548894452982</v>
      </c>
      <c r="DA173" s="45">
        <v>12.440457066757698</v>
      </c>
      <c r="DB173" s="45">
        <v>491110943.11602211</v>
      </c>
      <c r="DC173" s="45"/>
      <c r="DD173" s="45">
        <v>26705539.373092927</v>
      </c>
      <c r="DE173" s="45"/>
      <c r="DF173" s="45"/>
      <c r="DG173" s="45">
        <v>38539371.93897365</v>
      </c>
      <c r="DH173" s="45"/>
      <c r="DI173" s="45">
        <v>527713149.67272729</v>
      </c>
      <c r="DJ173" s="45">
        <v>127414925.3148405</v>
      </c>
      <c r="DK173" s="45">
        <v>77431516.848821089</v>
      </c>
      <c r="DL173" s="45">
        <v>239698618.76282939</v>
      </c>
      <c r="DM173" s="45">
        <v>395141341.55894589</v>
      </c>
      <c r="DN173" s="45">
        <v>115606270.93481275</v>
      </c>
      <c r="DO173" s="45"/>
      <c r="DP173" s="45">
        <v>100964826.36338419</v>
      </c>
      <c r="DQ173" s="45">
        <v>99921225.762711868</v>
      </c>
      <c r="DR173" s="45">
        <v>114453726.97919556</v>
      </c>
      <c r="DS173" s="45">
        <v>23418382.91262136</v>
      </c>
      <c r="DT173" s="45">
        <v>494886484.0597015</v>
      </c>
      <c r="DU173" s="45"/>
      <c r="DV173" s="45"/>
      <c r="DW173" s="45"/>
      <c r="DX173" s="45"/>
      <c r="DY173" s="45"/>
      <c r="DZ173" s="45">
        <v>359200899.24292099</v>
      </c>
      <c r="EA173" s="45"/>
      <c r="EB173" s="45"/>
      <c r="EC173" s="45"/>
      <c r="ED173" s="45"/>
      <c r="EE173" s="45"/>
      <c r="EF173" s="45"/>
      <c r="EG173" s="45"/>
      <c r="EH173" s="45"/>
      <c r="EI173" s="45"/>
      <c r="EJ173" s="45">
        <v>69410469.4590846</v>
      </c>
      <c r="EK173" s="45">
        <v>28000557.092926491</v>
      </c>
      <c r="EL173" s="45">
        <v>3.3546528861239882</v>
      </c>
      <c r="EM173" s="45">
        <v>6.3148224504161234</v>
      </c>
      <c r="EN173" s="45">
        <v>2.9597111871265303</v>
      </c>
      <c r="EO173" s="45"/>
      <c r="EP173" s="45"/>
      <c r="EQ173" s="45"/>
    </row>
    <row r="174" spans="1:147" s="92" customFormat="1" ht="15" customHeight="1" x14ac:dyDescent="0.25">
      <c r="A174" s="102" t="s">
        <v>649</v>
      </c>
      <c r="B174" s="137"/>
      <c r="C174" s="102" t="s">
        <v>650</v>
      </c>
      <c r="D174" s="103" t="s">
        <v>537</v>
      </c>
      <c r="E174" s="103" t="s">
        <v>599</v>
      </c>
      <c r="F174" s="119"/>
      <c r="G174" s="119"/>
      <c r="H174" s="119"/>
      <c r="I174" s="102"/>
      <c r="J174" s="114" t="s">
        <v>242</v>
      </c>
      <c r="K174" s="45"/>
      <c r="L174" s="45"/>
      <c r="M174" s="45"/>
      <c r="N174" s="45"/>
      <c r="O174" s="45"/>
      <c r="P174" s="45"/>
      <c r="Q174" s="45"/>
      <c r="R174" s="45"/>
      <c r="S174" s="45"/>
      <c r="T174" s="45"/>
      <c r="U174" s="45"/>
      <c r="V174" s="45"/>
      <c r="W174" s="45"/>
      <c r="X174" s="45"/>
      <c r="Y174" s="45"/>
      <c r="Z174" s="45"/>
      <c r="AA174" s="45"/>
      <c r="AB174" s="45"/>
      <c r="AC174" s="45"/>
      <c r="AD174" s="45"/>
      <c r="AE174" s="45"/>
      <c r="AF174" s="45"/>
      <c r="AG174" s="45"/>
      <c r="AH174" s="45"/>
      <c r="AI174" s="45"/>
      <c r="AJ174" s="45"/>
      <c r="AK174" s="45"/>
      <c r="AL174" s="45"/>
      <c r="AM174" s="45"/>
      <c r="AN174" s="45"/>
      <c r="AO174" s="45"/>
      <c r="AP174" s="45"/>
      <c r="AQ174" s="45"/>
      <c r="AR174" s="45"/>
      <c r="AS174" s="45"/>
      <c r="AT174" s="45"/>
      <c r="AU174" s="45"/>
      <c r="AV174" s="45"/>
      <c r="AW174" s="45"/>
      <c r="AX174" s="45"/>
      <c r="AY174" s="45"/>
      <c r="AZ174" s="45"/>
      <c r="BA174" s="45"/>
      <c r="BB174" s="45"/>
      <c r="BC174" s="45"/>
      <c r="BD174" s="45"/>
      <c r="BE174" s="45"/>
      <c r="BF174" s="45"/>
      <c r="BG174" s="45"/>
      <c r="BH174" s="45"/>
      <c r="BI174" s="45"/>
      <c r="BJ174" s="45"/>
      <c r="BK174" s="45"/>
      <c r="BL174" s="45"/>
      <c r="BM174" s="45"/>
      <c r="BN174" s="45"/>
      <c r="BO174" s="45"/>
      <c r="BP174" s="45"/>
      <c r="BQ174" s="45"/>
      <c r="BR174" s="45"/>
      <c r="BS174" s="45"/>
      <c r="BT174" s="45"/>
      <c r="BU174" s="45"/>
      <c r="BV174" s="45"/>
      <c r="BW174" s="45"/>
      <c r="BX174" s="45"/>
      <c r="BY174" s="45"/>
      <c r="BZ174" s="45"/>
      <c r="CA174" s="45"/>
      <c r="CB174" s="45"/>
      <c r="CC174" s="45"/>
      <c r="CD174" s="45"/>
      <c r="CE174" s="45"/>
      <c r="CF174" s="45"/>
      <c r="CG174" s="45"/>
      <c r="CH174" s="45"/>
      <c r="CI174" s="45"/>
      <c r="CJ174" s="45"/>
      <c r="CK174" s="45"/>
      <c r="CL174" s="45"/>
      <c r="CM174" s="45"/>
      <c r="CN174" s="45"/>
      <c r="CO174" s="45"/>
      <c r="CP174" s="45"/>
      <c r="CQ174" s="45"/>
      <c r="CR174" s="45"/>
      <c r="CS174" s="45"/>
      <c r="CT174" s="45"/>
      <c r="CU174" s="45"/>
      <c r="CV174" s="45"/>
      <c r="CW174" s="45"/>
      <c r="CX174" s="45"/>
      <c r="CY174" s="45"/>
      <c r="CZ174" s="45"/>
      <c r="DA174" s="45"/>
      <c r="DB174" s="45"/>
      <c r="DC174" s="45"/>
      <c r="DD174" s="45"/>
      <c r="DE174" s="45"/>
      <c r="DF174" s="45"/>
      <c r="DG174" s="45"/>
      <c r="DH174" s="45"/>
      <c r="DI174" s="45"/>
      <c r="DJ174" s="45"/>
      <c r="DK174" s="45"/>
      <c r="DL174" s="45"/>
      <c r="DM174" s="45"/>
      <c r="DN174" s="45"/>
      <c r="DO174" s="45"/>
      <c r="DP174" s="45"/>
      <c r="DQ174" s="45"/>
      <c r="DR174" s="45"/>
      <c r="DS174" s="45"/>
      <c r="DT174" s="45"/>
      <c r="DU174" s="45"/>
      <c r="DV174" s="45"/>
      <c r="DW174" s="45"/>
      <c r="DX174" s="45"/>
      <c r="DY174" s="45"/>
      <c r="DZ174" s="45"/>
      <c r="EA174" s="45"/>
      <c r="EB174" s="45"/>
      <c r="EC174" s="45"/>
      <c r="ED174" s="45"/>
      <c r="EE174" s="45"/>
      <c r="EF174" s="45"/>
      <c r="EG174" s="45"/>
      <c r="EH174" s="45"/>
      <c r="EI174" s="45"/>
      <c r="EJ174" s="45"/>
      <c r="EK174" s="45"/>
      <c r="EL174" s="45"/>
      <c r="EM174" s="45"/>
      <c r="EN174" s="45"/>
      <c r="EO174" s="45"/>
      <c r="EP174" s="45"/>
      <c r="EQ174" s="45"/>
    </row>
    <row r="175" spans="1:147" s="92" customFormat="1" ht="15" customHeight="1" x14ac:dyDescent="0.25">
      <c r="A175" s="106" t="s">
        <v>651</v>
      </c>
      <c r="B175" s="136" t="s">
        <v>948</v>
      </c>
      <c r="C175" s="106" t="s">
        <v>652</v>
      </c>
      <c r="D175" s="107" t="s">
        <v>532</v>
      </c>
      <c r="E175" s="107" t="s">
        <v>599</v>
      </c>
      <c r="F175" s="118" t="s">
        <v>48</v>
      </c>
      <c r="G175" s="118">
        <v>16</v>
      </c>
      <c r="H175" s="118">
        <v>256</v>
      </c>
      <c r="I175" s="106"/>
      <c r="J175" s="109" t="s">
        <v>233</v>
      </c>
      <c r="K175" s="45">
        <v>2712.6074895977808</v>
      </c>
      <c r="L175" s="45">
        <v>7187.6291840076237</v>
      </c>
      <c r="M175" s="45">
        <v>224.04402502107192</v>
      </c>
      <c r="N175" s="45"/>
      <c r="O175" s="45"/>
      <c r="P175" s="45"/>
      <c r="Q175" s="45">
        <v>0.10625522794310098</v>
      </c>
      <c r="R175" s="45">
        <v>31223.687868497051</v>
      </c>
      <c r="S175" s="45"/>
      <c r="T175" s="45"/>
      <c r="U175" s="45"/>
      <c r="V175" s="45"/>
      <c r="W175" s="45"/>
      <c r="X175" s="45"/>
      <c r="Y175" s="45"/>
      <c r="Z175" s="45"/>
      <c r="AA175" s="45">
        <v>120987.45410513668</v>
      </c>
      <c r="AB175" s="45"/>
      <c r="AC175" s="45"/>
      <c r="AD175" s="45"/>
      <c r="AE175" s="45">
        <v>98.940640640155152</v>
      </c>
      <c r="AF175" s="45">
        <v>37875.330395289362</v>
      </c>
      <c r="AG175" s="45">
        <v>22634.944634745767</v>
      </c>
      <c r="AH175" s="45">
        <v>0.34743280211471633</v>
      </c>
      <c r="AI175" s="45"/>
      <c r="AJ175" s="45">
        <v>0.14170570167377691</v>
      </c>
      <c r="AK175" s="45"/>
      <c r="AL175" s="45">
        <v>1.7117292080991939</v>
      </c>
      <c r="AM175" s="45">
        <v>0.9758226863722802</v>
      </c>
      <c r="AN175" s="45"/>
      <c r="AO175" s="45">
        <v>13.534748401899661</v>
      </c>
      <c r="AP175" s="45">
        <v>1.3471456020508095</v>
      </c>
      <c r="AQ175" s="45">
        <v>0.21918406827369116</v>
      </c>
      <c r="AR175" s="45">
        <v>0.59448909219729584</v>
      </c>
      <c r="AS175" s="45">
        <v>9.8889879700567391</v>
      </c>
      <c r="AT175" s="45">
        <v>0.12059578673455458</v>
      </c>
      <c r="AU175" s="45">
        <v>1.5048918103369446</v>
      </c>
      <c r="AV175" s="45">
        <v>0.46748523250966184</v>
      </c>
      <c r="AW175" s="45"/>
      <c r="AX175" s="45">
        <v>0.53914238906466982</v>
      </c>
      <c r="AY175" s="45">
        <v>1.9095875377402597E-2</v>
      </c>
      <c r="AZ175" s="45">
        <v>0.23537691791601972</v>
      </c>
      <c r="BA175" s="45"/>
      <c r="BB175" s="45"/>
      <c r="BC175" s="45"/>
      <c r="BD175" s="45"/>
      <c r="BE175" s="45"/>
      <c r="BF175" s="45"/>
      <c r="BG175" s="45"/>
      <c r="BH175" s="45"/>
      <c r="BI175" s="45"/>
      <c r="BJ175" s="45"/>
      <c r="BK175" s="45"/>
      <c r="BL175" s="45"/>
      <c r="BM175" s="45"/>
      <c r="BN175" s="45"/>
      <c r="BO175" s="45"/>
      <c r="BP175" s="45">
        <v>0.10040764121627443</v>
      </c>
      <c r="BQ175" s="45">
        <v>0.63101473569263511</v>
      </c>
      <c r="BR175" s="45">
        <v>503.85742938754748</v>
      </c>
      <c r="BS175" s="45"/>
      <c r="BT175" s="45">
        <v>105.27425995221918</v>
      </c>
      <c r="BU175" s="45"/>
      <c r="BV175" s="45">
        <v>0</v>
      </c>
      <c r="BW175" s="45">
        <v>125.71727435607724</v>
      </c>
      <c r="BX175" s="45"/>
      <c r="BY175" s="45">
        <v>44597.075026002043</v>
      </c>
      <c r="BZ175" s="45">
        <v>8587.5703134920059</v>
      </c>
      <c r="CA175" s="45">
        <v>6.9015413908314818</v>
      </c>
      <c r="CB175" s="45">
        <v>14.633274680447942</v>
      </c>
      <c r="CC175" s="45">
        <v>31739.484982453276</v>
      </c>
      <c r="CD175" s="45">
        <v>11204.05580066601</v>
      </c>
      <c r="CE175" s="45">
        <v>126856.51164003782</v>
      </c>
      <c r="CF175" s="45">
        <v>6315.1513526145818</v>
      </c>
      <c r="CG175" s="45"/>
      <c r="CH175" s="45">
        <v>24.466589424986726</v>
      </c>
      <c r="CI175" s="45">
        <v>127.11158456397067</v>
      </c>
      <c r="CJ175" s="45">
        <v>426.25029146782123</v>
      </c>
      <c r="CK175" s="45"/>
      <c r="CL175" s="45"/>
      <c r="CM175" s="45"/>
      <c r="CN175" s="45"/>
      <c r="CO175" s="45"/>
      <c r="CP175" s="45"/>
      <c r="CQ175" s="45"/>
      <c r="CR175" s="45"/>
      <c r="CS175" s="45"/>
      <c r="CT175" s="45"/>
      <c r="CU175" s="45"/>
      <c r="CV175" s="45"/>
      <c r="CW175" s="45"/>
      <c r="CX175" s="45"/>
      <c r="CY175" s="45"/>
      <c r="CZ175" s="45">
        <v>13.260858748982423</v>
      </c>
      <c r="DA175" s="45">
        <v>14.222466814111327</v>
      </c>
      <c r="DB175" s="45">
        <v>661143824.68793344</v>
      </c>
      <c r="DC175" s="45"/>
      <c r="DD175" s="45">
        <v>23902563.062413316</v>
      </c>
      <c r="DE175" s="45"/>
      <c r="DF175" s="45">
        <v>655929389.44798887</v>
      </c>
      <c r="DG175" s="45">
        <v>49895239.367545076</v>
      </c>
      <c r="DH175" s="45"/>
      <c r="DI175" s="45">
        <v>2356525376.9764218</v>
      </c>
      <c r="DJ175" s="45">
        <v>143503388.40499306</v>
      </c>
      <c r="DK175" s="45">
        <v>75774602.474341199</v>
      </c>
      <c r="DL175" s="45">
        <v>260535192.32177532</v>
      </c>
      <c r="DM175" s="45">
        <v>408323303.5006935</v>
      </c>
      <c r="DN175" s="45">
        <v>127082586.89597781</v>
      </c>
      <c r="DO175" s="45">
        <v>290482553.78640777</v>
      </c>
      <c r="DP175" s="45">
        <v>105203703.47850208</v>
      </c>
      <c r="DQ175" s="45"/>
      <c r="DR175" s="45">
        <v>119181846.01386963</v>
      </c>
      <c r="DS175" s="45">
        <v>22404654.158113729</v>
      </c>
      <c r="DT175" s="45">
        <v>538408729.91955614</v>
      </c>
      <c r="DU175" s="45"/>
      <c r="DV175" s="45"/>
      <c r="DW175" s="45"/>
      <c r="DX175" s="45"/>
      <c r="DY175" s="45"/>
      <c r="DZ175" s="45"/>
      <c r="EA175" s="45"/>
      <c r="EB175" s="45"/>
      <c r="EC175" s="45"/>
      <c r="ED175" s="45"/>
      <c r="EE175" s="45"/>
      <c r="EF175" s="45"/>
      <c r="EG175" s="45"/>
      <c r="EH175" s="45"/>
      <c r="EI175" s="45"/>
      <c r="EJ175" s="45">
        <v>73394843.517337039</v>
      </c>
      <c r="EK175" s="45">
        <v>28645617.442441054</v>
      </c>
      <c r="EL175" s="45">
        <v>11.181000388349581</v>
      </c>
      <c r="EM175" s="45">
        <v>19.474775075060123</v>
      </c>
      <c r="EN175" s="45">
        <v>8.2934095680770827</v>
      </c>
      <c r="EO175" s="45"/>
      <c r="EP175" s="45"/>
      <c r="EQ175" s="45"/>
    </row>
    <row r="176" spans="1:147" s="92" customFormat="1" ht="15" customHeight="1" x14ac:dyDescent="0.25">
      <c r="A176" s="106" t="s">
        <v>653</v>
      </c>
      <c r="B176" s="136" t="s">
        <v>947</v>
      </c>
      <c r="C176" s="106" t="s">
        <v>654</v>
      </c>
      <c r="D176" s="107" t="s">
        <v>851</v>
      </c>
      <c r="E176" s="107" t="s">
        <v>599</v>
      </c>
      <c r="F176" s="118" t="s">
        <v>196</v>
      </c>
      <c r="G176" s="118">
        <v>32</v>
      </c>
      <c r="H176" s="118">
        <v>256</v>
      </c>
      <c r="I176" s="106"/>
      <c r="J176" s="109" t="s">
        <v>233</v>
      </c>
      <c r="K176" s="45">
        <v>14915.983356449377</v>
      </c>
      <c r="L176" s="45">
        <v>5973.0921344250346</v>
      </c>
      <c r="M176" s="45">
        <v>82.906275602069002</v>
      </c>
      <c r="N176" s="45"/>
      <c r="O176" s="45"/>
      <c r="P176" s="45"/>
      <c r="Q176" s="45"/>
      <c r="R176" s="45">
        <v>14865.485666663784</v>
      </c>
      <c r="S176" s="45"/>
      <c r="T176" s="45"/>
      <c r="U176" s="45"/>
      <c r="V176" s="45"/>
      <c r="W176" s="45"/>
      <c r="X176" s="45"/>
      <c r="Y176" s="45"/>
      <c r="Z176" s="45"/>
      <c r="AA176" s="45"/>
      <c r="AB176" s="45"/>
      <c r="AC176" s="45"/>
      <c r="AD176" s="45">
        <v>113585.65400714781</v>
      </c>
      <c r="AE176" s="45">
        <v>99.260063906940843</v>
      </c>
      <c r="AF176" s="45">
        <v>33271.894137166193</v>
      </c>
      <c r="AG176" s="45">
        <v>13139.999333001937</v>
      </c>
      <c r="AH176" s="45"/>
      <c r="AI176" s="45"/>
      <c r="AJ176" s="45">
        <v>5.8303517892607397E-2</v>
      </c>
      <c r="AK176" s="45"/>
      <c r="AL176" s="45">
        <v>1.4203811290413835</v>
      </c>
      <c r="AM176" s="45">
        <v>0.67795589551368207</v>
      </c>
      <c r="AN176" s="45"/>
      <c r="AO176" s="45">
        <v>7.522259842840608</v>
      </c>
      <c r="AP176" s="45">
        <v>2.8356863277298236E-2</v>
      </c>
      <c r="AQ176" s="45">
        <v>0.10496240243521575</v>
      </c>
      <c r="AR176" s="45">
        <v>0.30418287241948949</v>
      </c>
      <c r="AS176" s="45">
        <v>4.3756401276207475</v>
      </c>
      <c r="AT176" s="45">
        <v>7.9998088349482174E-2</v>
      </c>
      <c r="AU176" s="45">
        <v>0.60554246440343307</v>
      </c>
      <c r="AV176" s="45">
        <v>0.16166948820125943</v>
      </c>
      <c r="AW176" s="45">
        <v>5.7145963475068208E-3</v>
      </c>
      <c r="AX176" s="45">
        <v>0.33007532392103323</v>
      </c>
      <c r="AY176" s="45">
        <v>1.2949123675597101E-2</v>
      </c>
      <c r="AZ176" s="45"/>
      <c r="BA176" s="45"/>
      <c r="BB176" s="45"/>
      <c r="BC176" s="45"/>
      <c r="BD176" s="45"/>
      <c r="BE176" s="45"/>
      <c r="BF176" s="45"/>
      <c r="BG176" s="45"/>
      <c r="BH176" s="45"/>
      <c r="BI176" s="45"/>
      <c r="BJ176" s="45"/>
      <c r="BK176" s="45"/>
      <c r="BL176" s="45"/>
      <c r="BM176" s="45"/>
      <c r="BN176" s="45"/>
      <c r="BO176" s="45"/>
      <c r="BP176" s="45">
        <v>6.0980404994561262E-2</v>
      </c>
      <c r="BQ176" s="45">
        <v>0.26447102005339879</v>
      </c>
      <c r="BR176" s="45"/>
      <c r="BS176" s="45"/>
      <c r="BT176" s="45">
        <v>105.26251092653388</v>
      </c>
      <c r="BU176" s="45"/>
      <c r="BV176" s="45">
        <v>3339.7779253962758</v>
      </c>
      <c r="BW176" s="45">
        <v>100.95342566488854</v>
      </c>
      <c r="BX176" s="45"/>
      <c r="BY176" s="45">
        <v>19731.615283725921</v>
      </c>
      <c r="BZ176" s="45">
        <v>1259.0158227888244</v>
      </c>
      <c r="CA176" s="45">
        <v>6.8914471812832341</v>
      </c>
      <c r="CB176" s="45">
        <v>35.989167579048413</v>
      </c>
      <c r="CC176" s="45">
        <v>225784.60003498787</v>
      </c>
      <c r="CD176" s="45">
        <v>123.52521227008282</v>
      </c>
      <c r="CE176" s="45">
        <v>39307.585638603166</v>
      </c>
      <c r="CF176" s="45">
        <v>5228.5679752931073</v>
      </c>
      <c r="CG176" s="45">
        <v>1.0438992414854236</v>
      </c>
      <c r="CH176" s="45">
        <v>25.822562565117515</v>
      </c>
      <c r="CI176" s="45">
        <v>119.49224531356145</v>
      </c>
      <c r="CJ176" s="45"/>
      <c r="CK176" s="45"/>
      <c r="CL176" s="45"/>
      <c r="CM176" s="45"/>
      <c r="CN176" s="45"/>
      <c r="CO176" s="45"/>
      <c r="CP176" s="45"/>
      <c r="CQ176" s="45"/>
      <c r="CR176" s="45"/>
      <c r="CS176" s="45"/>
      <c r="CT176" s="45"/>
      <c r="CU176" s="45"/>
      <c r="CV176" s="45"/>
      <c r="CW176" s="45"/>
      <c r="CX176" s="45"/>
      <c r="CY176" s="45"/>
      <c r="CZ176" s="45">
        <v>13.242142173407531</v>
      </c>
      <c r="DA176" s="45">
        <v>11.713716218225997</v>
      </c>
      <c r="DB176" s="45"/>
      <c r="DC176" s="45"/>
      <c r="DD176" s="45">
        <v>23677430.768377256</v>
      </c>
      <c r="DE176" s="45"/>
      <c r="DF176" s="45">
        <v>136874628.95027626</v>
      </c>
      <c r="DG176" s="45">
        <v>25204216.188626908</v>
      </c>
      <c r="DH176" s="45"/>
      <c r="DI176" s="45">
        <v>1018296175.1345353</v>
      </c>
      <c r="DJ176" s="45">
        <v>114413778.19694868</v>
      </c>
      <c r="DK176" s="45">
        <v>72773756.981969491</v>
      </c>
      <c r="DL176" s="45">
        <v>211788185.03190014</v>
      </c>
      <c r="DM176" s="45">
        <v>447898258.99583912</v>
      </c>
      <c r="DN176" s="45">
        <v>45312076.693481274</v>
      </c>
      <c r="DO176" s="45">
        <v>124338863.40083218</v>
      </c>
      <c r="DP176" s="45">
        <v>97430694.169209436</v>
      </c>
      <c r="DQ176" s="45">
        <v>92772877.492371708</v>
      </c>
      <c r="DR176" s="45">
        <v>104002422.23578364</v>
      </c>
      <c r="DS176" s="45">
        <v>20719846.080443829</v>
      </c>
      <c r="DT176" s="45"/>
      <c r="DU176" s="45"/>
      <c r="DV176" s="45"/>
      <c r="DW176" s="45"/>
      <c r="DX176" s="45"/>
      <c r="DY176" s="45"/>
      <c r="DZ176" s="45"/>
      <c r="EA176" s="45"/>
      <c r="EB176" s="45"/>
      <c r="EC176" s="45"/>
      <c r="ED176" s="45"/>
      <c r="EE176" s="45"/>
      <c r="EF176" s="45"/>
      <c r="EG176" s="45"/>
      <c r="EH176" s="45"/>
      <c r="EI176" s="45"/>
      <c r="EJ176" s="45">
        <v>62813960.87656033</v>
      </c>
      <c r="EK176" s="45">
        <v>26172832.133148406</v>
      </c>
      <c r="EL176" s="45">
        <v>4.6755598235537823</v>
      </c>
      <c r="EM176" s="45">
        <v>9.6684293254523208</v>
      </c>
      <c r="EN176" s="45">
        <v>4.9928819670985911</v>
      </c>
      <c r="EO176" s="45"/>
      <c r="EP176" s="45"/>
      <c r="EQ176" s="45"/>
    </row>
    <row r="177" spans="1:147" s="92" customFormat="1" ht="15" customHeight="1" x14ac:dyDescent="0.25">
      <c r="A177" s="106" t="s">
        <v>655</v>
      </c>
      <c r="B177" s="136" t="s">
        <v>946</v>
      </c>
      <c r="C177" s="106" t="s">
        <v>657</v>
      </c>
      <c r="D177" s="107" t="s">
        <v>533</v>
      </c>
      <c r="E177" s="107" t="s">
        <v>599</v>
      </c>
      <c r="F177" s="118"/>
      <c r="G177" s="118"/>
      <c r="H177" s="118"/>
      <c r="I177" s="106"/>
      <c r="J177" s="109" t="s">
        <v>233</v>
      </c>
      <c r="K177" s="45">
        <v>2961.5644937586685</v>
      </c>
      <c r="L177" s="45">
        <v>6976.0130663668915</v>
      </c>
      <c r="M177" s="45">
        <v>255.05024927292123</v>
      </c>
      <c r="N177" s="45"/>
      <c r="O177" s="45"/>
      <c r="P177" s="45"/>
      <c r="Q177" s="45">
        <v>5.1442704447159748</v>
      </c>
      <c r="R177" s="45"/>
      <c r="S177" s="45"/>
      <c r="T177" s="45"/>
      <c r="U177" s="45">
        <v>73414.904805235186</v>
      </c>
      <c r="V177" s="45"/>
      <c r="W177" s="45"/>
      <c r="X177" s="45"/>
      <c r="Y177" s="45"/>
      <c r="Z177" s="45"/>
      <c r="AA177" s="45">
        <v>101.32284529903843</v>
      </c>
      <c r="AB177" s="45"/>
      <c r="AC177" s="45"/>
      <c r="AD177" s="45"/>
      <c r="AE177" s="45">
        <v>98.535454064096967</v>
      </c>
      <c r="AF177" s="45">
        <v>46467.972739805075</v>
      </c>
      <c r="AG177" s="45">
        <v>21803.583911021968</v>
      </c>
      <c r="AH177" s="45">
        <v>13.74933288125029</v>
      </c>
      <c r="AI177" s="45"/>
      <c r="AJ177" s="45">
        <v>0.1621706927638876</v>
      </c>
      <c r="AK177" s="45"/>
      <c r="AL177" s="45">
        <v>1.5994770997648351</v>
      </c>
      <c r="AM177" s="45">
        <v>9.6252492186790856E-2</v>
      </c>
      <c r="AN177" s="45"/>
      <c r="AO177" s="45">
        <v>17.900928201239957</v>
      </c>
      <c r="AP177" s="45">
        <v>0.10661421447766287</v>
      </c>
      <c r="AQ177" s="45">
        <v>0.24739767039569671</v>
      </c>
      <c r="AR177" s="45">
        <v>0.86666060288290792</v>
      </c>
      <c r="AS177" s="45">
        <v>12.095629388521338</v>
      </c>
      <c r="AT177" s="45">
        <v>0.10133489271506702</v>
      </c>
      <c r="AU177" s="45">
        <v>2.3877553447447672</v>
      </c>
      <c r="AV177" s="45">
        <v>0.4145030882215805</v>
      </c>
      <c r="AW177" s="45"/>
      <c r="AX177" s="45">
        <v>1.1074158654040049</v>
      </c>
      <c r="AY177" s="45">
        <v>4.6483642194365238E-2</v>
      </c>
      <c r="AZ177" s="45"/>
      <c r="BA177" s="45"/>
      <c r="BB177" s="45"/>
      <c r="BC177" s="45"/>
      <c r="BD177" s="45"/>
      <c r="BE177" s="45"/>
      <c r="BF177" s="45"/>
      <c r="BG177" s="45"/>
      <c r="BH177" s="45"/>
      <c r="BI177" s="45"/>
      <c r="BJ177" s="45"/>
      <c r="BK177" s="45"/>
      <c r="BL177" s="45"/>
      <c r="BM177" s="45"/>
      <c r="BN177" s="45"/>
      <c r="BO177" s="45"/>
      <c r="BP177" s="45">
        <v>0.11123133856738777</v>
      </c>
      <c r="BQ177" s="45">
        <v>0.36407643386192512</v>
      </c>
      <c r="BR177" s="45">
        <v>21137.912232364866</v>
      </c>
      <c r="BS177" s="45"/>
      <c r="BT177" s="45">
        <v>81.877260980475981</v>
      </c>
      <c r="BU177" s="45"/>
      <c r="BV177" s="45">
        <v>8013.1186828903928</v>
      </c>
      <c r="BW177" s="45">
        <v>23.883316375039112</v>
      </c>
      <c r="BX177" s="45"/>
      <c r="BY177" s="45">
        <v>56407.404421081745</v>
      </c>
      <c r="BZ177" s="45">
        <v>1596.4062813627099</v>
      </c>
      <c r="CA177" s="45">
        <v>141.21896894653889</v>
      </c>
      <c r="CB177" s="45">
        <v>1622.1898317407604</v>
      </c>
      <c r="CC177" s="45">
        <v>206643.88310212272</v>
      </c>
      <c r="CD177" s="45">
        <v>7219.1706507737954</v>
      </c>
      <c r="CE177" s="45">
        <v>126300.81102978761</v>
      </c>
      <c r="CF177" s="45">
        <v>8530.4546465593048</v>
      </c>
      <c r="CG177" s="45"/>
      <c r="CH177" s="45">
        <v>31.858839974175762</v>
      </c>
      <c r="CI177" s="45">
        <v>167.86949578652505</v>
      </c>
      <c r="CJ177" s="45"/>
      <c r="CK177" s="45"/>
      <c r="CL177" s="45"/>
      <c r="CM177" s="45"/>
      <c r="CN177" s="45"/>
      <c r="CO177" s="45"/>
      <c r="CP177" s="45"/>
      <c r="CQ177" s="45"/>
      <c r="CR177" s="45"/>
      <c r="CS177" s="45"/>
      <c r="CT177" s="45"/>
      <c r="CU177" s="45"/>
      <c r="CV177" s="45"/>
      <c r="CW177" s="45"/>
      <c r="CX177" s="45"/>
      <c r="CY177" s="45"/>
      <c r="CZ177" s="45">
        <v>13.476302492262866</v>
      </c>
      <c r="DA177" s="45">
        <v>17.62519019467187</v>
      </c>
      <c r="DB177" s="45">
        <v>1219516680.1664355</v>
      </c>
      <c r="DC177" s="45"/>
      <c r="DD177" s="45">
        <v>23503955.794729542</v>
      </c>
      <c r="DE177" s="45"/>
      <c r="DF177" s="45">
        <v>261403555.68377253</v>
      </c>
      <c r="DG177" s="45">
        <v>33364033.33148405</v>
      </c>
      <c r="DH177" s="45"/>
      <c r="DI177" s="45">
        <v>1421615399.4119279</v>
      </c>
      <c r="DJ177" s="45">
        <v>149545022.49098474</v>
      </c>
      <c r="DK177" s="45">
        <v>106698158.33564493</v>
      </c>
      <c r="DL177" s="45">
        <v>255195689.89736477</v>
      </c>
      <c r="DM177" s="45">
        <v>385957086.97919554</v>
      </c>
      <c r="DN177" s="45">
        <v>91957040.643550619</v>
      </c>
      <c r="DO177" s="45">
        <v>149945515.85020804</v>
      </c>
      <c r="DP177" s="45">
        <v>99877386.651872396</v>
      </c>
      <c r="DQ177" s="45"/>
      <c r="DR177" s="45">
        <v>120663291.38418862</v>
      </c>
      <c r="DS177" s="45">
        <v>23359226.674063802</v>
      </c>
      <c r="DT177" s="45"/>
      <c r="DU177" s="45"/>
      <c r="DV177" s="45"/>
      <c r="DW177" s="45"/>
      <c r="DX177" s="45"/>
      <c r="DY177" s="45"/>
      <c r="DZ177" s="45"/>
      <c r="EA177" s="45"/>
      <c r="EB177" s="45"/>
      <c r="EC177" s="45"/>
      <c r="ED177" s="45"/>
      <c r="EE177" s="45"/>
      <c r="EF177" s="45"/>
      <c r="EG177" s="45"/>
      <c r="EH177" s="45"/>
      <c r="EI177" s="45"/>
      <c r="EJ177" s="45">
        <v>64749692.981969483</v>
      </c>
      <c r="EK177" s="45">
        <v>27190548.948682386</v>
      </c>
      <c r="EL177" s="45">
        <v>8.5157956558069756</v>
      </c>
      <c r="EM177" s="45">
        <v>16.25886385293019</v>
      </c>
      <c r="EN177" s="45">
        <v>7.7426198535460014</v>
      </c>
      <c r="EO177" s="45"/>
      <c r="EP177" s="45"/>
      <c r="EQ177" s="45"/>
    </row>
    <row r="178" spans="1:147" s="92" customFormat="1" ht="15" customHeight="1" x14ac:dyDescent="0.25">
      <c r="A178" s="102" t="s">
        <v>656</v>
      </c>
      <c r="B178" s="137"/>
      <c r="C178" s="102" t="s">
        <v>658</v>
      </c>
      <c r="D178" s="103"/>
      <c r="E178" s="103"/>
      <c r="F178" s="119"/>
      <c r="G178" s="119"/>
      <c r="H178" s="119"/>
      <c r="I178" s="102"/>
      <c r="J178" s="114" t="s">
        <v>531</v>
      </c>
      <c r="K178" s="45"/>
      <c r="L178" s="45"/>
      <c r="M178" s="45"/>
      <c r="N178" s="45"/>
      <c r="O178" s="45"/>
      <c r="P178" s="45"/>
      <c r="Q178" s="45"/>
      <c r="R178" s="45"/>
      <c r="S178" s="45"/>
      <c r="T178" s="45"/>
      <c r="U178" s="45"/>
      <c r="V178" s="45"/>
      <c r="W178" s="45"/>
      <c r="X178" s="45"/>
      <c r="Y178" s="45"/>
      <c r="Z178" s="45"/>
      <c r="AA178" s="45"/>
      <c r="AB178" s="45"/>
      <c r="AC178" s="45"/>
      <c r="AD178" s="45"/>
      <c r="AE178" s="45"/>
      <c r="AF178" s="45"/>
      <c r="AG178" s="45"/>
      <c r="AH178" s="45"/>
      <c r="AI178" s="45"/>
      <c r="AJ178" s="45"/>
      <c r="AK178" s="45"/>
      <c r="AL178" s="45"/>
      <c r="AM178" s="45"/>
      <c r="AN178" s="45"/>
      <c r="AO178" s="45"/>
      <c r="AP178" s="45"/>
      <c r="AQ178" s="45"/>
      <c r="AR178" s="45"/>
      <c r="AS178" s="45"/>
      <c r="AT178" s="45"/>
      <c r="AU178" s="45"/>
      <c r="AV178" s="45"/>
      <c r="AW178" s="45"/>
      <c r="AX178" s="45"/>
      <c r="AY178" s="45"/>
      <c r="AZ178" s="45"/>
      <c r="BA178" s="45"/>
      <c r="BB178" s="45"/>
      <c r="BC178" s="45"/>
      <c r="BD178" s="45"/>
      <c r="BE178" s="45"/>
      <c r="BF178" s="45"/>
      <c r="BG178" s="45"/>
      <c r="BH178" s="45"/>
      <c r="BI178" s="45"/>
      <c r="BJ178" s="45"/>
      <c r="BK178" s="45"/>
      <c r="BL178" s="45"/>
      <c r="BM178" s="45"/>
      <c r="BN178" s="45"/>
      <c r="BO178" s="45"/>
      <c r="BP178" s="45"/>
      <c r="BQ178" s="45"/>
      <c r="BR178" s="45"/>
      <c r="BS178" s="45"/>
      <c r="BT178" s="45"/>
      <c r="BU178" s="45"/>
      <c r="BV178" s="45"/>
      <c r="BW178" s="45"/>
      <c r="BX178" s="45"/>
      <c r="BY178" s="45"/>
      <c r="BZ178" s="45"/>
      <c r="CA178" s="45"/>
      <c r="CB178" s="45"/>
      <c r="CC178" s="45"/>
      <c r="CD178" s="45"/>
      <c r="CE178" s="45"/>
      <c r="CF178" s="45"/>
      <c r="CG178" s="45"/>
      <c r="CH178" s="45"/>
      <c r="CI178" s="45"/>
      <c r="CJ178" s="45"/>
      <c r="CK178" s="45"/>
      <c r="CL178" s="45"/>
      <c r="CM178" s="45"/>
      <c r="CN178" s="45"/>
      <c r="CO178" s="45"/>
      <c r="CP178" s="45"/>
      <c r="CQ178" s="45"/>
      <c r="CR178" s="45"/>
      <c r="CS178" s="45"/>
      <c r="CT178" s="45"/>
      <c r="CU178" s="45"/>
      <c r="CV178" s="45"/>
      <c r="CW178" s="45"/>
      <c r="CX178" s="45"/>
      <c r="CY178" s="45"/>
      <c r="CZ178" s="45"/>
      <c r="DA178" s="45"/>
      <c r="DB178" s="45"/>
      <c r="DC178" s="45"/>
      <c r="DD178" s="45"/>
      <c r="DE178" s="45"/>
      <c r="DF178" s="45"/>
      <c r="DG178" s="45"/>
      <c r="DH178" s="45"/>
      <c r="DI178" s="45"/>
      <c r="DJ178" s="45"/>
      <c r="DK178" s="45"/>
      <c r="DL178" s="45"/>
      <c r="DM178" s="45"/>
      <c r="DN178" s="45"/>
      <c r="DO178" s="45"/>
      <c r="DP178" s="45"/>
      <c r="DQ178" s="45"/>
      <c r="DR178" s="45"/>
      <c r="DS178" s="45"/>
      <c r="DT178" s="45"/>
      <c r="DU178" s="45"/>
      <c r="DV178" s="45"/>
      <c r="DW178" s="45"/>
      <c r="DX178" s="45"/>
      <c r="DY178" s="45"/>
      <c r="DZ178" s="45"/>
      <c r="EA178" s="45"/>
      <c r="EB178" s="45"/>
      <c r="EC178" s="45"/>
      <c r="ED178" s="45"/>
      <c r="EE178" s="45"/>
      <c r="EF178" s="45"/>
      <c r="EG178" s="45"/>
      <c r="EH178" s="45"/>
      <c r="EI178" s="45"/>
      <c r="EJ178" s="45"/>
      <c r="EK178" s="45"/>
      <c r="EL178" s="45"/>
      <c r="EM178" s="45"/>
      <c r="EN178" s="45"/>
      <c r="EO178" s="45"/>
      <c r="EP178" s="45"/>
      <c r="EQ178" s="45"/>
    </row>
    <row r="179" spans="1:147" s="92" customFormat="1" ht="15" customHeight="1" x14ac:dyDescent="0.25">
      <c r="A179" s="102" t="s">
        <v>659</v>
      </c>
      <c r="B179" s="137"/>
      <c r="C179" s="102" t="s">
        <v>661</v>
      </c>
      <c r="D179" s="103"/>
      <c r="E179" s="103"/>
      <c r="F179" s="119"/>
      <c r="G179" s="119"/>
      <c r="H179" s="119"/>
      <c r="I179" s="102"/>
      <c r="J179" s="114" t="s">
        <v>531</v>
      </c>
      <c r="K179" s="45"/>
      <c r="L179" s="45"/>
      <c r="M179" s="45"/>
      <c r="N179" s="45"/>
      <c r="O179" s="45"/>
      <c r="P179" s="45"/>
      <c r="Q179" s="45"/>
      <c r="R179" s="45"/>
      <c r="S179" s="45"/>
      <c r="T179" s="45"/>
      <c r="U179" s="45"/>
      <c r="V179" s="45"/>
      <c r="W179" s="45"/>
      <c r="X179" s="45"/>
      <c r="Y179" s="45"/>
      <c r="Z179" s="45"/>
      <c r="AA179" s="45"/>
      <c r="AB179" s="45"/>
      <c r="AC179" s="45"/>
      <c r="AD179" s="45"/>
      <c r="AE179" s="45"/>
      <c r="AF179" s="45"/>
      <c r="AG179" s="45"/>
      <c r="AH179" s="45"/>
      <c r="AI179" s="45"/>
      <c r="AJ179" s="45"/>
      <c r="AK179" s="45"/>
      <c r="AL179" s="45"/>
      <c r="AM179" s="45"/>
      <c r="AN179" s="45"/>
      <c r="AO179" s="45"/>
      <c r="AP179" s="45"/>
      <c r="AQ179" s="45"/>
      <c r="AR179" s="45"/>
      <c r="AS179" s="45"/>
      <c r="AT179" s="45"/>
      <c r="AU179" s="45"/>
      <c r="AV179" s="45"/>
      <c r="AW179" s="45"/>
      <c r="AX179" s="45"/>
      <c r="AY179" s="45"/>
      <c r="AZ179" s="45"/>
      <c r="BA179" s="45"/>
      <c r="BB179" s="45"/>
      <c r="BC179" s="45"/>
      <c r="BD179" s="45"/>
      <c r="BE179" s="45"/>
      <c r="BF179" s="45"/>
      <c r="BG179" s="45"/>
      <c r="BH179" s="45"/>
      <c r="BI179" s="45"/>
      <c r="BJ179" s="45"/>
      <c r="BK179" s="45"/>
      <c r="BL179" s="45"/>
      <c r="BM179" s="45"/>
      <c r="BN179" s="45"/>
      <c r="BO179" s="45"/>
      <c r="BP179" s="45"/>
      <c r="BQ179" s="45"/>
      <c r="BR179" s="45"/>
      <c r="BS179" s="45"/>
      <c r="BT179" s="45"/>
      <c r="BU179" s="45"/>
      <c r="BV179" s="45"/>
      <c r="BW179" s="45"/>
      <c r="BX179" s="45"/>
      <c r="BY179" s="45"/>
      <c r="BZ179" s="45"/>
      <c r="CA179" s="45"/>
      <c r="CB179" s="45"/>
      <c r="CC179" s="45"/>
      <c r="CD179" s="45"/>
      <c r="CE179" s="45"/>
      <c r="CF179" s="45"/>
      <c r="CG179" s="45"/>
      <c r="CH179" s="45"/>
      <c r="CI179" s="45"/>
      <c r="CJ179" s="45"/>
      <c r="CK179" s="45"/>
      <c r="CL179" s="45"/>
      <c r="CM179" s="45"/>
      <c r="CN179" s="45"/>
      <c r="CO179" s="45"/>
      <c r="CP179" s="45"/>
      <c r="CQ179" s="45"/>
      <c r="CR179" s="45"/>
      <c r="CS179" s="45"/>
      <c r="CT179" s="45"/>
      <c r="CU179" s="45"/>
      <c r="CV179" s="45"/>
      <c r="CW179" s="45"/>
      <c r="CX179" s="45"/>
      <c r="CY179" s="45"/>
      <c r="CZ179" s="45"/>
      <c r="DA179" s="45"/>
      <c r="DB179" s="45"/>
      <c r="DC179" s="45"/>
      <c r="DD179" s="45"/>
      <c r="DE179" s="45"/>
      <c r="DF179" s="45"/>
      <c r="DG179" s="45"/>
      <c r="DH179" s="45"/>
      <c r="DI179" s="45"/>
      <c r="DJ179" s="45"/>
      <c r="DK179" s="45"/>
      <c r="DL179" s="45"/>
      <c r="DM179" s="45"/>
      <c r="DN179" s="45"/>
      <c r="DO179" s="45"/>
      <c r="DP179" s="45"/>
      <c r="DQ179" s="45"/>
      <c r="DR179" s="45"/>
      <c r="DS179" s="45"/>
      <c r="DT179" s="45"/>
      <c r="DU179" s="45"/>
      <c r="DV179" s="45"/>
      <c r="DW179" s="45"/>
      <c r="DX179" s="45"/>
      <c r="DY179" s="45"/>
      <c r="DZ179" s="45"/>
      <c r="EA179" s="45"/>
      <c r="EB179" s="45"/>
      <c r="EC179" s="45"/>
      <c r="ED179" s="45"/>
      <c r="EE179" s="45"/>
      <c r="EF179" s="45"/>
      <c r="EG179" s="45"/>
      <c r="EH179" s="45"/>
      <c r="EI179" s="45"/>
      <c r="EJ179" s="45"/>
      <c r="EK179" s="45"/>
      <c r="EL179" s="45"/>
      <c r="EM179" s="45"/>
      <c r="EN179" s="45"/>
      <c r="EO179" s="45"/>
      <c r="EP179" s="45"/>
      <c r="EQ179" s="45"/>
    </row>
    <row r="180" spans="1:147" s="92" customFormat="1" ht="15" customHeight="1" x14ac:dyDescent="0.25">
      <c r="A180" s="106" t="s">
        <v>660</v>
      </c>
      <c r="B180" s="136" t="s">
        <v>945</v>
      </c>
      <c r="C180" s="106" t="s">
        <v>652</v>
      </c>
      <c r="D180" s="107" t="s">
        <v>532</v>
      </c>
      <c r="E180" s="107"/>
      <c r="F180" s="118"/>
      <c r="G180" s="118"/>
      <c r="H180" s="118"/>
      <c r="I180" s="106"/>
      <c r="J180" s="109" t="s">
        <v>233</v>
      </c>
      <c r="K180" s="45">
        <v>3187.6296809986129</v>
      </c>
      <c r="L180" s="45">
        <v>5316.7458367143263</v>
      </c>
      <c r="M180" s="45">
        <v>109.67002711742839</v>
      </c>
      <c r="N180" s="45"/>
      <c r="O180" s="45"/>
      <c r="P180" s="45"/>
      <c r="Q180" s="45">
        <v>4.0246723658960919E-2</v>
      </c>
      <c r="R180" s="45">
        <v>4541.8999403311173</v>
      </c>
      <c r="S180" s="45"/>
      <c r="T180" s="45"/>
      <c r="U180" s="45"/>
      <c r="V180" s="45"/>
      <c r="W180" s="45"/>
      <c r="X180" s="45"/>
      <c r="Y180" s="45"/>
      <c r="Z180" s="45"/>
      <c r="AA180" s="45">
        <v>18596.086815694845</v>
      </c>
      <c r="AB180" s="45"/>
      <c r="AC180" s="45"/>
      <c r="AD180" s="45"/>
      <c r="AE180" s="45">
        <v>98.986092561094679</v>
      </c>
      <c r="AF180" s="45">
        <v>43386.466288459495</v>
      </c>
      <c r="AG180" s="45">
        <v>13262.366545695348</v>
      </c>
      <c r="AH180" s="45">
        <v>0.27033356849785378</v>
      </c>
      <c r="AI180" s="45"/>
      <c r="AJ180" s="45">
        <v>5.8956263431995844E-2</v>
      </c>
      <c r="AK180" s="45"/>
      <c r="AL180" s="45">
        <v>1.2689008236297579</v>
      </c>
      <c r="AM180" s="45">
        <v>0.79333866324309066</v>
      </c>
      <c r="AN180" s="45"/>
      <c r="AO180" s="45">
        <v>12.109402257584776</v>
      </c>
      <c r="AP180" s="45">
        <v>4.6802251468791439E-2</v>
      </c>
      <c r="AQ180" s="45">
        <v>9.7077891143865253E-2</v>
      </c>
      <c r="AR180" s="45">
        <v>0.35453208308600381</v>
      </c>
      <c r="AS180" s="45">
        <v>6.1478014776489216</v>
      </c>
      <c r="AT180" s="45">
        <v>4.3264225625094369E-2</v>
      </c>
      <c r="AU180" s="45">
        <v>0.29464319899577807</v>
      </c>
      <c r="AV180" s="45">
        <v>0.12767841062480395</v>
      </c>
      <c r="AW180" s="45"/>
      <c r="AX180" s="45">
        <v>0.23119961162364375</v>
      </c>
      <c r="AY180" s="45">
        <v>4.6950047496659202E-2</v>
      </c>
      <c r="AZ180" s="45">
        <v>0.12572476921206824</v>
      </c>
      <c r="BA180" s="45"/>
      <c r="BB180" s="45"/>
      <c r="BC180" s="45"/>
      <c r="BD180" s="45"/>
      <c r="BE180" s="45"/>
      <c r="BF180" s="45"/>
      <c r="BG180" s="45"/>
      <c r="BH180" s="45"/>
      <c r="BI180" s="45"/>
      <c r="BJ180" s="45"/>
      <c r="BK180" s="45"/>
      <c r="BL180" s="45"/>
      <c r="BM180" s="45"/>
      <c r="BN180" s="45"/>
      <c r="BO180" s="45"/>
      <c r="BP180" s="45">
        <v>6.5901584857327486E-2</v>
      </c>
      <c r="BQ180" s="45">
        <v>0.71405012324422645</v>
      </c>
      <c r="BR180" s="45">
        <v>1043.2109339577898</v>
      </c>
      <c r="BS180" s="45"/>
      <c r="BT180" s="45">
        <v>87.720348841855184</v>
      </c>
      <c r="BU180" s="45"/>
      <c r="BV180" s="45">
        <v>0</v>
      </c>
      <c r="BW180" s="45">
        <v>123.95455901984172</v>
      </c>
      <c r="BX180" s="45"/>
      <c r="BY180" s="45">
        <v>82577.946989108401</v>
      </c>
      <c r="BZ180" s="45">
        <v>3116.4523447202391</v>
      </c>
      <c r="CA180" s="45">
        <v>7.6026566793138413</v>
      </c>
      <c r="CB180" s="45">
        <v>12.392985263121338</v>
      </c>
      <c r="CC180" s="45">
        <v>201488.88730799116</v>
      </c>
      <c r="CD180" s="45">
        <v>153.2428827485393</v>
      </c>
      <c r="CE180" s="45">
        <v>4633.2425470972885</v>
      </c>
      <c r="CF180" s="45">
        <v>2061.0188125537093</v>
      </c>
      <c r="CG180" s="45"/>
      <c r="CH180" s="45">
        <v>24.496447381353335</v>
      </c>
      <c r="CI180" s="45">
        <v>122.35787804718716</v>
      </c>
      <c r="CJ180" s="45">
        <v>372.68453328758892</v>
      </c>
      <c r="CK180" s="45"/>
      <c r="CL180" s="45"/>
      <c r="CM180" s="45"/>
      <c r="CN180" s="45"/>
      <c r="CO180" s="45"/>
      <c r="CP180" s="45"/>
      <c r="CQ180" s="45"/>
      <c r="CR180" s="45"/>
      <c r="CS180" s="45"/>
      <c r="CT180" s="45"/>
      <c r="CU180" s="45"/>
      <c r="CV180" s="45"/>
      <c r="CW180" s="45"/>
      <c r="CX180" s="45"/>
      <c r="CY180" s="45"/>
      <c r="CZ180" s="45">
        <v>13.239138907629455</v>
      </c>
      <c r="DA180" s="45">
        <v>11.980584592945752</v>
      </c>
      <c r="DB180" s="45">
        <v>526947190.23578364</v>
      </c>
      <c r="DC180" s="45"/>
      <c r="DD180" s="45">
        <v>23041113.475728154</v>
      </c>
      <c r="DE180" s="45"/>
      <c r="DF180" s="45">
        <v>422428456.12205273</v>
      </c>
      <c r="DG180" s="45">
        <v>57682871.567267686</v>
      </c>
      <c r="DH180" s="45"/>
      <c r="DI180" s="45">
        <v>1652946742.3245492</v>
      </c>
      <c r="DJ180" s="45">
        <v>140937906.24133149</v>
      </c>
      <c r="DK180" s="45">
        <v>93984202.740638003</v>
      </c>
      <c r="DL180" s="45">
        <v>196940139.58391124</v>
      </c>
      <c r="DM180" s="45">
        <v>372119231.02357835</v>
      </c>
      <c r="DN180" s="45">
        <v>45497521.53120666</v>
      </c>
      <c r="DO180" s="45">
        <v>231164560.15533981</v>
      </c>
      <c r="DP180" s="45">
        <v>97654661.858529821</v>
      </c>
      <c r="DQ180" s="45"/>
      <c r="DR180" s="45">
        <v>122630092.87101248</v>
      </c>
      <c r="DS180" s="45">
        <v>22376073.054091539</v>
      </c>
      <c r="DT180" s="45">
        <v>442169682.01941746</v>
      </c>
      <c r="DU180" s="45"/>
      <c r="DV180" s="45"/>
      <c r="DW180" s="45"/>
      <c r="DX180" s="45"/>
      <c r="DY180" s="45"/>
      <c r="DZ180" s="45"/>
      <c r="EA180" s="45"/>
      <c r="EB180" s="45"/>
      <c r="EC180" s="45"/>
      <c r="ED180" s="45"/>
      <c r="EE180" s="45"/>
      <c r="EF180" s="45"/>
      <c r="EG180" s="45"/>
      <c r="EH180" s="45"/>
      <c r="EI180" s="45"/>
      <c r="EJ180" s="45">
        <v>69905381.015256584</v>
      </c>
      <c r="EK180" s="45">
        <v>28384876.649098475</v>
      </c>
      <c r="EL180" s="45">
        <v>5.5314636085325457</v>
      </c>
      <c r="EM180" s="45">
        <v>9.7270876789148506</v>
      </c>
      <c r="EN180" s="45">
        <v>4.1964260914364431</v>
      </c>
      <c r="EO180" s="45"/>
      <c r="EP180" s="45"/>
      <c r="EQ180" s="45"/>
    </row>
    <row r="181" spans="1:147" s="92" customFormat="1" ht="15" customHeight="1" x14ac:dyDescent="0.25">
      <c r="A181" s="106" t="s">
        <v>662</v>
      </c>
      <c r="B181" s="136" t="s">
        <v>944</v>
      </c>
      <c r="C181" s="106" t="s">
        <v>663</v>
      </c>
      <c r="D181" s="107" t="s">
        <v>533</v>
      </c>
      <c r="E181" s="107"/>
      <c r="F181" s="118"/>
      <c r="G181" s="118"/>
      <c r="H181" s="118"/>
      <c r="I181" s="106"/>
      <c r="J181" s="109" t="s">
        <v>233</v>
      </c>
      <c r="K181" s="45">
        <v>15072.557558945908</v>
      </c>
      <c r="L181" s="45">
        <v>6687.6201561770185</v>
      </c>
      <c r="M181" s="45">
        <v>70.583873852255309</v>
      </c>
      <c r="N181" s="45"/>
      <c r="O181" s="45"/>
      <c r="P181" s="45"/>
      <c r="Q181" s="45">
        <v>6.1733273665161192</v>
      </c>
      <c r="R181" s="45"/>
      <c r="S181" s="45"/>
      <c r="T181" s="45"/>
      <c r="U181" s="45">
        <v>73708.239642508037</v>
      </c>
      <c r="V181" s="45"/>
      <c r="W181" s="45"/>
      <c r="X181" s="45"/>
      <c r="Y181" s="45"/>
      <c r="Z181" s="45"/>
      <c r="AA181" s="45"/>
      <c r="AB181" s="45"/>
      <c r="AC181" s="45"/>
      <c r="AD181" s="45"/>
      <c r="AE181" s="45">
        <v>99.098083416398879</v>
      </c>
      <c r="AF181" s="45">
        <v>23688.814014822601</v>
      </c>
      <c r="AG181" s="45">
        <v>13584.548112320708</v>
      </c>
      <c r="AH181" s="45">
        <v>2.1101564738444476</v>
      </c>
      <c r="AI181" s="45"/>
      <c r="AJ181" s="45">
        <v>3.6239777488060398E-2</v>
      </c>
      <c r="AK181" s="45"/>
      <c r="AL181" s="45">
        <v>1.093012953982283</v>
      </c>
      <c r="AM181" s="45">
        <v>4.9115742810601812E-2</v>
      </c>
      <c r="AN181" s="45"/>
      <c r="AO181" s="45">
        <v>12.091752538521233</v>
      </c>
      <c r="AP181" s="45">
        <v>1.6566947315967088E-2</v>
      </c>
      <c r="AQ181" s="45">
        <v>6.7056230817831547E-2</v>
      </c>
      <c r="AR181" s="45">
        <v>0.36321102796784349</v>
      </c>
      <c r="AS181" s="45">
        <v>5.0701185978978796</v>
      </c>
      <c r="AT181" s="45">
        <v>1.4322384499017052E-2</v>
      </c>
      <c r="AU181" s="45">
        <v>1.0987659336819793</v>
      </c>
      <c r="AV181" s="45">
        <v>0.73475755018865685</v>
      </c>
      <c r="AW181" s="45">
        <v>2.6040139990005113E-3</v>
      </c>
      <c r="AX181" s="45">
        <v>0.37305312532898721</v>
      </c>
      <c r="AY181" s="45">
        <v>2.7125621729068169E-2</v>
      </c>
      <c r="AZ181" s="45"/>
      <c r="BA181" s="45"/>
      <c r="BB181" s="45"/>
      <c r="BC181" s="45"/>
      <c r="BD181" s="45"/>
      <c r="BE181" s="45"/>
      <c r="BF181" s="45"/>
      <c r="BG181" s="45"/>
      <c r="BH181" s="45"/>
      <c r="BI181" s="45"/>
      <c r="BJ181" s="45"/>
      <c r="BK181" s="45"/>
      <c r="BL181" s="45"/>
      <c r="BM181" s="45"/>
      <c r="BN181" s="45"/>
      <c r="BO181" s="45"/>
      <c r="BP181" s="45">
        <v>3.8917156436490775E-2</v>
      </c>
      <c r="BQ181" s="45">
        <v>0.13512613256196521</v>
      </c>
      <c r="BR181" s="45">
        <v>3225.2755481269382</v>
      </c>
      <c r="BS181" s="45"/>
      <c r="BT181" s="45">
        <v>102.32036630998218</v>
      </c>
      <c r="BU181" s="45"/>
      <c r="BV181" s="45">
        <v>4897.9409183055386</v>
      </c>
      <c r="BW181" s="45">
        <v>23.293938490803136</v>
      </c>
      <c r="BX181" s="45"/>
      <c r="BY181" s="45">
        <v>38667.94858693039</v>
      </c>
      <c r="BZ181" s="45">
        <v>427.97689238757653</v>
      </c>
      <c r="CA181" s="45">
        <v>6.890901177213383</v>
      </c>
      <c r="CB181" s="45">
        <v>10190.371949882054</v>
      </c>
      <c r="CC181" s="45">
        <v>542946.63991423754</v>
      </c>
      <c r="CD181" s="45">
        <v>149.96952869885294</v>
      </c>
      <c r="CE181" s="45">
        <v>85036.743077533654</v>
      </c>
      <c r="CF181" s="45">
        <v>7369.2918251755891</v>
      </c>
      <c r="CG181" s="45">
        <v>0.68129160385516896</v>
      </c>
      <c r="CH181" s="45">
        <v>23.40636940500999</v>
      </c>
      <c r="CI181" s="45">
        <v>721.52651135729366</v>
      </c>
      <c r="CJ181" s="45"/>
      <c r="CK181" s="45"/>
      <c r="CL181" s="45"/>
      <c r="CM181" s="45"/>
      <c r="CN181" s="45"/>
      <c r="CO181" s="45"/>
      <c r="CP181" s="45"/>
      <c r="CQ181" s="45"/>
      <c r="CR181" s="45"/>
      <c r="CS181" s="45"/>
      <c r="CT181" s="45"/>
      <c r="CU181" s="45"/>
      <c r="CV181" s="45"/>
      <c r="CW181" s="45"/>
      <c r="CX181" s="45"/>
      <c r="CY181" s="45"/>
      <c r="CZ181" s="45">
        <v>13.329402623001275</v>
      </c>
      <c r="DA181" s="45">
        <v>1.215959701446697</v>
      </c>
      <c r="DB181" s="45">
        <v>431618005.03496504</v>
      </c>
      <c r="DC181" s="45"/>
      <c r="DD181" s="45">
        <v>21730785.464632455</v>
      </c>
      <c r="DE181" s="45"/>
      <c r="DF181" s="45">
        <v>154997248.77224737</v>
      </c>
      <c r="DG181" s="45">
        <v>17179674.984743413</v>
      </c>
      <c r="DH181" s="45"/>
      <c r="DI181" s="45">
        <v>1474513137.442441</v>
      </c>
      <c r="DJ181" s="45">
        <v>110306370.75173371</v>
      </c>
      <c r="DK181" s="45">
        <v>70215160.1886269</v>
      </c>
      <c r="DL181" s="45">
        <v>277964473.34257972</v>
      </c>
      <c r="DM181" s="45">
        <v>366036176.77669901</v>
      </c>
      <c r="DN181" s="45">
        <v>44164327.500693478</v>
      </c>
      <c r="DO181" s="45">
        <v>232280819.57281554</v>
      </c>
      <c r="DP181" s="45">
        <v>100135303.9889043</v>
      </c>
      <c r="DQ181" s="45">
        <v>93036424.699029133</v>
      </c>
      <c r="DR181" s="45">
        <v>113930904.67683773</v>
      </c>
      <c r="DS181" s="45">
        <v>21044435.617198337</v>
      </c>
      <c r="DT181" s="45"/>
      <c r="DU181" s="45"/>
      <c r="DV181" s="45"/>
      <c r="DW181" s="45"/>
      <c r="DX181" s="45"/>
      <c r="DY181" s="45"/>
      <c r="DZ181" s="45"/>
      <c r="EA181" s="45"/>
      <c r="EB181" s="45"/>
      <c r="EC181" s="45"/>
      <c r="ED181" s="45"/>
      <c r="EE181" s="45"/>
      <c r="EF181" s="45"/>
      <c r="EG181" s="45"/>
      <c r="EH181" s="45"/>
      <c r="EI181" s="45"/>
      <c r="EJ181" s="45">
        <v>63614459.029126212</v>
      </c>
      <c r="EK181" s="45">
        <v>25045074.37447989</v>
      </c>
      <c r="EL181" s="45">
        <v>7.8753235690601606</v>
      </c>
      <c r="EM181" s="45">
        <v>16.761107691295241</v>
      </c>
      <c r="EN181" s="45">
        <v>8.8849941241031249</v>
      </c>
      <c r="EO181" s="45"/>
      <c r="EP181" s="45"/>
      <c r="EQ181" s="45"/>
    </row>
    <row r="182" spans="1:147" s="92" customFormat="1" ht="15" customHeight="1" x14ac:dyDescent="0.25">
      <c r="A182" s="106" t="s">
        <v>664</v>
      </c>
      <c r="B182" s="136" t="s">
        <v>943</v>
      </c>
      <c r="C182" s="106" t="s">
        <v>665</v>
      </c>
      <c r="D182" s="107" t="s">
        <v>532</v>
      </c>
      <c r="E182" s="107"/>
      <c r="F182" s="118"/>
      <c r="G182" s="118"/>
      <c r="H182" s="118"/>
      <c r="I182" s="106"/>
      <c r="J182" s="109" t="s">
        <v>233</v>
      </c>
      <c r="K182" s="45">
        <v>15722.937586685159</v>
      </c>
      <c r="L182" s="45">
        <v>8194.5380898726507</v>
      </c>
      <c r="M182" s="45">
        <v>67.379344720809598</v>
      </c>
      <c r="N182" s="45"/>
      <c r="O182" s="45"/>
      <c r="P182" s="45"/>
      <c r="Q182" s="45">
        <v>6.630743523696184</v>
      </c>
      <c r="R182" s="45"/>
      <c r="S182" s="45"/>
      <c r="T182" s="45"/>
      <c r="U182" s="45">
        <v>90687.877406499945</v>
      </c>
      <c r="V182" s="45"/>
      <c r="W182" s="45"/>
      <c r="X182" s="45"/>
      <c r="Y182" s="45"/>
      <c r="Z182" s="45"/>
      <c r="AA182" s="45"/>
      <c r="AB182" s="45"/>
      <c r="AC182" s="45"/>
      <c r="AD182" s="45"/>
      <c r="AE182" s="45">
        <v>99.281107767643519</v>
      </c>
      <c r="AF182" s="45">
        <v>29200.068070299239</v>
      </c>
      <c r="AG182" s="45">
        <v>14726.496006951154</v>
      </c>
      <c r="AH182" s="45">
        <v>0.40181377080217057</v>
      </c>
      <c r="AI182" s="45"/>
      <c r="AJ182" s="45">
        <v>3.5159994681836025E-2</v>
      </c>
      <c r="AK182" s="45"/>
      <c r="AL182" s="45">
        <v>1.3743954473776345</v>
      </c>
      <c r="AM182" s="45">
        <v>5.2097021315732149E-2</v>
      </c>
      <c r="AN182" s="45"/>
      <c r="AO182" s="45">
        <v>14.150130062485692</v>
      </c>
      <c r="AP182" s="45">
        <v>0.48781805261525929</v>
      </c>
      <c r="AQ182" s="45">
        <v>9.2835100220267641E-2</v>
      </c>
      <c r="AR182" s="45">
        <v>0.61742074483025278</v>
      </c>
      <c r="AS182" s="45">
        <v>5.3969539021883977</v>
      </c>
      <c r="AT182" s="45">
        <v>2.879162122576524E-2</v>
      </c>
      <c r="AU182" s="45">
        <v>1.9352398357106453</v>
      </c>
      <c r="AV182" s="45">
        <v>0.25469881943292988</v>
      </c>
      <c r="AW182" s="45">
        <v>2.7452304164108099E-3</v>
      </c>
      <c r="AX182" s="45">
        <v>0.43446075188962058</v>
      </c>
      <c r="AY182" s="45">
        <v>3.0022754270900301E-2</v>
      </c>
      <c r="AZ182" s="45"/>
      <c r="BA182" s="45"/>
      <c r="BB182" s="45"/>
      <c r="BC182" s="45"/>
      <c r="BD182" s="45"/>
      <c r="BE182" s="45"/>
      <c r="BF182" s="45"/>
      <c r="BG182" s="45"/>
      <c r="BH182" s="45"/>
      <c r="BI182" s="45"/>
      <c r="BJ182" s="45"/>
      <c r="BK182" s="45"/>
      <c r="BL182" s="45"/>
      <c r="BM182" s="45"/>
      <c r="BN182" s="45"/>
      <c r="BO182" s="45"/>
      <c r="BP182" s="45">
        <v>3.9422880673211709E-2</v>
      </c>
      <c r="BQ182" s="45">
        <v>0.14314576304608492</v>
      </c>
      <c r="BR182" s="45">
        <v>9222.4240680884996</v>
      </c>
      <c r="BS182" s="45"/>
      <c r="BT182" s="45">
        <v>105.07930002059977</v>
      </c>
      <c r="BU182" s="45"/>
      <c r="BV182" s="45">
        <v>11266.143344459726</v>
      </c>
      <c r="BW182" s="45">
        <v>22.353860196483783</v>
      </c>
      <c r="BX182" s="45"/>
      <c r="BY182" s="45">
        <v>41500.138075191084</v>
      </c>
      <c r="BZ182" s="45">
        <v>838.59754435945115</v>
      </c>
      <c r="CA182" s="45">
        <v>1817.0865242327386</v>
      </c>
      <c r="CB182" s="45">
        <v>14775.927300380788</v>
      </c>
      <c r="CC182" s="45">
        <v>195225.55988490363</v>
      </c>
      <c r="CD182" s="45">
        <v>132.93744038046779</v>
      </c>
      <c r="CE182" s="45">
        <v>265041.61807683069</v>
      </c>
      <c r="CF182" s="45">
        <v>5626.3272075416908</v>
      </c>
      <c r="CG182" s="45">
        <v>0.1439608500078125</v>
      </c>
      <c r="CH182" s="45">
        <v>244.82830400218256</v>
      </c>
      <c r="CI182" s="45">
        <v>706.69322596503025</v>
      </c>
      <c r="CJ182" s="45"/>
      <c r="CK182" s="45"/>
      <c r="CL182" s="45"/>
      <c r="CM182" s="45"/>
      <c r="CN182" s="45"/>
      <c r="CO182" s="45"/>
      <c r="CP182" s="45"/>
      <c r="CQ182" s="45"/>
      <c r="CR182" s="45"/>
      <c r="CS182" s="45"/>
      <c r="CT182" s="45"/>
      <c r="CU182" s="45"/>
      <c r="CV182" s="45"/>
      <c r="CW182" s="45"/>
      <c r="CX182" s="45"/>
      <c r="CY182" s="45"/>
      <c r="CZ182" s="45">
        <v>13.306878816391054</v>
      </c>
      <c r="DA182" s="45">
        <v>7.9234242285947962</v>
      </c>
      <c r="DB182" s="45">
        <v>426150146.65010351</v>
      </c>
      <c r="DC182" s="45"/>
      <c r="DD182" s="45">
        <v>20291680.576976422</v>
      </c>
      <c r="DE182" s="45"/>
      <c r="DF182" s="45">
        <v>172116733.64272559</v>
      </c>
      <c r="DG182" s="45">
        <v>55230043.606102638</v>
      </c>
      <c r="DH182" s="45"/>
      <c r="DI182" s="45">
        <v>1802681839.667129</v>
      </c>
      <c r="DJ182" s="45">
        <v>105130543.57836339</v>
      </c>
      <c r="DK182" s="45">
        <v>111471441.30929264</v>
      </c>
      <c r="DL182" s="45">
        <v>229841688.49930653</v>
      </c>
      <c r="DM182" s="45">
        <v>394778320.06657422</v>
      </c>
      <c r="DN182" s="45">
        <v>43407794.596393898</v>
      </c>
      <c r="DO182" s="45">
        <v>170583572.59361997</v>
      </c>
      <c r="DP182" s="45">
        <v>97727912.654646322</v>
      </c>
      <c r="DQ182" s="45">
        <v>89661508.171983361</v>
      </c>
      <c r="DR182" s="45">
        <v>389713118.97919554</v>
      </c>
      <c r="DS182" s="45">
        <v>21862272.177531205</v>
      </c>
      <c r="DT182" s="45"/>
      <c r="DU182" s="45"/>
      <c r="DV182" s="45"/>
      <c r="DW182" s="45"/>
      <c r="DX182" s="45"/>
      <c r="DY182" s="45"/>
      <c r="DZ182" s="45"/>
      <c r="EA182" s="45"/>
      <c r="EB182" s="45"/>
      <c r="EC182" s="45"/>
      <c r="ED182" s="45"/>
      <c r="EE182" s="45"/>
      <c r="EF182" s="45"/>
      <c r="EG182" s="45"/>
      <c r="EH182" s="45"/>
      <c r="EI182" s="45"/>
      <c r="EJ182" s="45">
        <v>64460092.715672679</v>
      </c>
      <c r="EK182" s="45">
        <v>25652946.907073509</v>
      </c>
      <c r="EL182" s="45">
        <v>5.1251117266361552</v>
      </c>
      <c r="EM182" s="45">
        <v>10.150462828922407</v>
      </c>
      <c r="EN182" s="45">
        <v>5.0239654702859768</v>
      </c>
      <c r="EO182" s="45"/>
      <c r="EP182" s="45"/>
      <c r="EQ182" s="45"/>
    </row>
    <row r="183" spans="1:147" s="92" customFormat="1" ht="15" customHeight="1" x14ac:dyDescent="0.25">
      <c r="A183" s="106" t="s">
        <v>666</v>
      </c>
      <c r="B183" s="136" t="s">
        <v>942</v>
      </c>
      <c r="C183" s="106" t="s">
        <v>668</v>
      </c>
      <c r="D183" s="107" t="s">
        <v>536</v>
      </c>
      <c r="E183" s="107"/>
      <c r="F183" s="118"/>
      <c r="G183" s="118"/>
      <c r="H183" s="118"/>
      <c r="I183" s="106"/>
      <c r="J183" s="109" t="s">
        <v>233</v>
      </c>
      <c r="K183" s="45">
        <v>12214.977808599167</v>
      </c>
      <c r="L183" s="45">
        <v>7842.8208063002494</v>
      </c>
      <c r="M183" s="45">
        <v>18.010615217469908</v>
      </c>
      <c r="N183" s="45"/>
      <c r="O183" s="45"/>
      <c r="P183" s="45"/>
      <c r="Q183" s="45"/>
      <c r="R183" s="45">
        <v>107705.97305158642</v>
      </c>
      <c r="S183" s="45">
        <v>166900.02849604862</v>
      </c>
      <c r="T183" s="45"/>
      <c r="U183" s="45"/>
      <c r="V183" s="45"/>
      <c r="W183" s="45"/>
      <c r="X183" s="45"/>
      <c r="Y183" s="45"/>
      <c r="Z183" s="45"/>
      <c r="AA183" s="45"/>
      <c r="AB183" s="45"/>
      <c r="AC183" s="45"/>
      <c r="AD183" s="45"/>
      <c r="AE183" s="45">
        <v>99.497546974329495</v>
      </c>
      <c r="AF183" s="45">
        <v>22453.826439598597</v>
      </c>
      <c r="AG183" s="45">
        <v>14533.891324754422</v>
      </c>
      <c r="AH183" s="45">
        <v>0.50001081891093568</v>
      </c>
      <c r="AI183" s="45"/>
      <c r="AJ183" s="45">
        <v>4.8469723895513635E-2</v>
      </c>
      <c r="AK183" s="45"/>
      <c r="AL183" s="45">
        <v>1.1979398237106771</v>
      </c>
      <c r="AM183" s="45">
        <v>0.71782773744766837</v>
      </c>
      <c r="AN183" s="45"/>
      <c r="AO183" s="45">
        <v>13.126078872417219</v>
      </c>
      <c r="AP183" s="45">
        <v>0.79026000514655326</v>
      </c>
      <c r="AQ183" s="45">
        <v>9.6861959560555114E-2</v>
      </c>
      <c r="AR183" s="45">
        <v>0.40664947188069178</v>
      </c>
      <c r="AS183" s="45">
        <v>2.8121449980623727</v>
      </c>
      <c r="AT183" s="45">
        <v>3.8119867518547942E-2</v>
      </c>
      <c r="AU183" s="45">
        <v>0.27163047933314755</v>
      </c>
      <c r="AV183" s="45">
        <v>0.33285405078870378</v>
      </c>
      <c r="AW183" s="45">
        <v>5.8883843965658718E-2</v>
      </c>
      <c r="AX183" s="45">
        <v>0.446826193167432</v>
      </c>
      <c r="AY183" s="45">
        <v>2.7555113809243227E-2</v>
      </c>
      <c r="AZ183" s="45">
        <v>0.66439712249078264</v>
      </c>
      <c r="BA183" s="45"/>
      <c r="BB183" s="45"/>
      <c r="BC183" s="45"/>
      <c r="BD183" s="45"/>
      <c r="BE183" s="45"/>
      <c r="BF183" s="45"/>
      <c r="BG183" s="45"/>
      <c r="BH183" s="45"/>
      <c r="BI183" s="45"/>
      <c r="BJ183" s="45"/>
      <c r="BK183" s="45"/>
      <c r="BL183" s="45"/>
      <c r="BM183" s="45"/>
      <c r="BN183" s="45"/>
      <c r="BO183" s="45"/>
      <c r="BP183" s="45">
        <v>5.9016010076321873E-2</v>
      </c>
      <c r="BQ183" s="45">
        <v>0.24368676074041412</v>
      </c>
      <c r="BR183" s="45">
        <v>1954.4134555771668</v>
      </c>
      <c r="BS183" s="45"/>
      <c r="BT183" s="45">
        <v>105.27807793110577</v>
      </c>
      <c r="BU183" s="45"/>
      <c r="BV183" s="45">
        <v>17.150255881817749</v>
      </c>
      <c r="BW183" s="45">
        <v>85.958206949983634</v>
      </c>
      <c r="BX183" s="45"/>
      <c r="BY183" s="45">
        <v>36317.491945520713</v>
      </c>
      <c r="BZ183" s="45">
        <v>8565.8561661517979</v>
      </c>
      <c r="CA183" s="45">
        <v>1.074237906097132E-2</v>
      </c>
      <c r="CB183" s="45">
        <v>8.3601281718208096</v>
      </c>
      <c r="CC183" s="45">
        <v>47303.882264833963</v>
      </c>
      <c r="CD183" s="45">
        <v>96.632595583126673</v>
      </c>
      <c r="CE183" s="45">
        <v>11244.048971155489</v>
      </c>
      <c r="CF183" s="45">
        <v>6676.0797476246553</v>
      </c>
      <c r="CG183" s="45">
        <v>0.58204304357911396</v>
      </c>
      <c r="CH183" s="45">
        <v>22.159671166443204</v>
      </c>
      <c r="CI183" s="45">
        <v>162.49065360406442</v>
      </c>
      <c r="CJ183" s="45">
        <v>5037.5285310598356</v>
      </c>
      <c r="CK183" s="45"/>
      <c r="CL183" s="45"/>
      <c r="CM183" s="45"/>
      <c r="CN183" s="45"/>
      <c r="CO183" s="45"/>
      <c r="CP183" s="45"/>
      <c r="CQ183" s="45"/>
      <c r="CR183" s="45"/>
      <c r="CS183" s="45"/>
      <c r="CT183" s="45"/>
      <c r="CU183" s="45"/>
      <c r="CV183" s="45"/>
      <c r="CW183" s="45"/>
      <c r="CX183" s="45"/>
      <c r="CY183" s="45"/>
      <c r="CZ183" s="45">
        <v>13.402119996622067</v>
      </c>
      <c r="DA183" s="45">
        <v>11.171384356604056</v>
      </c>
      <c r="DB183" s="45">
        <v>497616898.84049928</v>
      </c>
      <c r="DC183" s="45"/>
      <c r="DD183" s="45">
        <v>23286294.013869625</v>
      </c>
      <c r="DE183" s="45"/>
      <c r="DF183" s="45">
        <v>104566784</v>
      </c>
      <c r="DG183" s="45">
        <v>51311324.848821081</v>
      </c>
      <c r="DH183" s="45"/>
      <c r="DI183" s="45">
        <v>1497016567.3707864</v>
      </c>
      <c r="DJ183" s="45">
        <v>257854232.49930653</v>
      </c>
      <c r="DK183" s="45">
        <v>67938664.743411928</v>
      </c>
      <c r="DL183" s="45">
        <v>184535770.00832176</v>
      </c>
      <c r="DM183" s="45">
        <v>362418295.30097085</v>
      </c>
      <c r="DN183" s="45">
        <v>47522996.371705964</v>
      </c>
      <c r="DO183" s="45">
        <v>187834640.68793342</v>
      </c>
      <c r="DP183" s="45">
        <v>126275106.7961165</v>
      </c>
      <c r="DQ183" s="45">
        <v>105119266.7961165</v>
      </c>
      <c r="DR183" s="45">
        <v>114708122.09708738</v>
      </c>
      <c r="DS183" s="45">
        <v>21877980.138696257</v>
      </c>
      <c r="DT183" s="45">
        <v>636632235.85020804</v>
      </c>
      <c r="DU183" s="45"/>
      <c r="DV183" s="45"/>
      <c r="DW183" s="45"/>
      <c r="DX183" s="45"/>
      <c r="DY183" s="45"/>
      <c r="DZ183" s="45"/>
      <c r="EA183" s="45"/>
      <c r="EB183" s="45"/>
      <c r="EC183" s="45"/>
      <c r="ED183" s="45"/>
      <c r="EE183" s="45"/>
      <c r="EF183" s="45"/>
      <c r="EG183" s="45"/>
      <c r="EH183" s="45"/>
      <c r="EI183" s="45"/>
      <c r="EJ183" s="45">
        <v>64899483.872399442</v>
      </c>
      <c r="EK183" s="45">
        <v>26967518.624133147</v>
      </c>
      <c r="EL183" s="45">
        <v>7.5015634581051431</v>
      </c>
      <c r="EM183" s="45">
        <v>13.77451617439336</v>
      </c>
      <c r="EN183" s="45">
        <v>6.2728966092791776</v>
      </c>
      <c r="EO183" s="45"/>
      <c r="EP183" s="45"/>
      <c r="EQ183" s="45"/>
    </row>
    <row r="184" spans="1:147" s="92" customFormat="1" ht="15" customHeight="1" x14ac:dyDescent="0.25">
      <c r="A184" s="106" t="s">
        <v>667</v>
      </c>
      <c r="B184" s="136" t="s">
        <v>931</v>
      </c>
      <c r="C184" s="106" t="s">
        <v>669</v>
      </c>
      <c r="D184" s="107" t="s">
        <v>595</v>
      </c>
      <c r="E184" s="107"/>
      <c r="F184" s="118"/>
      <c r="G184" s="118"/>
      <c r="H184" s="118"/>
      <c r="I184" s="106"/>
      <c r="J184" s="109" t="s">
        <v>233</v>
      </c>
      <c r="K184" s="45">
        <v>39639.36477115118</v>
      </c>
      <c r="L184" s="45">
        <v>9964.4333901153059</v>
      </c>
      <c r="M184" s="45">
        <v>9.057314598438964</v>
      </c>
      <c r="N184" s="45"/>
      <c r="O184" s="45"/>
      <c r="P184" s="45"/>
      <c r="Q184" s="45">
        <v>4.0244898518821848E-2</v>
      </c>
      <c r="R184" s="45">
        <v>9304.1362749701439</v>
      </c>
      <c r="S184" s="45"/>
      <c r="T184" s="45"/>
      <c r="U184" s="45"/>
      <c r="V184" s="45"/>
      <c r="W184" s="45"/>
      <c r="X184" s="45"/>
      <c r="Y184" s="45"/>
      <c r="Z184" s="45"/>
      <c r="AA184" s="45">
        <v>15425.350618932202</v>
      </c>
      <c r="AB184" s="45"/>
      <c r="AC184" s="45"/>
      <c r="AD184" s="45"/>
      <c r="AE184" s="45">
        <v>98.640611478441159</v>
      </c>
      <c r="AF184" s="45">
        <v>10058.726631906969</v>
      </c>
      <c r="AG184" s="45">
        <v>17165.135746060016</v>
      </c>
      <c r="AH184" s="45">
        <v>0.85376109273406886</v>
      </c>
      <c r="AI184" s="45"/>
      <c r="AJ184" s="45">
        <v>0.26473392500073151</v>
      </c>
      <c r="AK184" s="45">
        <v>0.28134080452010585</v>
      </c>
      <c r="AL184" s="45"/>
      <c r="AM184" s="45">
        <v>0.62775439373816633</v>
      </c>
      <c r="AN184" s="45"/>
      <c r="AO184" s="45">
        <v>7.5741869110609361</v>
      </c>
      <c r="AP184" s="45">
        <v>0.12901484093288565</v>
      </c>
      <c r="AQ184" s="45">
        <v>0.29729007770923516</v>
      </c>
      <c r="AR184" s="45">
        <v>0.79679601834640046</v>
      </c>
      <c r="AS184" s="45">
        <v>9.9873494179501865</v>
      </c>
      <c r="AT184" s="45">
        <v>3.160536004587533E-2</v>
      </c>
      <c r="AU184" s="45">
        <v>9.5677977785871032E-2</v>
      </c>
      <c r="AV184" s="45">
        <v>0.18718926213779605</v>
      </c>
      <c r="AW184" s="45"/>
      <c r="AX184" s="45">
        <v>0.61532951139985004</v>
      </c>
      <c r="AY184" s="45">
        <v>2.9947586350294229E-2</v>
      </c>
      <c r="AZ184" s="45">
        <v>5.7888128918265949</v>
      </c>
      <c r="BA184" s="45"/>
      <c r="BB184" s="45"/>
      <c r="BC184" s="45"/>
      <c r="BD184" s="45"/>
      <c r="BE184" s="45"/>
      <c r="BF184" s="45"/>
      <c r="BG184" s="45"/>
      <c r="BH184" s="45"/>
      <c r="BI184" s="45"/>
      <c r="BJ184" s="45"/>
      <c r="BK184" s="45"/>
      <c r="BL184" s="45"/>
      <c r="BM184" s="45"/>
      <c r="BN184" s="45"/>
      <c r="BO184" s="45"/>
      <c r="BP184" s="45">
        <v>7.4066864820464998E-2</v>
      </c>
      <c r="BQ184" s="45">
        <v>0.51045712971838442</v>
      </c>
      <c r="BR184" s="45">
        <v>2395.2645386876065</v>
      </c>
      <c r="BS184" s="45"/>
      <c r="BT184" s="45">
        <v>105.26982396012214</v>
      </c>
      <c r="BU184" s="45">
        <v>4204.4597889838951</v>
      </c>
      <c r="BV184" s="45"/>
      <c r="BW184" s="45">
        <v>140.07447188076353</v>
      </c>
      <c r="BX184" s="45"/>
      <c r="BY184" s="45">
        <v>11694.117285800827</v>
      </c>
      <c r="BZ184" s="45">
        <v>1768.0881343956319</v>
      </c>
      <c r="CA184" s="45">
        <v>0</v>
      </c>
      <c r="CB184" s="45">
        <v>20.265644917308652</v>
      </c>
      <c r="CC184" s="45">
        <v>313495.13706199348</v>
      </c>
      <c r="CD184" s="45">
        <v>129.16928359111958</v>
      </c>
      <c r="CE184" s="45">
        <v>5695.2155873053698</v>
      </c>
      <c r="CF184" s="45">
        <v>9198.3232148528896</v>
      </c>
      <c r="CG184" s="45"/>
      <c r="CH184" s="45">
        <v>21.708462263385194</v>
      </c>
      <c r="CI184" s="45">
        <v>120.71917048294264</v>
      </c>
      <c r="CJ184" s="45">
        <v>11473.086203817038</v>
      </c>
      <c r="CK184" s="45"/>
      <c r="CL184" s="45"/>
      <c r="CM184" s="45"/>
      <c r="CN184" s="45"/>
      <c r="CO184" s="45"/>
      <c r="CP184" s="45"/>
      <c r="CQ184" s="45"/>
      <c r="CR184" s="45"/>
      <c r="CS184" s="45"/>
      <c r="CT184" s="45"/>
      <c r="CU184" s="45"/>
      <c r="CV184" s="45"/>
      <c r="CW184" s="45"/>
      <c r="CX184" s="45"/>
      <c r="CY184" s="45"/>
      <c r="CZ184" s="45">
        <v>13.233409376731151</v>
      </c>
      <c r="DA184" s="45">
        <v>21.746057679888722</v>
      </c>
      <c r="DB184" s="45">
        <v>391128198.03141361</v>
      </c>
      <c r="DC184" s="45"/>
      <c r="DD184" s="45">
        <v>29259733.392510403</v>
      </c>
      <c r="DE184" s="45">
        <v>581286299.87239945</v>
      </c>
      <c r="DF184" s="45"/>
      <c r="DG184" s="45">
        <v>87289668.527045771</v>
      </c>
      <c r="DH184" s="45"/>
      <c r="DI184" s="45">
        <v>1757948412.4493759</v>
      </c>
      <c r="DJ184" s="45">
        <v>272815716.12760055</v>
      </c>
      <c r="DK184" s="45">
        <v>72636248.410540909</v>
      </c>
      <c r="DL184" s="45">
        <v>196663105.68654647</v>
      </c>
      <c r="DM184" s="45">
        <v>398090489.96393895</v>
      </c>
      <c r="DN184" s="45">
        <v>44395493.015256591</v>
      </c>
      <c r="DO184" s="45">
        <v>87649616.599167824</v>
      </c>
      <c r="DP184" s="45">
        <v>101536312.09986131</v>
      </c>
      <c r="DQ184" s="45"/>
      <c r="DR184" s="45">
        <v>116499835.20665742</v>
      </c>
      <c r="DS184" s="45">
        <v>24366160.954230234</v>
      </c>
      <c r="DT184" s="45">
        <v>1321996869.8616822</v>
      </c>
      <c r="DU184" s="45"/>
      <c r="DV184" s="45"/>
      <c r="DW184" s="45"/>
      <c r="DX184" s="45"/>
      <c r="DY184" s="45"/>
      <c r="DZ184" s="45"/>
      <c r="EA184" s="45"/>
      <c r="EB184" s="45"/>
      <c r="EC184" s="45"/>
      <c r="ED184" s="45"/>
      <c r="EE184" s="45"/>
      <c r="EF184" s="45"/>
      <c r="EG184" s="45"/>
      <c r="EH184" s="45"/>
      <c r="EI184" s="45"/>
      <c r="EJ184" s="45">
        <v>67987299.77253814</v>
      </c>
      <c r="EK184" s="45">
        <v>29106210.085991677</v>
      </c>
      <c r="EL184" s="45">
        <v>3.806017135455146</v>
      </c>
      <c r="EM184" s="45">
        <v>6.6119065077062782</v>
      </c>
      <c r="EN184" s="45">
        <v>2.796976405517988</v>
      </c>
      <c r="EO184" s="45"/>
      <c r="EP184" s="45"/>
      <c r="EQ184" s="45"/>
    </row>
    <row r="185" spans="1:147" s="92" customFormat="1" ht="15" customHeight="1" x14ac:dyDescent="0.25">
      <c r="A185" s="106" t="s">
        <v>670</v>
      </c>
      <c r="B185" s="136" t="s">
        <v>941</v>
      </c>
      <c r="C185" s="106" t="s">
        <v>638</v>
      </c>
      <c r="D185" s="107" t="s">
        <v>532</v>
      </c>
      <c r="E185" s="107"/>
      <c r="F185" s="118"/>
      <c r="G185" s="118"/>
      <c r="H185" s="118"/>
      <c r="I185" s="106"/>
      <c r="J185" s="109" t="s">
        <v>233</v>
      </c>
      <c r="K185" s="45">
        <v>2001.4327323162274</v>
      </c>
      <c r="L185" s="45">
        <v>3775.4772304923799</v>
      </c>
      <c r="M185" s="45">
        <v>131.24446452316272</v>
      </c>
      <c r="N185" s="45"/>
      <c r="O185" s="45"/>
      <c r="P185" s="45"/>
      <c r="Q185" s="45"/>
      <c r="R185" s="45">
        <v>8070.0811025877119</v>
      </c>
      <c r="S185" s="45"/>
      <c r="T185" s="45"/>
      <c r="U185" s="45"/>
      <c r="V185" s="45"/>
      <c r="W185" s="45"/>
      <c r="X185" s="45"/>
      <c r="Y185" s="45"/>
      <c r="Z185" s="45"/>
      <c r="AA185" s="45">
        <v>14250.967365233888</v>
      </c>
      <c r="AB185" s="45"/>
      <c r="AC185" s="45"/>
      <c r="AD185" s="45"/>
      <c r="AE185" s="45">
        <v>99.336846922587171</v>
      </c>
      <c r="AF185" s="45">
        <v>36025.613255985518</v>
      </c>
      <c r="AG185" s="45">
        <v>12221.805899188475</v>
      </c>
      <c r="AH185" s="45">
        <v>0.7636853020080151</v>
      </c>
      <c r="AI185" s="45"/>
      <c r="AJ185" s="45">
        <v>0.2267129538941528</v>
      </c>
      <c r="AK185" s="45"/>
      <c r="AL185" s="45">
        <v>1.1440970050354193</v>
      </c>
      <c r="AM185" s="45">
        <v>0.9197033698311865</v>
      </c>
      <c r="AN185" s="45"/>
      <c r="AO185" s="45">
        <v>10.630087059972428</v>
      </c>
      <c r="AP185" s="45">
        <v>1.1752074039233043</v>
      </c>
      <c r="AQ185" s="45">
        <v>0.25188417517953088</v>
      </c>
      <c r="AR185" s="45">
        <v>0.57298974033415373</v>
      </c>
      <c r="AS185" s="45">
        <v>5.7391440401741525</v>
      </c>
      <c r="AT185" s="45">
        <v>5.8385985011297867E-2</v>
      </c>
      <c r="AU185" s="45">
        <v>0.2992832556706177</v>
      </c>
      <c r="AV185" s="45">
        <v>8.6577391700948622E-2</v>
      </c>
      <c r="AW185" s="45">
        <v>2.7634271323654314E-2</v>
      </c>
      <c r="AX185" s="45">
        <v>0.27337535786873601</v>
      </c>
      <c r="AY185" s="45">
        <v>3.7181170175211394E-2</v>
      </c>
      <c r="AZ185" s="45">
        <v>0.13490896368768629</v>
      </c>
      <c r="BA185" s="45"/>
      <c r="BB185" s="45"/>
      <c r="BC185" s="45"/>
      <c r="BD185" s="45"/>
      <c r="BE185" s="45"/>
      <c r="BF185" s="45"/>
      <c r="BG185" s="45"/>
      <c r="BH185" s="45"/>
      <c r="BI185" s="45"/>
      <c r="BJ185" s="45"/>
      <c r="BK185" s="45"/>
      <c r="BL185" s="45"/>
      <c r="BM185" s="45"/>
      <c r="BN185" s="45"/>
      <c r="BO185" s="45"/>
      <c r="BP185" s="45">
        <v>5.3097403489405504E-2</v>
      </c>
      <c r="BQ185" s="45">
        <v>0.98473668167249206</v>
      </c>
      <c r="BR185" s="45">
        <v>5031.9084444927903</v>
      </c>
      <c r="BS185" s="45"/>
      <c r="BT185" s="45">
        <v>105.27003019493139</v>
      </c>
      <c r="BU185" s="45"/>
      <c r="BV185" s="45">
        <v>0</v>
      </c>
      <c r="BW185" s="45">
        <v>107.42001439106632</v>
      </c>
      <c r="BX185" s="45"/>
      <c r="BY185" s="45">
        <v>65350.693259110769</v>
      </c>
      <c r="BZ185" s="45">
        <v>2855.1236520733105</v>
      </c>
      <c r="CA185" s="45">
        <v>6.8901785218650726</v>
      </c>
      <c r="CB185" s="45">
        <v>14.078977140568687</v>
      </c>
      <c r="CC185" s="45">
        <v>282659.9567912686</v>
      </c>
      <c r="CD185" s="45">
        <v>162.23317439447129</v>
      </c>
      <c r="CE185" s="45">
        <v>3312.5304144002666</v>
      </c>
      <c r="CF185" s="45">
        <v>2520.5665237826479</v>
      </c>
      <c r="CG185" s="45">
        <v>25.736145161708297</v>
      </c>
      <c r="CH185" s="45">
        <v>22.571117741666164</v>
      </c>
      <c r="CI185" s="45">
        <v>133.93986915033213</v>
      </c>
      <c r="CJ185" s="45">
        <v>256.65262098165243</v>
      </c>
      <c r="CK185" s="45"/>
      <c r="CL185" s="45"/>
      <c r="CM185" s="45"/>
      <c r="CN185" s="45"/>
      <c r="CO185" s="45"/>
      <c r="CP185" s="45"/>
      <c r="CQ185" s="45"/>
      <c r="CR185" s="45"/>
      <c r="CS185" s="45"/>
      <c r="CT185" s="45"/>
      <c r="CU185" s="45"/>
      <c r="CV185" s="45"/>
      <c r="CW185" s="45"/>
      <c r="CX185" s="45"/>
      <c r="CY185" s="45"/>
      <c r="CZ185" s="45">
        <v>13.229709664376893</v>
      </c>
      <c r="DA185" s="45">
        <v>13.980131726179192</v>
      </c>
      <c r="DB185" s="45">
        <v>605349254.56865466</v>
      </c>
      <c r="DC185" s="45"/>
      <c r="DD185" s="45">
        <v>28963690.873786408</v>
      </c>
      <c r="DE185" s="45"/>
      <c r="DF185" s="45">
        <v>98660846.246879339</v>
      </c>
      <c r="DG185" s="45">
        <v>56432131.550624132</v>
      </c>
      <c r="DH185" s="45"/>
      <c r="DI185" s="45">
        <v>1717012340.8155339</v>
      </c>
      <c r="DJ185" s="45">
        <v>126907543.96671289</v>
      </c>
      <c r="DK185" s="45">
        <v>77189875.572815537</v>
      </c>
      <c r="DL185" s="45">
        <v>243808838.30235782</v>
      </c>
      <c r="DM185" s="45">
        <v>421770403.32871014</v>
      </c>
      <c r="DN185" s="45">
        <v>47989446.124826632</v>
      </c>
      <c r="DO185" s="45">
        <v>238309682.7739251</v>
      </c>
      <c r="DP185" s="45">
        <v>124087621.23717059</v>
      </c>
      <c r="DQ185" s="45">
        <v>100061967.97780859</v>
      </c>
      <c r="DR185" s="45">
        <v>115670915.01803051</v>
      </c>
      <c r="DS185" s="45">
        <v>23352324.26074896</v>
      </c>
      <c r="DT185" s="45">
        <v>354135967.42302358</v>
      </c>
      <c r="DU185" s="45"/>
      <c r="DV185" s="45"/>
      <c r="DW185" s="45"/>
      <c r="DX185" s="45"/>
      <c r="DY185" s="45"/>
      <c r="DZ185" s="45"/>
      <c r="EA185" s="45"/>
      <c r="EB185" s="45"/>
      <c r="EC185" s="45"/>
      <c r="ED185" s="45"/>
      <c r="EE185" s="45"/>
      <c r="EF185" s="45"/>
      <c r="EG185" s="45"/>
      <c r="EH185" s="45"/>
      <c r="EI185" s="45"/>
      <c r="EJ185" s="45">
        <v>72305813.126213595</v>
      </c>
      <c r="EK185" s="45">
        <v>29086076.626907073</v>
      </c>
      <c r="EL185" s="45">
        <v>1.9074085280144311</v>
      </c>
      <c r="EM185" s="45">
        <v>3.3062962521968546</v>
      </c>
      <c r="EN185" s="45">
        <v>1.398840680177847</v>
      </c>
      <c r="EO185" s="45"/>
      <c r="EP185" s="45"/>
      <c r="EQ185" s="45"/>
    </row>
    <row r="186" spans="1:147" s="92" customFormat="1" ht="15" customHeight="1" x14ac:dyDescent="0.25">
      <c r="A186" s="106" t="s">
        <v>671</v>
      </c>
      <c r="B186" s="136" t="s">
        <v>940</v>
      </c>
      <c r="C186" s="106" t="s">
        <v>672</v>
      </c>
      <c r="D186" s="107" t="s">
        <v>928</v>
      </c>
      <c r="E186" s="107"/>
      <c r="F186" s="118"/>
      <c r="G186" s="118"/>
      <c r="H186" s="118"/>
      <c r="I186" s="106"/>
      <c r="J186" s="109" t="s">
        <v>233</v>
      </c>
      <c r="K186" s="45">
        <v>2773.6088765603326</v>
      </c>
      <c r="L186" s="45">
        <v>4652.0079205805787</v>
      </c>
      <c r="M186" s="45">
        <v>105.65574502289006</v>
      </c>
      <c r="N186" s="45"/>
      <c r="O186" s="45"/>
      <c r="P186" s="45"/>
      <c r="Q186" s="45"/>
      <c r="R186" s="45">
        <v>4868.392195084798</v>
      </c>
      <c r="S186" s="45"/>
      <c r="T186" s="45"/>
      <c r="U186" s="45"/>
      <c r="V186" s="45"/>
      <c r="W186" s="45"/>
      <c r="X186" s="45"/>
      <c r="Y186" s="45"/>
      <c r="Z186" s="45"/>
      <c r="AA186" s="45">
        <v>10232.811227625709</v>
      </c>
      <c r="AB186" s="45"/>
      <c r="AC186" s="45"/>
      <c r="AD186" s="45"/>
      <c r="AE186" s="45">
        <v>98.934391603544768</v>
      </c>
      <c r="AF186" s="45">
        <v>44981.847952047865</v>
      </c>
      <c r="AG186" s="45">
        <v>15931.422803412437</v>
      </c>
      <c r="AH186" s="45">
        <v>1.0192315656875297</v>
      </c>
      <c r="AI186" s="45"/>
      <c r="AJ186" s="45">
        <v>0.1636272528243212</v>
      </c>
      <c r="AK186" s="45"/>
      <c r="AL186" s="45"/>
      <c r="AM186" s="45">
        <v>0.98371069883716789</v>
      </c>
      <c r="AN186" s="45"/>
      <c r="AO186" s="45">
        <v>11.546059311615078</v>
      </c>
      <c r="AP186" s="45">
        <v>7.7546307934594189E-2</v>
      </c>
      <c r="AQ186" s="45">
        <v>0.26982066838436625</v>
      </c>
      <c r="AR186" s="45">
        <v>0.61118767717124023</v>
      </c>
      <c r="AS186" s="45">
        <v>9.895224688176036</v>
      </c>
      <c r="AT186" s="45">
        <v>0.44496921636934006</v>
      </c>
      <c r="AU186" s="45">
        <v>0.1719501924879378</v>
      </c>
      <c r="AV186" s="45">
        <v>0.56221824599313863</v>
      </c>
      <c r="AW186" s="45"/>
      <c r="AX186" s="45">
        <v>0.63774583571613286</v>
      </c>
      <c r="AY186" s="45">
        <v>2.2207308768940483E-2</v>
      </c>
      <c r="AZ186" s="45">
        <v>12.996812984574175</v>
      </c>
      <c r="BA186" s="45"/>
      <c r="BB186" s="45"/>
      <c r="BC186" s="45"/>
      <c r="BD186" s="45"/>
      <c r="BE186" s="45"/>
      <c r="BF186" s="45">
        <v>0.40139485874847886</v>
      </c>
      <c r="BG186" s="45"/>
      <c r="BH186" s="45"/>
      <c r="BI186" s="45"/>
      <c r="BJ186" s="45"/>
      <c r="BK186" s="45"/>
      <c r="BL186" s="45"/>
      <c r="BM186" s="45"/>
      <c r="BN186" s="45"/>
      <c r="BO186" s="45"/>
      <c r="BP186" s="45">
        <v>0.11458523758607655</v>
      </c>
      <c r="BQ186" s="45">
        <v>1.0627982178874467</v>
      </c>
      <c r="BR186" s="45">
        <v>4064.7974912474856</v>
      </c>
      <c r="BS186" s="45"/>
      <c r="BT186" s="45">
        <v>87.724073576928163</v>
      </c>
      <c r="BU186" s="45"/>
      <c r="BV186" s="45"/>
      <c r="BW186" s="45">
        <v>110.53262538526036</v>
      </c>
      <c r="BX186" s="45"/>
      <c r="BY186" s="45">
        <v>6569.7550237440119</v>
      </c>
      <c r="BZ186" s="45">
        <v>594.49290317612645</v>
      </c>
      <c r="CA186" s="45">
        <v>6.8921141826894701</v>
      </c>
      <c r="CB186" s="45">
        <v>35.140227384006891</v>
      </c>
      <c r="CC186" s="45">
        <v>129267.50854429915</v>
      </c>
      <c r="CD186" s="45">
        <v>34475.776779373664</v>
      </c>
      <c r="CE186" s="45">
        <v>3815.8934935741054</v>
      </c>
      <c r="CF186" s="45">
        <v>2506.0901026380234</v>
      </c>
      <c r="CG186" s="45"/>
      <c r="CH186" s="45">
        <v>576.36830413112204</v>
      </c>
      <c r="CI186" s="45">
        <v>125.91037374141774</v>
      </c>
      <c r="CJ186" s="45">
        <v>66076.900381500178</v>
      </c>
      <c r="CK186" s="45"/>
      <c r="CL186" s="45"/>
      <c r="CM186" s="45"/>
      <c r="CN186" s="45"/>
      <c r="CO186" s="45"/>
      <c r="CP186" s="45">
        <v>12400.268569232496</v>
      </c>
      <c r="CQ186" s="45"/>
      <c r="CR186" s="45"/>
      <c r="CS186" s="45"/>
      <c r="CT186" s="45"/>
      <c r="CU186" s="45"/>
      <c r="CV186" s="45"/>
      <c r="CW186" s="45"/>
      <c r="CX186" s="45"/>
      <c r="CY186" s="45"/>
      <c r="CZ186" s="45">
        <v>13.24891663481591</v>
      </c>
      <c r="DA186" s="45">
        <v>12.287626102247341</v>
      </c>
      <c r="DB186" s="45">
        <v>697349930.96255207</v>
      </c>
      <c r="DC186" s="45"/>
      <c r="DD186" s="45">
        <v>24626413.181692094</v>
      </c>
      <c r="DE186" s="45"/>
      <c r="DF186" s="45"/>
      <c r="DG186" s="45">
        <v>99634898.907073513</v>
      </c>
      <c r="DH186" s="45"/>
      <c r="DI186" s="45">
        <v>1918204872.6102636</v>
      </c>
      <c r="DJ186" s="45">
        <v>145862553.74202496</v>
      </c>
      <c r="DK186" s="45">
        <v>78355105.198335648</v>
      </c>
      <c r="DL186" s="45">
        <v>208936295.32316229</v>
      </c>
      <c r="DM186" s="45">
        <v>376706688.53259361</v>
      </c>
      <c r="DN186" s="45">
        <v>108631174.92371707</v>
      </c>
      <c r="DO186" s="45">
        <v>154658370.04160887</v>
      </c>
      <c r="DP186" s="45">
        <v>108826737.61997226</v>
      </c>
      <c r="DQ186" s="45"/>
      <c r="DR186" s="45">
        <v>1799257424.5991678</v>
      </c>
      <c r="DS186" s="45">
        <v>23868516.837725382</v>
      </c>
      <c r="DT186" s="45">
        <v>407264931.40425533</v>
      </c>
      <c r="DU186" s="45"/>
      <c r="DV186" s="45"/>
      <c r="DW186" s="45"/>
      <c r="DX186" s="45"/>
      <c r="DY186" s="45"/>
      <c r="DZ186" s="45">
        <v>109482836.14979196</v>
      </c>
      <c r="EA186" s="45"/>
      <c r="EB186" s="45"/>
      <c r="EC186" s="45"/>
      <c r="ED186" s="45"/>
      <c r="EE186" s="45"/>
      <c r="EF186" s="45"/>
      <c r="EG186" s="45"/>
      <c r="EH186" s="45"/>
      <c r="EI186" s="45"/>
      <c r="EJ186" s="45">
        <v>66089425.841886267</v>
      </c>
      <c r="EK186" s="45">
        <v>28461979.162274618</v>
      </c>
      <c r="EL186" s="45">
        <v>7.9876909410904933</v>
      </c>
      <c r="EM186" s="45">
        <v>12.419664410535471</v>
      </c>
      <c r="EN186" s="45">
        <v>4.4328536898526307</v>
      </c>
      <c r="EO186" s="45"/>
      <c r="EP186" s="45"/>
      <c r="EQ186" s="45"/>
    </row>
    <row r="187" spans="1:147" s="92" customFormat="1" ht="15" customHeight="1" x14ac:dyDescent="0.25">
      <c r="A187" s="106" t="s">
        <v>673</v>
      </c>
      <c r="B187" s="136" t="s">
        <v>932</v>
      </c>
      <c r="C187" s="106" t="s">
        <v>674</v>
      </c>
      <c r="D187" s="107" t="s">
        <v>928</v>
      </c>
      <c r="E187" s="107"/>
      <c r="F187" s="118"/>
      <c r="G187" s="118"/>
      <c r="H187" s="118"/>
      <c r="I187" s="106"/>
      <c r="J187" s="109" t="s">
        <v>233</v>
      </c>
      <c r="K187" s="45">
        <v>45834.85575589459</v>
      </c>
      <c r="L187" s="45">
        <v>16644.536423153859</v>
      </c>
      <c r="M187" s="45">
        <v>139.50426690439306</v>
      </c>
      <c r="N187" s="45"/>
      <c r="O187" s="45"/>
      <c r="P187" s="45"/>
      <c r="Q187" s="45">
        <v>0.50375793030357452</v>
      </c>
      <c r="R187" s="45">
        <v>29255.874408915253</v>
      </c>
      <c r="S187" s="45"/>
      <c r="T187" s="45"/>
      <c r="U187" s="45"/>
      <c r="V187" s="45"/>
      <c r="W187" s="45"/>
      <c r="X187" s="45"/>
      <c r="Y187" s="45"/>
      <c r="Z187" s="45"/>
      <c r="AA187" s="45">
        <v>43417.854122938341</v>
      </c>
      <c r="AB187" s="45"/>
      <c r="AC187" s="45"/>
      <c r="AD187" s="45"/>
      <c r="AE187" s="45">
        <v>97.87456012488434</v>
      </c>
      <c r="AF187" s="45">
        <v>28855.366367970204</v>
      </c>
      <c r="AG187" s="45">
        <v>13958.60408302601</v>
      </c>
      <c r="AH187" s="45"/>
      <c r="AI187" s="45"/>
      <c r="AJ187" s="45">
        <v>0.28944795197111589</v>
      </c>
      <c r="AK187" s="45"/>
      <c r="AL187" s="45"/>
      <c r="AM187" s="45">
        <v>0.72281434095179753</v>
      </c>
      <c r="AN187" s="45"/>
      <c r="AO187" s="45">
        <v>5.8584378089035587</v>
      </c>
      <c r="AP187" s="45">
        <v>1.0307954619162722</v>
      </c>
      <c r="AQ187" s="45">
        <v>0.31655652811531271</v>
      </c>
      <c r="AR187" s="45">
        <v>0.6483616742782452</v>
      </c>
      <c r="AS187" s="45">
        <v>16.089507115302048</v>
      </c>
      <c r="AT187" s="45">
        <v>8.4450513134101401E-2</v>
      </c>
      <c r="AU187" s="45"/>
      <c r="AV187" s="45">
        <v>0.19096262316399121</v>
      </c>
      <c r="AW187" s="45">
        <v>8.2980875360504733E-2</v>
      </c>
      <c r="AX187" s="45">
        <v>1.0272255271195128</v>
      </c>
      <c r="AY187" s="45">
        <v>2.6047350011122319E-2</v>
      </c>
      <c r="AZ187" s="45">
        <v>11.706996983496724</v>
      </c>
      <c r="BA187" s="45"/>
      <c r="BB187" s="45"/>
      <c r="BC187" s="45"/>
      <c r="BD187" s="45"/>
      <c r="BE187" s="45"/>
      <c r="BF187" s="45">
        <v>1.1156407795992505</v>
      </c>
      <c r="BG187" s="45"/>
      <c r="BH187" s="45"/>
      <c r="BI187" s="45"/>
      <c r="BJ187" s="45"/>
      <c r="BK187" s="45"/>
      <c r="BL187" s="45"/>
      <c r="BM187" s="45"/>
      <c r="BN187" s="45"/>
      <c r="BO187" s="45"/>
      <c r="BP187" s="45">
        <v>8.8479824324408818E-2</v>
      </c>
      <c r="BQ187" s="45">
        <v>0.52440310703220105</v>
      </c>
      <c r="BR187" s="45"/>
      <c r="BS187" s="45"/>
      <c r="BT187" s="45">
        <v>94.493621765335988</v>
      </c>
      <c r="BU187" s="45"/>
      <c r="BV187" s="45"/>
      <c r="BW187" s="45">
        <v>285.72724757355041</v>
      </c>
      <c r="BX187" s="45"/>
      <c r="BY187" s="45">
        <v>12729.180766140054</v>
      </c>
      <c r="BZ187" s="45">
        <v>7136.0974087452114</v>
      </c>
      <c r="CA187" s="45">
        <v>9.4359695075694791E-2</v>
      </c>
      <c r="CB187" s="45">
        <v>19.408148364964433</v>
      </c>
      <c r="CC187" s="45">
        <v>746867.16869330965</v>
      </c>
      <c r="CD187" s="45">
        <v>308.70192311582684</v>
      </c>
      <c r="CE187" s="45"/>
      <c r="CF187" s="45">
        <v>5148.6949284629836</v>
      </c>
      <c r="CG187" s="45">
        <v>1945.2984372987366</v>
      </c>
      <c r="CH187" s="45">
        <v>26.045968993816821</v>
      </c>
      <c r="CI187" s="45">
        <v>132.24791156520394</v>
      </c>
      <c r="CJ187" s="45">
        <v>57079.397516064637</v>
      </c>
      <c r="CK187" s="45"/>
      <c r="CL187" s="45"/>
      <c r="CM187" s="45"/>
      <c r="CN187" s="45"/>
      <c r="CO187" s="45"/>
      <c r="CP187" s="45">
        <v>48815.105786931366</v>
      </c>
      <c r="CQ187" s="45"/>
      <c r="CR187" s="45"/>
      <c r="CS187" s="45"/>
      <c r="CT187" s="45"/>
      <c r="CU187" s="45"/>
      <c r="CV187" s="45"/>
      <c r="CW187" s="45"/>
      <c r="CX187" s="45"/>
      <c r="CY187" s="45"/>
      <c r="CZ187" s="45">
        <v>13.206487289165123</v>
      </c>
      <c r="DA187" s="45">
        <v>23.998690704290166</v>
      </c>
      <c r="DB187" s="45"/>
      <c r="DC187" s="45"/>
      <c r="DD187" s="45">
        <v>26513768.906293705</v>
      </c>
      <c r="DE187" s="45"/>
      <c r="DF187" s="45"/>
      <c r="DG187" s="45">
        <v>42150527.112343967</v>
      </c>
      <c r="DH187" s="45"/>
      <c r="DI187" s="45">
        <v>849829359.10473454</v>
      </c>
      <c r="DJ187" s="45">
        <v>134044156.40953717</v>
      </c>
      <c r="DK187" s="45">
        <v>68997903.482419133</v>
      </c>
      <c r="DL187" s="45">
        <v>194393312.35955057</v>
      </c>
      <c r="DM187" s="45">
        <v>421695294.84604716</v>
      </c>
      <c r="DN187" s="45">
        <v>42496489.924895689</v>
      </c>
      <c r="DO187" s="45"/>
      <c r="DP187" s="45">
        <v>91663095.172413796</v>
      </c>
      <c r="DQ187" s="45">
        <v>86086943.260726079</v>
      </c>
      <c r="DR187" s="45">
        <v>106333821.47605634</v>
      </c>
      <c r="DS187" s="45">
        <v>22553024.79889043</v>
      </c>
      <c r="DT187" s="45">
        <v>3380968715.9069767</v>
      </c>
      <c r="DU187" s="45"/>
      <c r="DV187" s="45"/>
      <c r="DW187" s="45"/>
      <c r="DX187" s="45"/>
      <c r="DY187" s="45"/>
      <c r="DZ187" s="45">
        <v>111720240.06675939</v>
      </c>
      <c r="EA187" s="45"/>
      <c r="EB187" s="45"/>
      <c r="EC187" s="45"/>
      <c r="ED187" s="45"/>
      <c r="EE187" s="45"/>
      <c r="EF187" s="45"/>
      <c r="EG187" s="45"/>
      <c r="EH187" s="45"/>
      <c r="EI187" s="45"/>
      <c r="EJ187" s="45">
        <v>65593623.532033429</v>
      </c>
      <c r="EK187" s="45">
        <v>28250549.436893202</v>
      </c>
      <c r="EL187" s="45">
        <v>3.7502239247445801</v>
      </c>
      <c r="EM187" s="45">
        <v>7.1252062267184488</v>
      </c>
      <c r="EN187" s="45">
        <v>3.2395304742727755</v>
      </c>
      <c r="EO187" s="45"/>
      <c r="EP187" s="45"/>
      <c r="EQ187" s="45"/>
    </row>
    <row r="188" spans="1:147" s="92" customFormat="1" ht="15" customHeight="1" x14ac:dyDescent="0.25">
      <c r="A188" s="106" t="s">
        <v>675</v>
      </c>
      <c r="B188" s="136" t="s">
        <v>939</v>
      </c>
      <c r="C188" s="106" t="s">
        <v>676</v>
      </c>
      <c r="D188" s="107" t="s">
        <v>851</v>
      </c>
      <c r="E188" s="107"/>
      <c r="F188" s="118"/>
      <c r="G188" s="118"/>
      <c r="H188" s="118"/>
      <c r="I188" s="106"/>
      <c r="J188" s="109" t="s">
        <v>233</v>
      </c>
      <c r="K188" s="45">
        <v>3063.4452149791955</v>
      </c>
      <c r="L188" s="45">
        <v>9083.9114446034509</v>
      </c>
      <c r="M188" s="45">
        <v>438.58531641397309</v>
      </c>
      <c r="N188" s="45"/>
      <c r="O188" s="45"/>
      <c r="P188" s="45"/>
      <c r="Q188" s="45">
        <v>4.6017685170239853</v>
      </c>
      <c r="R188" s="45">
        <v>13567.300517520245</v>
      </c>
      <c r="S188" s="45"/>
      <c r="T188" s="45"/>
      <c r="U188" s="45">
        <v>36407.272526857516</v>
      </c>
      <c r="V188" s="45"/>
      <c r="W188" s="45"/>
      <c r="X188" s="45"/>
      <c r="Y188" s="45"/>
      <c r="Z188" s="45"/>
      <c r="AA188" s="45">
        <v>17252.981257117073</v>
      </c>
      <c r="AB188" s="45"/>
      <c r="AC188" s="45"/>
      <c r="AD188" s="45"/>
      <c r="AE188" s="45">
        <v>96.90463284918701</v>
      </c>
      <c r="AF188" s="45">
        <v>44224.184509250917</v>
      </c>
      <c r="AG188" s="45">
        <v>25391.431888121722</v>
      </c>
      <c r="AH188" s="45">
        <v>1.194690018612268</v>
      </c>
      <c r="AI188" s="45"/>
      <c r="AJ188" s="45">
        <v>0.13200254621761284</v>
      </c>
      <c r="AK188" s="45"/>
      <c r="AL188" s="45"/>
      <c r="AM188" s="45">
        <v>0.82244926193039702</v>
      </c>
      <c r="AN188" s="45"/>
      <c r="AO188" s="45">
        <v>0.7567345265977139</v>
      </c>
      <c r="AP188" s="45">
        <v>0.90202296893626699</v>
      </c>
      <c r="AQ188" s="45">
        <v>0.22216242923878149</v>
      </c>
      <c r="AR188" s="45">
        <v>0.8141156763513393</v>
      </c>
      <c r="AS188" s="45">
        <v>20.751377822035042</v>
      </c>
      <c r="AT188" s="45">
        <v>3.9997664272292832</v>
      </c>
      <c r="AU188" s="45">
        <v>1.3358509123653093</v>
      </c>
      <c r="AV188" s="45">
        <v>0.59839143967655251</v>
      </c>
      <c r="AW188" s="45"/>
      <c r="AX188" s="45">
        <v>0.57001789316309726</v>
      </c>
      <c r="AY188" s="45">
        <v>4.906828414731608E-2</v>
      </c>
      <c r="AZ188" s="45">
        <v>1.1778295043303426</v>
      </c>
      <c r="BA188" s="45"/>
      <c r="BB188" s="45"/>
      <c r="BC188" s="45"/>
      <c r="BD188" s="45"/>
      <c r="BE188" s="45"/>
      <c r="BF188" s="45">
        <v>3.0290497381794061</v>
      </c>
      <c r="BG188" s="45"/>
      <c r="BH188" s="45"/>
      <c r="BI188" s="45"/>
      <c r="BJ188" s="45"/>
      <c r="BK188" s="45"/>
      <c r="BL188" s="45"/>
      <c r="BM188" s="45"/>
      <c r="BN188" s="45"/>
      <c r="BO188" s="45"/>
      <c r="BP188" s="45">
        <v>8.9305921832192187E-2</v>
      </c>
      <c r="BQ188" s="45">
        <v>0.58863925016276253</v>
      </c>
      <c r="BR188" s="45">
        <v>11405.21852805153</v>
      </c>
      <c r="BS188" s="45"/>
      <c r="BT188" s="45">
        <v>84.691068358337375</v>
      </c>
      <c r="BU188" s="45"/>
      <c r="BV188" s="45"/>
      <c r="BW188" s="45">
        <v>649.62687754327885</v>
      </c>
      <c r="BX188" s="45"/>
      <c r="BY188" s="45">
        <v>12917.924400205684</v>
      </c>
      <c r="BZ188" s="45">
        <v>1649.8702467768405</v>
      </c>
      <c r="CA188" s="45">
        <v>6.8905035127390075</v>
      </c>
      <c r="CB188" s="45">
        <v>36.334748365940349</v>
      </c>
      <c r="CC188" s="45">
        <v>322120.76816123904</v>
      </c>
      <c r="CD188" s="45">
        <v>1268896.1968967707</v>
      </c>
      <c r="CE188" s="45">
        <v>54297.935137084081</v>
      </c>
      <c r="CF188" s="45">
        <v>7645.8834606183927</v>
      </c>
      <c r="CG188" s="45"/>
      <c r="CH188" s="45">
        <v>21.554150084055614</v>
      </c>
      <c r="CI188" s="45">
        <v>701.76007006387192</v>
      </c>
      <c r="CJ188" s="45">
        <v>8363.7718738437907</v>
      </c>
      <c r="CK188" s="45"/>
      <c r="CL188" s="45"/>
      <c r="CM188" s="45"/>
      <c r="CN188" s="45"/>
      <c r="CO188" s="45"/>
      <c r="CP188" s="45">
        <v>233924.70847857086</v>
      </c>
      <c r="CQ188" s="45"/>
      <c r="CR188" s="45"/>
      <c r="CS188" s="45"/>
      <c r="CT188" s="45"/>
      <c r="CU188" s="45"/>
      <c r="CV188" s="45"/>
      <c r="CW188" s="45"/>
      <c r="CX188" s="45"/>
      <c r="CY188" s="45"/>
      <c r="CZ188" s="45">
        <v>13.23198080162261</v>
      </c>
      <c r="DA188" s="45">
        <v>23.644181617122392</v>
      </c>
      <c r="DB188" s="45">
        <v>674974464.40188384</v>
      </c>
      <c r="DC188" s="45"/>
      <c r="DD188" s="45">
        <v>24274026.518723994</v>
      </c>
      <c r="DE188" s="45"/>
      <c r="DF188" s="45"/>
      <c r="DG188" s="45">
        <v>39460540.183079056</v>
      </c>
      <c r="DH188" s="45"/>
      <c r="DI188" s="45">
        <v>469902304.969697</v>
      </c>
      <c r="DJ188" s="45">
        <v>147668315.96116504</v>
      </c>
      <c r="DK188" s="45">
        <v>70795400.343966708</v>
      </c>
      <c r="DL188" s="45">
        <v>215283084.24965325</v>
      </c>
      <c r="DM188" s="45">
        <v>434663066.09708738</v>
      </c>
      <c r="DN188" s="45">
        <v>226305016.89875174</v>
      </c>
      <c r="DO188" s="45">
        <v>143373623.03467408</v>
      </c>
      <c r="DP188" s="45">
        <v>91987814.613037452</v>
      </c>
      <c r="DQ188" s="45"/>
      <c r="DR188" s="45">
        <v>113331229.82524271</v>
      </c>
      <c r="DS188" s="45">
        <v>22570420.01664355</v>
      </c>
      <c r="DT188" s="45">
        <v>355023460.64957267</v>
      </c>
      <c r="DU188" s="45"/>
      <c r="DV188" s="45"/>
      <c r="DW188" s="45"/>
      <c r="DX188" s="45"/>
      <c r="DY188" s="45"/>
      <c r="DZ188" s="45">
        <v>152207553.15395284</v>
      </c>
      <c r="EA188" s="45"/>
      <c r="EB188" s="45"/>
      <c r="EC188" s="45"/>
      <c r="ED188" s="45"/>
      <c r="EE188" s="45"/>
      <c r="EF188" s="45"/>
      <c r="EG188" s="45"/>
      <c r="EH188" s="45"/>
      <c r="EI188" s="45"/>
      <c r="EJ188" s="45">
        <v>70251808.310679615</v>
      </c>
      <c r="EK188" s="45">
        <v>27546128.332871012</v>
      </c>
      <c r="EL188" s="45">
        <v>6.8347987755340824</v>
      </c>
      <c r="EM188" s="45">
        <v>13.465526651457575</v>
      </c>
      <c r="EN188" s="45">
        <v>6.6280226839651757</v>
      </c>
      <c r="EO188" s="45"/>
      <c r="EP188" s="45"/>
      <c r="EQ188" s="45"/>
    </row>
    <row r="189" spans="1:147" s="92" customFormat="1" ht="15" customHeight="1" x14ac:dyDescent="0.25">
      <c r="A189" s="106" t="s">
        <v>677</v>
      </c>
      <c r="B189" s="136" t="s">
        <v>955</v>
      </c>
      <c r="C189" s="106" t="s">
        <v>678</v>
      </c>
      <c r="D189" s="107" t="s">
        <v>534</v>
      </c>
      <c r="E189" s="107"/>
      <c r="F189" s="118"/>
      <c r="G189" s="118"/>
      <c r="H189" s="118"/>
      <c r="I189" s="106"/>
      <c r="J189" s="109" t="s">
        <v>233</v>
      </c>
      <c r="K189" s="45">
        <v>2968.5117891816922</v>
      </c>
      <c r="L189" s="45">
        <v>7065.7231092274606</v>
      </c>
      <c r="M189" s="45">
        <v>330.65586226417906</v>
      </c>
      <c r="N189" s="45"/>
      <c r="O189" s="45"/>
      <c r="P189" s="45"/>
      <c r="Q189" s="45"/>
      <c r="R189" s="45">
        <v>16052.41681247819</v>
      </c>
      <c r="S189" s="45"/>
      <c r="T189" s="45"/>
      <c r="U189" s="45"/>
      <c r="V189" s="45"/>
      <c r="W189" s="45"/>
      <c r="X189" s="45"/>
      <c r="Y189" s="45"/>
      <c r="Z189" s="45"/>
      <c r="AA189" s="45">
        <v>40107.890830763376</v>
      </c>
      <c r="AB189" s="45"/>
      <c r="AC189" s="45"/>
      <c r="AD189" s="45"/>
      <c r="AE189" s="45">
        <v>98.689464952342675</v>
      </c>
      <c r="AF189" s="45">
        <v>29056.481881774765</v>
      </c>
      <c r="AG189" s="45">
        <v>21564.816561447624</v>
      </c>
      <c r="AH189" s="45">
        <v>0.94957442107577839</v>
      </c>
      <c r="AI189" s="45"/>
      <c r="AJ189" s="45">
        <v>0.16781349749883387</v>
      </c>
      <c r="AK189" s="45"/>
      <c r="AL189" s="45">
        <v>11.522675447564911</v>
      </c>
      <c r="AM189" s="45">
        <v>1.0349257769857831</v>
      </c>
      <c r="AN189" s="45"/>
      <c r="AO189" s="45">
        <v>13.083226161025022</v>
      </c>
      <c r="AP189" s="45">
        <v>8.8619819098703145E-2</v>
      </c>
      <c r="AQ189" s="45">
        <v>0.24297930012485253</v>
      </c>
      <c r="AR189" s="45">
        <v>0.66065695135434976</v>
      </c>
      <c r="AS189" s="45">
        <v>12.732850291356547</v>
      </c>
      <c r="AT189" s="45">
        <v>5.7799990575838095E-2</v>
      </c>
      <c r="AU189" s="45">
        <v>5.7847688710860279</v>
      </c>
      <c r="AV189" s="45">
        <v>0.28347821853024496</v>
      </c>
      <c r="AW189" s="45"/>
      <c r="AX189" s="45">
        <v>0.77394013511720183</v>
      </c>
      <c r="AY189" s="45">
        <v>4.2098607320647657E-2</v>
      </c>
      <c r="AZ189" s="45">
        <v>0.78439343001094652</v>
      </c>
      <c r="BA189" s="45"/>
      <c r="BB189" s="45"/>
      <c r="BC189" s="45"/>
      <c r="BD189" s="45"/>
      <c r="BE189" s="45"/>
      <c r="BF189" s="45"/>
      <c r="BG189" s="45"/>
      <c r="BH189" s="45"/>
      <c r="BI189" s="45"/>
      <c r="BJ189" s="45"/>
      <c r="BK189" s="45"/>
      <c r="BL189" s="45"/>
      <c r="BM189" s="45"/>
      <c r="BN189" s="45"/>
      <c r="BO189" s="45"/>
      <c r="BP189" s="45">
        <v>0.10546816890824154</v>
      </c>
      <c r="BQ189" s="45">
        <v>0.79533872745482059</v>
      </c>
      <c r="BR189" s="45">
        <v>2680.9049723396515</v>
      </c>
      <c r="BS189" s="45"/>
      <c r="BT189" s="45">
        <v>102.35648865317508</v>
      </c>
      <c r="BU189" s="45"/>
      <c r="BV189" s="45">
        <v>21758.527714655909</v>
      </c>
      <c r="BW189" s="45">
        <v>193.23108198540601</v>
      </c>
      <c r="BX189" s="45"/>
      <c r="BY189" s="45">
        <v>33660.672180267022</v>
      </c>
      <c r="BZ189" s="45">
        <v>1033.1945410007602</v>
      </c>
      <c r="CA189" s="45">
        <v>6.8908225384718778</v>
      </c>
      <c r="CB189" s="45">
        <v>35.072145307629008</v>
      </c>
      <c r="CC189" s="45">
        <v>193580.2915943969</v>
      </c>
      <c r="CD189" s="45">
        <v>546.00664597256798</v>
      </c>
      <c r="CE189" s="45">
        <v>412063.89509819756</v>
      </c>
      <c r="CF189" s="45">
        <v>5812.2655699030611</v>
      </c>
      <c r="CG189" s="45"/>
      <c r="CH189" s="45">
        <v>23.481636088610514</v>
      </c>
      <c r="CI189" s="45">
        <v>119.29409389505462</v>
      </c>
      <c r="CJ189" s="45">
        <v>388.18055799865186</v>
      </c>
      <c r="CK189" s="45"/>
      <c r="CL189" s="45"/>
      <c r="CM189" s="45"/>
      <c r="CN189" s="45"/>
      <c r="CO189" s="45"/>
      <c r="CP189" s="45"/>
      <c r="CQ189" s="45"/>
      <c r="CR189" s="45"/>
      <c r="CS189" s="45"/>
      <c r="CT189" s="45"/>
      <c r="CU189" s="45"/>
      <c r="CV189" s="45"/>
      <c r="CW189" s="45"/>
      <c r="CX189" s="45"/>
      <c r="CY189" s="45"/>
      <c r="CZ189" s="45">
        <v>13.250174652754014</v>
      </c>
      <c r="DA189" s="45">
        <v>11.976099701424575</v>
      </c>
      <c r="DB189" s="45">
        <v>645386518.36893201</v>
      </c>
      <c r="DC189" s="45"/>
      <c r="DD189" s="45">
        <v>24427811.151178919</v>
      </c>
      <c r="DE189" s="45"/>
      <c r="DF189" s="45">
        <v>158187520</v>
      </c>
      <c r="DG189" s="45">
        <v>86694862.291262135</v>
      </c>
      <c r="DH189" s="45"/>
      <c r="DI189" s="45">
        <v>1470710356.5048544</v>
      </c>
      <c r="DJ189" s="45">
        <v>137838927.17891818</v>
      </c>
      <c r="DK189" s="45">
        <v>74727605.79195562</v>
      </c>
      <c r="DL189" s="45">
        <v>173586003.08460471</v>
      </c>
      <c r="DM189" s="45">
        <v>399983779.32871014</v>
      </c>
      <c r="DN189" s="45">
        <v>46566367.334257975</v>
      </c>
      <c r="DO189" s="45">
        <v>352506134.36893207</v>
      </c>
      <c r="DP189" s="45">
        <v>99687646.979195565</v>
      </c>
      <c r="DQ189" s="45"/>
      <c r="DR189" s="45">
        <v>112777877.83633842</v>
      </c>
      <c r="DS189" s="45">
        <v>22976730.718446601</v>
      </c>
      <c r="DT189" s="45">
        <v>546885444.52704573</v>
      </c>
      <c r="DU189" s="45"/>
      <c r="DV189" s="45"/>
      <c r="DW189" s="45"/>
      <c r="DX189" s="45"/>
      <c r="DY189" s="45"/>
      <c r="DZ189" s="45"/>
      <c r="EA189" s="45"/>
      <c r="EB189" s="45"/>
      <c r="EC189" s="45"/>
      <c r="ED189" s="45"/>
      <c r="EE189" s="45"/>
      <c r="EF189" s="45"/>
      <c r="EG189" s="45"/>
      <c r="EH189" s="45"/>
      <c r="EI189" s="45"/>
      <c r="EJ189" s="45">
        <v>73376226.884882107</v>
      </c>
      <c r="EK189" s="45">
        <v>28374559.955617197</v>
      </c>
      <c r="EL189" s="45">
        <v>7.6046351876860134</v>
      </c>
      <c r="EM189" s="45">
        <v>13.559446376028323</v>
      </c>
      <c r="EN189" s="45">
        <v>5.9538853358690922</v>
      </c>
      <c r="EO189" s="45"/>
      <c r="EP189" s="45"/>
      <c r="EQ189" s="45"/>
    </row>
    <row r="190" spans="1:147" s="92" customFormat="1" ht="15" customHeight="1" x14ac:dyDescent="0.25">
      <c r="A190" s="111" t="s">
        <v>604</v>
      </c>
      <c r="B190" s="140"/>
      <c r="C190" s="112"/>
      <c r="D190" s="113"/>
      <c r="E190" s="113"/>
      <c r="F190" s="120"/>
      <c r="G190" s="120"/>
      <c r="H190" s="120"/>
      <c r="I190" s="112"/>
      <c r="J190" s="113"/>
      <c r="K190" s="45"/>
      <c r="L190" s="45"/>
      <c r="M190" s="45"/>
      <c r="N190" s="45"/>
      <c r="O190" s="45"/>
      <c r="P190" s="45"/>
      <c r="Q190" s="45"/>
      <c r="R190" s="45"/>
      <c r="S190" s="45"/>
      <c r="T190" s="45"/>
      <c r="U190" s="45"/>
      <c r="V190" s="45"/>
      <c r="W190" s="45"/>
      <c r="X190" s="45"/>
      <c r="Y190" s="45"/>
      <c r="Z190" s="45"/>
      <c r="AA190" s="45"/>
      <c r="AB190" s="45"/>
      <c r="AC190" s="45"/>
      <c r="AD190" s="45"/>
      <c r="AE190" s="45"/>
      <c r="AF190" s="45"/>
      <c r="AG190" s="45"/>
      <c r="AH190" s="45"/>
      <c r="AI190" s="45"/>
      <c r="AJ190" s="45"/>
      <c r="AK190" s="45"/>
      <c r="AL190" s="45"/>
      <c r="AM190" s="45"/>
      <c r="AN190" s="45"/>
      <c r="AO190" s="45"/>
      <c r="AP190" s="45"/>
      <c r="AQ190" s="45"/>
      <c r="AR190" s="45"/>
      <c r="AS190" s="45"/>
      <c r="AT190" s="45"/>
      <c r="AU190" s="45"/>
      <c r="AV190" s="45"/>
      <c r="AW190" s="45"/>
      <c r="AX190" s="45"/>
      <c r="AY190" s="45"/>
      <c r="AZ190" s="45"/>
      <c r="BA190" s="45"/>
      <c r="BB190" s="45"/>
      <c r="BC190" s="45"/>
      <c r="BD190" s="45"/>
      <c r="BE190" s="45"/>
      <c r="BF190" s="45"/>
      <c r="BG190" s="45"/>
      <c r="BH190" s="45"/>
      <c r="BI190" s="45"/>
      <c r="BJ190" s="45"/>
      <c r="BK190" s="45"/>
      <c r="BL190" s="45"/>
      <c r="BM190" s="45"/>
      <c r="BN190" s="45"/>
      <c r="BO190" s="45"/>
      <c r="BP190" s="45"/>
      <c r="BQ190" s="45"/>
      <c r="BR190" s="45"/>
      <c r="BS190" s="45"/>
      <c r="BT190" s="45"/>
      <c r="BU190" s="45"/>
      <c r="BV190" s="45"/>
      <c r="BW190" s="45"/>
      <c r="BX190" s="45"/>
      <c r="BY190" s="45"/>
      <c r="BZ190" s="45"/>
      <c r="CA190" s="45"/>
      <c r="CB190" s="45"/>
      <c r="CC190" s="45"/>
      <c r="CD190" s="45"/>
      <c r="CE190" s="45"/>
      <c r="CF190" s="45"/>
      <c r="CG190" s="45"/>
      <c r="CH190" s="45"/>
      <c r="CI190" s="45"/>
      <c r="CJ190" s="45"/>
      <c r="CK190" s="45"/>
      <c r="CL190" s="45"/>
      <c r="CM190" s="45"/>
      <c r="CN190" s="45"/>
      <c r="CO190" s="45"/>
      <c r="CP190" s="45"/>
      <c r="CQ190" s="45"/>
      <c r="CR190" s="45"/>
      <c r="CS190" s="45"/>
      <c r="CT190" s="45"/>
      <c r="CU190" s="45"/>
      <c r="CV190" s="45"/>
      <c r="CW190" s="45"/>
      <c r="CX190" s="45"/>
      <c r="CY190" s="45"/>
      <c r="CZ190" s="45"/>
      <c r="DA190" s="45"/>
      <c r="DB190" s="45"/>
      <c r="DC190" s="45"/>
      <c r="DD190" s="45"/>
      <c r="DE190" s="45"/>
      <c r="DF190" s="45"/>
      <c r="DG190" s="45"/>
      <c r="DH190" s="45"/>
      <c r="DI190" s="45"/>
      <c r="DJ190" s="45"/>
      <c r="DK190" s="45"/>
      <c r="DL190" s="45"/>
      <c r="DM190" s="45"/>
      <c r="DN190" s="45"/>
      <c r="DO190" s="45"/>
      <c r="DP190" s="45"/>
      <c r="DQ190" s="45"/>
      <c r="DR190" s="45"/>
      <c r="DS190" s="45"/>
      <c r="DT190" s="45"/>
      <c r="DU190" s="45"/>
      <c r="DV190" s="45"/>
      <c r="DW190" s="45"/>
      <c r="DX190" s="45"/>
      <c r="DY190" s="45"/>
      <c r="DZ190" s="45"/>
      <c r="EA190" s="45"/>
      <c r="EB190" s="45"/>
      <c r="EC190" s="45"/>
      <c r="ED190" s="45"/>
      <c r="EE190" s="45"/>
      <c r="EF190" s="45"/>
      <c r="EG190" s="45"/>
      <c r="EH190" s="45"/>
      <c r="EI190" s="45"/>
      <c r="EJ190" s="45"/>
      <c r="EK190" s="45"/>
      <c r="EL190" s="45"/>
      <c r="EM190" s="45"/>
      <c r="EN190" s="45"/>
      <c r="EO190" s="45"/>
      <c r="EP190" s="45"/>
      <c r="EQ190" s="45"/>
    </row>
    <row r="191" spans="1:147" s="92" customFormat="1" ht="15" customHeight="1" x14ac:dyDescent="0.25">
      <c r="A191" s="11" t="s">
        <v>679</v>
      </c>
      <c r="B191" s="136" t="s">
        <v>593</v>
      </c>
      <c r="C191" s="11" t="s">
        <v>680</v>
      </c>
      <c r="D191" s="107" t="s">
        <v>534</v>
      </c>
      <c r="E191" s="107" t="s">
        <v>852</v>
      </c>
      <c r="F191" s="118"/>
      <c r="G191" s="118"/>
      <c r="H191" s="118"/>
      <c r="I191" s="106"/>
      <c r="J191" s="109" t="s">
        <v>233</v>
      </c>
      <c r="K191" s="45">
        <v>16300.686546463245</v>
      </c>
      <c r="L191" s="45">
        <v>5089.9766566509907</v>
      </c>
      <c r="M191" s="45">
        <v>94.487896670105755</v>
      </c>
      <c r="N191" s="45"/>
      <c r="O191" s="45"/>
      <c r="P191" s="45"/>
      <c r="Q191" s="45"/>
      <c r="R191" s="45">
        <v>61133.115482275331</v>
      </c>
      <c r="S191" s="45"/>
      <c r="T191" s="45"/>
      <c r="U191" s="45"/>
      <c r="V191" s="45"/>
      <c r="W191" s="45"/>
      <c r="X191" s="45"/>
      <c r="Y191" s="45"/>
      <c r="Z191" s="45"/>
      <c r="AA191" s="45"/>
      <c r="AB191" s="45"/>
      <c r="AC191" s="45"/>
      <c r="AD191" s="45">
        <v>92893.313196552321</v>
      </c>
      <c r="AE191" s="45">
        <v>99.396035070579941</v>
      </c>
      <c r="AF191" s="45">
        <v>20479.996016194054</v>
      </c>
      <c r="AG191" s="45">
        <v>14111.340384781943</v>
      </c>
      <c r="AH191" s="45">
        <v>0.76056758226031451</v>
      </c>
      <c r="AI191" s="45"/>
      <c r="AJ191" s="45">
        <v>4.8536286717101085E-2</v>
      </c>
      <c r="AK191" s="45">
        <v>0.15022892170351296</v>
      </c>
      <c r="AL191" s="45">
        <v>0.99214241266139258</v>
      </c>
      <c r="AM191" s="45">
        <v>0.85883744012471697</v>
      </c>
      <c r="AN191" s="45"/>
      <c r="AO191" s="45">
        <v>5.0631707911160388</v>
      </c>
      <c r="AP191" s="45">
        <v>0.67656863671884404</v>
      </c>
      <c r="AQ191" s="45">
        <v>9.6136366007084445E-2</v>
      </c>
      <c r="AR191" s="45">
        <v>0.43120471170861602</v>
      </c>
      <c r="AS191" s="45">
        <v>5.6294553917386443</v>
      </c>
      <c r="AT191" s="45">
        <v>4.2607533174652754E-2</v>
      </c>
      <c r="AU191" s="45">
        <v>0.16993358357875854</v>
      </c>
      <c r="AV191" s="45">
        <v>0.16850755670756853</v>
      </c>
      <c r="AW191" s="45">
        <v>3.906329429232084E-3</v>
      </c>
      <c r="AX191" s="45">
        <v>0.32667015448517728</v>
      </c>
      <c r="AY191" s="45">
        <v>3.0886599034739209E-2</v>
      </c>
      <c r="AZ191" s="45"/>
      <c r="BA191" s="45"/>
      <c r="BB191" s="45"/>
      <c r="BC191" s="45"/>
      <c r="BD191" s="45"/>
      <c r="BE191" s="45"/>
      <c r="BF191" s="45"/>
      <c r="BG191" s="45"/>
      <c r="BH191" s="45"/>
      <c r="BI191" s="45"/>
      <c r="BJ191" s="45"/>
      <c r="BK191" s="45"/>
      <c r="BL191" s="45"/>
      <c r="BM191" s="45"/>
      <c r="BN191" s="45"/>
      <c r="BO191" s="45"/>
      <c r="BP191" s="45">
        <v>5.3963988068237885E-2</v>
      </c>
      <c r="BQ191" s="45">
        <v>0.68467569259326555</v>
      </c>
      <c r="BR191" s="45">
        <v>8855.4264087421197</v>
      </c>
      <c r="BS191" s="45"/>
      <c r="BT191" s="45">
        <v>105.19822415276083</v>
      </c>
      <c r="BU191" s="45">
        <v>3637.879368430456</v>
      </c>
      <c r="BV191" s="45">
        <v>1226.413599451889</v>
      </c>
      <c r="BW191" s="45">
        <v>120.02339130719348</v>
      </c>
      <c r="BX191" s="45"/>
      <c r="BY191" s="45">
        <v>13342.55406239418</v>
      </c>
      <c r="BZ191" s="45">
        <v>733.03558219764591</v>
      </c>
      <c r="CA191" s="45">
        <v>6.8918484979491064</v>
      </c>
      <c r="CB191" s="45">
        <v>38.954287016965985</v>
      </c>
      <c r="CC191" s="45">
        <v>272237.28398734669</v>
      </c>
      <c r="CD191" s="45">
        <v>581.38723900366938</v>
      </c>
      <c r="CE191" s="45">
        <v>11554.982112354859</v>
      </c>
      <c r="CF191" s="45">
        <v>9678.4782567216298</v>
      </c>
      <c r="CG191" s="45">
        <v>6.2226254268586703E-2</v>
      </c>
      <c r="CH191" s="45">
        <v>23.627043119522821</v>
      </c>
      <c r="CI191" s="45">
        <v>125.98179451777119</v>
      </c>
      <c r="CJ191" s="45"/>
      <c r="CK191" s="45"/>
      <c r="CL191" s="45"/>
      <c r="CM191" s="45"/>
      <c r="CN191" s="45"/>
      <c r="CO191" s="45"/>
      <c r="CP191" s="45"/>
      <c r="CQ191" s="45"/>
      <c r="CR191" s="45"/>
      <c r="CS191" s="45"/>
      <c r="CT191" s="45"/>
      <c r="CU191" s="45"/>
      <c r="CV191" s="45"/>
      <c r="CW191" s="45"/>
      <c r="CX191" s="45"/>
      <c r="CY191" s="45"/>
      <c r="CZ191" s="45">
        <v>13.239289450723343</v>
      </c>
      <c r="DA191" s="45">
        <v>23.857997389948856</v>
      </c>
      <c r="DB191" s="45">
        <v>566485114.26865673</v>
      </c>
      <c r="DC191" s="45"/>
      <c r="DD191" s="45">
        <v>23230591.822468795</v>
      </c>
      <c r="DE191" s="45">
        <v>395020523.70332479</v>
      </c>
      <c r="DF191" s="45">
        <v>175538849.42359769</v>
      </c>
      <c r="DG191" s="45">
        <v>25161392.821081832</v>
      </c>
      <c r="DH191" s="45"/>
      <c r="DI191" s="45">
        <v>966629060.70457697</v>
      </c>
      <c r="DJ191" s="45">
        <v>108638543.17891817</v>
      </c>
      <c r="DK191" s="45">
        <v>73094477.758668512</v>
      </c>
      <c r="DL191" s="45">
        <v>166661661.11511788</v>
      </c>
      <c r="DM191" s="45">
        <v>377332115.35090154</v>
      </c>
      <c r="DN191" s="45">
        <v>44755549.026352286</v>
      </c>
      <c r="DO191" s="45">
        <v>91159428.438280165</v>
      </c>
      <c r="DP191" s="45">
        <v>98147920.244105414</v>
      </c>
      <c r="DQ191" s="45">
        <v>88819027.439667135</v>
      </c>
      <c r="DR191" s="45">
        <v>109933310.93481275</v>
      </c>
      <c r="DS191" s="45">
        <v>20490254.202496532</v>
      </c>
      <c r="DT191" s="45"/>
      <c r="DU191" s="45"/>
      <c r="DV191" s="45"/>
      <c r="DW191" s="45"/>
      <c r="DX191" s="45"/>
      <c r="DY191" s="45"/>
      <c r="DZ191" s="45"/>
      <c r="EA191" s="45"/>
      <c r="EB191" s="45"/>
      <c r="EC191" s="45"/>
      <c r="ED191" s="45"/>
      <c r="EE191" s="45"/>
      <c r="EF191" s="45"/>
      <c r="EG191" s="45"/>
      <c r="EH191" s="45"/>
      <c r="EI191" s="45"/>
      <c r="EJ191" s="45">
        <v>64494957.004160888</v>
      </c>
      <c r="EK191" s="45">
        <v>25652503.789181691</v>
      </c>
      <c r="EL191" s="45">
        <v>4.5065558012536036</v>
      </c>
      <c r="EM191" s="45">
        <v>9.3128763993699977</v>
      </c>
      <c r="EN191" s="45">
        <v>4.8051512162316907</v>
      </c>
      <c r="EO191" s="45"/>
      <c r="EP191" s="45"/>
      <c r="EQ191" s="45"/>
    </row>
    <row r="192" spans="1:147" s="92" customFormat="1" ht="15" customHeight="1" x14ac:dyDescent="0.25">
      <c r="A192" s="11" t="s">
        <v>681</v>
      </c>
      <c r="B192" s="136" t="s">
        <v>938</v>
      </c>
      <c r="C192" s="11" t="s">
        <v>682</v>
      </c>
      <c r="D192" s="107" t="s">
        <v>595</v>
      </c>
      <c r="E192" s="107"/>
      <c r="F192" s="118"/>
      <c r="G192" s="118"/>
      <c r="H192" s="118"/>
      <c r="I192" s="106"/>
      <c r="J192" s="109" t="s">
        <v>233</v>
      </c>
      <c r="K192" s="45">
        <v>40611.682385575587</v>
      </c>
      <c r="L192" s="45">
        <v>13226.761767972628</v>
      </c>
      <c r="M192" s="45">
        <v>146.717880587541</v>
      </c>
      <c r="N192" s="45"/>
      <c r="O192" s="45"/>
      <c r="P192" s="45"/>
      <c r="Q192" s="45">
        <v>7.7700031136613293E-2</v>
      </c>
      <c r="R192" s="45">
        <v>75087.28255322609</v>
      </c>
      <c r="S192" s="45">
        <v>168191.70446209869</v>
      </c>
      <c r="T192" s="45"/>
      <c r="U192" s="45"/>
      <c r="V192" s="45"/>
      <c r="W192" s="45"/>
      <c r="X192" s="45"/>
      <c r="Y192" s="45"/>
      <c r="Z192" s="45"/>
      <c r="AA192" s="45">
        <v>4280.1609087888819</v>
      </c>
      <c r="AB192" s="45"/>
      <c r="AC192" s="45"/>
      <c r="AD192" s="45"/>
      <c r="AE192" s="45">
        <v>97.58823399982802</v>
      </c>
      <c r="AF192" s="45">
        <v>19291.095515984998</v>
      </c>
      <c r="AG192" s="45">
        <v>15843.088780750406</v>
      </c>
      <c r="AH192" s="45"/>
      <c r="AI192" s="45"/>
      <c r="AJ192" s="45">
        <v>0.28007585392781043</v>
      </c>
      <c r="AK192" s="45"/>
      <c r="AL192" s="45"/>
      <c r="AM192" s="45">
        <v>0.70404876851021037</v>
      </c>
      <c r="AN192" s="45"/>
      <c r="AO192" s="45">
        <v>10.378112863082736</v>
      </c>
      <c r="AP192" s="45">
        <v>20.268927280753935</v>
      </c>
      <c r="AQ192" s="45">
        <v>0.32684711800889893</v>
      </c>
      <c r="AR192" s="45">
        <v>0.80184388871442047</v>
      </c>
      <c r="AS192" s="45">
        <v>11.808169091993106</v>
      </c>
      <c r="AT192" s="45">
        <v>3.9680420465600233E-2</v>
      </c>
      <c r="AU192" s="45">
        <v>0.59706273175435176</v>
      </c>
      <c r="AV192" s="45">
        <v>0.55623181497019758</v>
      </c>
      <c r="AW192" s="45"/>
      <c r="AX192" s="45">
        <v>0.69044646045226665</v>
      </c>
      <c r="AY192" s="45">
        <v>2.6865648909089337E-2</v>
      </c>
      <c r="AZ192" s="45">
        <v>4.5749461707096071</v>
      </c>
      <c r="BA192" s="45"/>
      <c r="BB192" s="45"/>
      <c r="BC192" s="45"/>
      <c r="BD192" s="45"/>
      <c r="BE192" s="45"/>
      <c r="BF192" s="45"/>
      <c r="BG192" s="45"/>
      <c r="BH192" s="45"/>
      <c r="BI192" s="45"/>
      <c r="BJ192" s="45"/>
      <c r="BK192" s="45"/>
      <c r="BL192" s="45"/>
      <c r="BM192" s="45"/>
      <c r="BN192" s="45"/>
      <c r="BO192" s="45"/>
      <c r="BP192" s="45">
        <v>9.8428715017017387E-2</v>
      </c>
      <c r="BQ192" s="45">
        <v>0.7992020274053927</v>
      </c>
      <c r="BR192" s="45"/>
      <c r="BS192" s="45"/>
      <c r="BT192" s="45">
        <v>68.410670182862162</v>
      </c>
      <c r="BU192" s="45"/>
      <c r="BV192" s="45"/>
      <c r="BW192" s="45">
        <v>305.77120976510201</v>
      </c>
      <c r="BX192" s="45"/>
      <c r="BY192" s="45">
        <v>38715.616643909918</v>
      </c>
      <c r="BZ192" s="45">
        <v>3780580.109765979</v>
      </c>
      <c r="CA192" s="45">
        <v>5.8900922932439101</v>
      </c>
      <c r="CB192" s="45">
        <v>51.578745501312881</v>
      </c>
      <c r="CC192" s="45">
        <v>476839.30187502032</v>
      </c>
      <c r="CD192" s="45">
        <v>728.61264966176407</v>
      </c>
      <c r="CE192" s="45">
        <v>23867.613516333466</v>
      </c>
      <c r="CF192" s="45">
        <v>15179.625073685553</v>
      </c>
      <c r="CG192" s="45"/>
      <c r="CH192" s="45">
        <v>31.542969770738633</v>
      </c>
      <c r="CI192" s="45">
        <v>119.1155542130923</v>
      </c>
      <c r="CJ192" s="45">
        <v>187902.1357162967</v>
      </c>
      <c r="CK192" s="45"/>
      <c r="CL192" s="45"/>
      <c r="CM192" s="45"/>
      <c r="CN192" s="45"/>
      <c r="CO192" s="45"/>
      <c r="CP192" s="45"/>
      <c r="CQ192" s="45"/>
      <c r="CR192" s="45"/>
      <c r="CS192" s="45"/>
      <c r="CT192" s="45"/>
      <c r="CU192" s="45"/>
      <c r="CV192" s="45"/>
      <c r="CW192" s="45"/>
      <c r="CX192" s="45"/>
      <c r="CY192" s="45"/>
      <c r="CZ192" s="45">
        <v>13.326112661786206</v>
      </c>
      <c r="DA192" s="45">
        <v>19.131968362305731</v>
      </c>
      <c r="DB192" s="45"/>
      <c r="DC192" s="45"/>
      <c r="DD192" s="45">
        <v>27683698.659154929</v>
      </c>
      <c r="DE192" s="45"/>
      <c r="DF192" s="45"/>
      <c r="DG192" s="45">
        <v>76454794.119278774</v>
      </c>
      <c r="DH192" s="45"/>
      <c r="DI192" s="45">
        <v>1169499774.5617979</v>
      </c>
      <c r="DJ192" s="45">
        <v>214366245.55148095</v>
      </c>
      <c r="DK192" s="45">
        <v>75144157.090909094</v>
      </c>
      <c r="DL192" s="45">
        <v>193469284.67415729</v>
      </c>
      <c r="DM192" s="45">
        <v>424607920.11095703</v>
      </c>
      <c r="DN192" s="45">
        <v>44237654.767507002</v>
      </c>
      <c r="DO192" s="45">
        <v>132229099.66524823</v>
      </c>
      <c r="DP192" s="45">
        <v>104087609.44740532</v>
      </c>
      <c r="DQ192" s="45"/>
      <c r="DR192" s="45">
        <v>120239779.898017</v>
      </c>
      <c r="DS192" s="45">
        <v>23407089.08737864</v>
      </c>
      <c r="DT192" s="45">
        <v>513128960</v>
      </c>
      <c r="DU192" s="45"/>
      <c r="DV192" s="45"/>
      <c r="DW192" s="45"/>
      <c r="DX192" s="45"/>
      <c r="DY192" s="45"/>
      <c r="DZ192" s="45"/>
      <c r="EA192" s="45"/>
      <c r="EB192" s="45"/>
      <c r="EC192" s="45"/>
      <c r="ED192" s="45"/>
      <c r="EE192" s="45"/>
      <c r="EF192" s="45"/>
      <c r="EG192" s="45"/>
      <c r="EH192" s="45"/>
      <c r="EI192" s="45"/>
      <c r="EJ192" s="45">
        <v>71398221.662921354</v>
      </c>
      <c r="EK192" s="45">
        <v>28714749.514563106</v>
      </c>
      <c r="EL192" s="45">
        <v>4.1988600301338241</v>
      </c>
      <c r="EM192" s="45">
        <v>9.0523406048567896</v>
      </c>
      <c r="EN192" s="45">
        <v>4.7178352253888196</v>
      </c>
      <c r="EO192" s="45"/>
      <c r="EP192" s="45"/>
      <c r="EQ192" s="45"/>
    </row>
    <row r="193" spans="1:147" s="92" customFormat="1" ht="15" customHeight="1" x14ac:dyDescent="0.25">
      <c r="A193" s="11" t="s">
        <v>683</v>
      </c>
      <c r="B193" s="136" t="s">
        <v>937</v>
      </c>
      <c r="C193" s="11" t="s">
        <v>684</v>
      </c>
      <c r="D193" s="107" t="s">
        <v>351</v>
      </c>
      <c r="E193" s="107"/>
      <c r="F193" s="118"/>
      <c r="G193" s="118"/>
      <c r="H193" s="118"/>
      <c r="I193" s="106"/>
      <c r="J193" s="109" t="s">
        <v>233</v>
      </c>
      <c r="K193" s="45">
        <v>8794.6588072122049</v>
      </c>
      <c r="L193" s="45">
        <v>4233.7096465689838</v>
      </c>
      <c r="M193" s="45">
        <v>44.770458760759041</v>
      </c>
      <c r="N193" s="45"/>
      <c r="O193" s="45"/>
      <c r="P193" s="45"/>
      <c r="Q193" s="45"/>
      <c r="R193" s="45">
        <v>7825.1961279509278</v>
      </c>
      <c r="S193" s="45"/>
      <c r="T193" s="45"/>
      <c r="U193" s="45"/>
      <c r="V193" s="45"/>
      <c r="W193" s="45"/>
      <c r="X193" s="45"/>
      <c r="Y193" s="45"/>
      <c r="Z193" s="45"/>
      <c r="AA193" s="45"/>
      <c r="AB193" s="45"/>
      <c r="AC193" s="45"/>
      <c r="AD193" s="45">
        <v>14162.032584267301</v>
      </c>
      <c r="AE193" s="45">
        <v>99.421204200332568</v>
      </c>
      <c r="AF193" s="45">
        <v>28901.916750687862</v>
      </c>
      <c r="AG193" s="45">
        <v>12570.734241697272</v>
      </c>
      <c r="AH193" s="45">
        <v>8.164104080624373</v>
      </c>
      <c r="AI193" s="45"/>
      <c r="AJ193" s="45">
        <v>6.474522928964549E-2</v>
      </c>
      <c r="AK193" s="45">
        <v>0.70866996869869292</v>
      </c>
      <c r="AL193" s="45">
        <v>1.9433884325831761</v>
      </c>
      <c r="AM193" s="45">
        <v>0.88156201409381751</v>
      </c>
      <c r="AN193" s="45"/>
      <c r="AO193" s="45">
        <v>18.48408817471859</v>
      </c>
      <c r="AP193" s="45">
        <v>1.7113204956397925</v>
      </c>
      <c r="AQ193" s="45">
        <v>0.14171611044287491</v>
      </c>
      <c r="AR193" s="45">
        <v>0.62789046126424275</v>
      </c>
      <c r="AS193" s="45">
        <v>4.477484106186667</v>
      </c>
      <c r="AT193" s="45">
        <v>0.1696649443261127</v>
      </c>
      <c r="AU193" s="45"/>
      <c r="AV193" s="45">
        <v>0.12184307946509398</v>
      </c>
      <c r="AW193" s="45">
        <v>5.5702795384546845E-3</v>
      </c>
      <c r="AX193" s="45">
        <v>0.33756981647827217</v>
      </c>
      <c r="AY193" s="45">
        <v>1.9531043269866027E-2</v>
      </c>
      <c r="AZ193" s="45">
        <v>0.67749001823010568</v>
      </c>
      <c r="BA193" s="45"/>
      <c r="BB193" s="45"/>
      <c r="BC193" s="45"/>
      <c r="BD193" s="45"/>
      <c r="BE193" s="45"/>
      <c r="BF193" s="45">
        <v>1.8390984419329572</v>
      </c>
      <c r="BG193" s="45"/>
      <c r="BH193" s="45"/>
      <c r="BI193" s="45"/>
      <c r="BJ193" s="45"/>
      <c r="BK193" s="45"/>
      <c r="BL193" s="45"/>
      <c r="BM193" s="45"/>
      <c r="BN193" s="45"/>
      <c r="BO193" s="45"/>
      <c r="BP193" s="45">
        <v>7.2558125325728487E-2</v>
      </c>
      <c r="BQ193" s="45">
        <v>0.39953687184081849</v>
      </c>
      <c r="BR193" s="45">
        <v>485.12094779389253</v>
      </c>
      <c r="BS193" s="45"/>
      <c r="BT193" s="45">
        <v>105.18013575244503</v>
      </c>
      <c r="BU193" s="45">
        <v>21708.141739199677</v>
      </c>
      <c r="BV193" s="45">
        <v>2.0139545930783553</v>
      </c>
      <c r="BW193" s="45">
        <v>155.52127581363342</v>
      </c>
      <c r="BX193" s="45"/>
      <c r="BY193" s="45">
        <v>7865.7436916048418</v>
      </c>
      <c r="BZ193" s="45">
        <v>845.06415295188651</v>
      </c>
      <c r="CA193" s="45">
        <v>44.294252056619428</v>
      </c>
      <c r="CB193" s="45">
        <v>42.314576122954755</v>
      </c>
      <c r="CC193" s="45">
        <v>139976.61105877571</v>
      </c>
      <c r="CD193" s="45">
        <v>15623.639935058327</v>
      </c>
      <c r="CE193" s="45"/>
      <c r="CF193" s="45">
        <v>3428.8241353679364</v>
      </c>
      <c r="CG193" s="45">
        <v>0.18490644089542718</v>
      </c>
      <c r="CH193" s="45">
        <v>23.399327135686651</v>
      </c>
      <c r="CI193" s="45">
        <v>713.09714551361685</v>
      </c>
      <c r="CJ193" s="45">
        <v>2387.400637292144</v>
      </c>
      <c r="CK193" s="45"/>
      <c r="CL193" s="45"/>
      <c r="CM193" s="45"/>
      <c r="CN193" s="45"/>
      <c r="CO193" s="45"/>
      <c r="CP193" s="45">
        <v>68791.228435194571</v>
      </c>
      <c r="CQ193" s="45"/>
      <c r="CR193" s="45"/>
      <c r="CS193" s="45"/>
      <c r="CT193" s="45"/>
      <c r="CU193" s="45"/>
      <c r="CV193" s="45"/>
      <c r="CW193" s="45"/>
      <c r="CX193" s="45"/>
      <c r="CY193" s="45"/>
      <c r="CZ193" s="45">
        <v>13.257548288692551</v>
      </c>
      <c r="DA193" s="45">
        <v>11.977682039249018</v>
      </c>
      <c r="DB193" s="45">
        <v>685699259.47295427</v>
      </c>
      <c r="DC193" s="45"/>
      <c r="DD193" s="45">
        <v>23350608.599167824</v>
      </c>
      <c r="DE193" s="45">
        <v>1264146179.1955616</v>
      </c>
      <c r="DF193" s="45">
        <v>514806879.15672678</v>
      </c>
      <c r="DG193" s="45">
        <v>55870178.529819697</v>
      </c>
      <c r="DH193" s="45"/>
      <c r="DI193" s="45">
        <v>1818412587.3176143</v>
      </c>
      <c r="DJ193" s="45">
        <v>123874816.71012482</v>
      </c>
      <c r="DK193" s="45">
        <v>109599290.94036061</v>
      </c>
      <c r="DL193" s="45">
        <v>198407882.38557559</v>
      </c>
      <c r="DM193" s="45">
        <v>384800804.92649096</v>
      </c>
      <c r="DN193" s="45">
        <v>93357310.224687934</v>
      </c>
      <c r="DO193" s="45"/>
      <c r="DP193" s="45">
        <v>102377758.89042996</v>
      </c>
      <c r="DQ193" s="45">
        <v>96302970.496532589</v>
      </c>
      <c r="DR193" s="45">
        <v>115288259.99445215</v>
      </c>
      <c r="DS193" s="45">
        <v>21521247.51178918</v>
      </c>
      <c r="DT193" s="45">
        <v>869601416.34396672</v>
      </c>
      <c r="DU193" s="45"/>
      <c r="DV193" s="45"/>
      <c r="DW193" s="45"/>
      <c r="DX193" s="45"/>
      <c r="DY193" s="45"/>
      <c r="DZ193" s="45">
        <v>271685021.29264909</v>
      </c>
      <c r="EA193" s="45"/>
      <c r="EB193" s="45"/>
      <c r="EC193" s="45"/>
      <c r="ED193" s="45"/>
      <c r="EE193" s="45"/>
      <c r="EF193" s="45"/>
      <c r="EG193" s="45"/>
      <c r="EH193" s="45"/>
      <c r="EI193" s="45"/>
      <c r="EJ193" s="45">
        <v>64362567.012482665</v>
      </c>
      <c r="EK193" s="45">
        <v>27193997.314840499</v>
      </c>
      <c r="EL193" s="45">
        <v>6.8475234277790085</v>
      </c>
      <c r="EM193" s="45">
        <v>12.905442358515982</v>
      </c>
      <c r="EN193" s="45"/>
      <c r="EO193" s="45"/>
      <c r="EP193" s="45"/>
      <c r="EQ193" s="45"/>
    </row>
    <row r="194" spans="1:147" s="92" customFormat="1" ht="15" customHeight="1" x14ac:dyDescent="0.25">
      <c r="A194" s="11" t="s">
        <v>685</v>
      </c>
      <c r="B194" s="136" t="s">
        <v>936</v>
      </c>
      <c r="C194" s="11" t="s">
        <v>686</v>
      </c>
      <c r="D194" s="107" t="s">
        <v>533</v>
      </c>
      <c r="E194" s="107"/>
      <c r="F194" s="118" t="s">
        <v>48</v>
      </c>
      <c r="G194" s="118">
        <v>16</v>
      </c>
      <c r="H194" s="118">
        <v>256</v>
      </c>
      <c r="I194" s="106"/>
      <c r="J194" s="109" t="s">
        <v>233</v>
      </c>
      <c r="K194" s="45">
        <v>3447.4036061026354</v>
      </c>
      <c r="L194" s="45">
        <v>7924.2176233785412</v>
      </c>
      <c r="M194" s="45">
        <v>391.6051833433462</v>
      </c>
      <c r="N194" s="45"/>
      <c r="O194" s="45"/>
      <c r="P194" s="45"/>
      <c r="Q194" s="45">
        <v>8.0598567980686361E-2</v>
      </c>
      <c r="R194" s="45">
        <v>51609.942499332006</v>
      </c>
      <c r="S194" s="45"/>
      <c r="T194" s="45"/>
      <c r="U194" s="45"/>
      <c r="V194" s="45"/>
      <c r="W194" s="45"/>
      <c r="X194" s="45"/>
      <c r="Y194" s="45"/>
      <c r="Z194" s="45"/>
      <c r="AA194" s="45">
        <v>97447.496722368567</v>
      </c>
      <c r="AB194" s="45"/>
      <c r="AC194" s="45"/>
      <c r="AD194" s="45"/>
      <c r="AE194" s="45">
        <v>97.142157292739753</v>
      </c>
      <c r="AF194" s="45">
        <v>46714.185009133733</v>
      </c>
      <c r="AG194" s="45">
        <v>30350.808109094731</v>
      </c>
      <c r="AH194" s="45">
        <v>14.102117417747227</v>
      </c>
      <c r="AI194" s="45"/>
      <c r="AJ194" s="45">
        <v>0.13787338058776685</v>
      </c>
      <c r="AK194" s="45"/>
      <c r="AL194" s="45">
        <v>5.2347908039759563</v>
      </c>
      <c r="AM194" s="45">
        <v>1.1875081582902345</v>
      </c>
      <c r="AN194" s="45"/>
      <c r="AO194" s="45">
        <v>20.150023501187107</v>
      </c>
      <c r="AP194" s="45">
        <v>8.2183965020423161E-2</v>
      </c>
      <c r="AQ194" s="45">
        <v>0.23324011563106051</v>
      </c>
      <c r="AR194" s="45">
        <v>1.895536029010052</v>
      </c>
      <c r="AS194" s="45">
        <v>15.373296539033079</v>
      </c>
      <c r="AT194" s="45">
        <v>5.5054937557814217E-2</v>
      </c>
      <c r="AU194" s="45">
        <v>1.7160362504412263</v>
      </c>
      <c r="AV194" s="45">
        <v>0.53206346591945664</v>
      </c>
      <c r="AW194" s="45">
        <v>0.22315706150886538</v>
      </c>
      <c r="AX194" s="45"/>
      <c r="AY194" s="45">
        <v>5.6996733051127978E-2</v>
      </c>
      <c r="AZ194" s="45">
        <v>1.5332278089900322</v>
      </c>
      <c r="BA194" s="45"/>
      <c r="BB194" s="45"/>
      <c r="BC194" s="45"/>
      <c r="BD194" s="45"/>
      <c r="BE194" s="45"/>
      <c r="BF194" s="45"/>
      <c r="BG194" s="45"/>
      <c r="BH194" s="45"/>
      <c r="BI194" s="45"/>
      <c r="BJ194" s="45"/>
      <c r="BK194" s="45"/>
      <c r="BL194" s="45"/>
      <c r="BM194" s="45"/>
      <c r="BN194" s="45"/>
      <c r="BO194" s="45"/>
      <c r="BP194" s="45">
        <v>9.8816002771084266E-2</v>
      </c>
      <c r="BQ194" s="45">
        <v>0.58616200759646264</v>
      </c>
      <c r="BR194" s="45">
        <v>10082.69382211899</v>
      </c>
      <c r="BS194" s="45"/>
      <c r="BT194" s="45">
        <v>87.728359792731595</v>
      </c>
      <c r="BU194" s="45"/>
      <c r="BV194" s="45">
        <v>11139.033921689117</v>
      </c>
      <c r="BW194" s="45">
        <v>141.50148750273587</v>
      </c>
      <c r="BX194" s="45"/>
      <c r="BY194" s="45">
        <v>15519.316629403673</v>
      </c>
      <c r="BZ194" s="45">
        <v>656.94127194070302</v>
      </c>
      <c r="CA194" s="45">
        <v>238.87184966358845</v>
      </c>
      <c r="CB194" s="45">
        <v>50062.740275036202</v>
      </c>
      <c r="CC194" s="45">
        <v>802340.78594025271</v>
      </c>
      <c r="CD194" s="45">
        <v>115.43212751038043</v>
      </c>
      <c r="CE194" s="45">
        <v>51653.027036042928</v>
      </c>
      <c r="CF194" s="45">
        <v>8442.5144104199444</v>
      </c>
      <c r="CG194" s="45">
        <v>12912.400792955033</v>
      </c>
      <c r="CH194" s="45"/>
      <c r="CI194" s="45">
        <v>112.77430632755042</v>
      </c>
      <c r="CJ194" s="45">
        <v>14544.395228087093</v>
      </c>
      <c r="CK194" s="45"/>
      <c r="CL194" s="45"/>
      <c r="CM194" s="45"/>
      <c r="CN194" s="45"/>
      <c r="CO194" s="45"/>
      <c r="CP194" s="45"/>
      <c r="CQ194" s="45"/>
      <c r="CR194" s="45"/>
      <c r="CS194" s="45"/>
      <c r="CT194" s="45"/>
      <c r="CU194" s="45"/>
      <c r="CV194" s="45"/>
      <c r="CW194" s="45"/>
      <c r="CX194" s="45"/>
      <c r="CY194" s="45"/>
      <c r="CZ194" s="45">
        <v>13.244605300417435</v>
      </c>
      <c r="DA194" s="45">
        <v>11.98145633438965</v>
      </c>
      <c r="DB194" s="45">
        <v>595309180.27184463</v>
      </c>
      <c r="DC194" s="45"/>
      <c r="DD194" s="45">
        <v>23521197.62552011</v>
      </c>
      <c r="DE194" s="45"/>
      <c r="DF194" s="45">
        <v>454209047.43411928</v>
      </c>
      <c r="DG194" s="45">
        <v>59301399.434119277</v>
      </c>
      <c r="DH194" s="45"/>
      <c r="DI194" s="45">
        <v>2495738892.8178024</v>
      </c>
      <c r="DJ194" s="45">
        <v>157478417.75312066</v>
      </c>
      <c r="DK194" s="45">
        <v>76862091.63636364</v>
      </c>
      <c r="DL194" s="45">
        <v>249140858.85159501</v>
      </c>
      <c r="DM194" s="45">
        <v>397342933.03744799</v>
      </c>
      <c r="DN194" s="45">
        <v>46158295.522884883</v>
      </c>
      <c r="DO194" s="45">
        <v>136403398.15899581</v>
      </c>
      <c r="DP194" s="45">
        <v>90503880.073846146</v>
      </c>
      <c r="DQ194" s="45">
        <v>91772037.565217391</v>
      </c>
      <c r="DR194" s="45"/>
      <c r="DS194" s="45">
        <v>24074453.037447989</v>
      </c>
      <c r="DT194" s="45">
        <v>321007209.30496454</v>
      </c>
      <c r="DU194" s="45"/>
      <c r="DV194" s="45"/>
      <c r="DW194" s="45"/>
      <c r="DX194" s="45"/>
      <c r="DY194" s="45"/>
      <c r="DZ194" s="45"/>
      <c r="EA194" s="45"/>
      <c r="EB194" s="45"/>
      <c r="EC194" s="45"/>
      <c r="ED194" s="45"/>
      <c r="EE194" s="45"/>
      <c r="EF194" s="45"/>
      <c r="EG194" s="45"/>
      <c r="EH194" s="45"/>
      <c r="EI194" s="45"/>
      <c r="EJ194" s="45">
        <v>62590510.158113733</v>
      </c>
      <c r="EK194" s="45">
        <v>29017961.453536756</v>
      </c>
      <c r="EL194" s="45">
        <v>8.2946464402361784</v>
      </c>
      <c r="EM194" s="45">
        <v>16.554063045537607</v>
      </c>
      <c r="EN194" s="45">
        <v>8.2601845301688126</v>
      </c>
      <c r="EO194" s="45"/>
      <c r="EP194" s="45"/>
      <c r="EQ194" s="45"/>
    </row>
    <row r="195" spans="1:147" s="92" customFormat="1" ht="15" customHeight="1" x14ac:dyDescent="0.25">
      <c r="A195" s="11" t="s">
        <v>687</v>
      </c>
      <c r="B195" s="136" t="s">
        <v>935</v>
      </c>
      <c r="C195" s="11" t="s">
        <v>688</v>
      </c>
      <c r="D195" s="107" t="s">
        <v>533</v>
      </c>
      <c r="E195" s="107"/>
      <c r="F195" s="118"/>
      <c r="G195" s="118"/>
      <c r="H195" s="118"/>
      <c r="I195" s="106"/>
      <c r="J195" s="109" t="s">
        <v>233</v>
      </c>
      <c r="K195" s="45">
        <v>15129.790568654646</v>
      </c>
      <c r="L195" s="45">
        <v>6141.6717432729911</v>
      </c>
      <c r="M195" s="45">
        <v>25.133155924578698</v>
      </c>
      <c r="N195" s="45"/>
      <c r="O195" s="45"/>
      <c r="P195" s="45"/>
      <c r="Q195" s="45">
        <v>4.0264367833637273E-2</v>
      </c>
      <c r="R195" s="45">
        <v>7767.5123785617607</v>
      </c>
      <c r="S195" s="45"/>
      <c r="T195" s="45"/>
      <c r="U195" s="45"/>
      <c r="V195" s="45"/>
      <c r="W195" s="45"/>
      <c r="X195" s="45"/>
      <c r="Y195" s="45"/>
      <c r="Z195" s="45"/>
      <c r="AA195" s="45"/>
      <c r="AB195" s="45"/>
      <c r="AC195" s="45"/>
      <c r="AD195" s="45">
        <v>147992.5430186936</v>
      </c>
      <c r="AE195" s="45">
        <v>99.491595756832183</v>
      </c>
      <c r="AF195" s="45">
        <v>23741.50472669183</v>
      </c>
      <c r="AG195" s="45">
        <v>13740.445812873273</v>
      </c>
      <c r="AH195" s="45">
        <v>1.3789338255738077</v>
      </c>
      <c r="AI195" s="45"/>
      <c r="AJ195" s="45">
        <v>4.2678693979708381E-2</v>
      </c>
      <c r="AK195" s="45"/>
      <c r="AL195" s="45">
        <v>1.0792404294364333</v>
      </c>
      <c r="AM195" s="45">
        <v>0.52683572612905483</v>
      </c>
      <c r="AN195" s="45"/>
      <c r="AO195" s="45">
        <v>10.213059463240739</v>
      </c>
      <c r="AP195" s="45">
        <v>0.1644202361864654</v>
      </c>
      <c r="AQ195" s="45">
        <v>8.3692698700236143E-2</v>
      </c>
      <c r="AR195" s="45">
        <v>0.37506740916472331</v>
      </c>
      <c r="AS195" s="45">
        <v>3.9848955759628124</v>
      </c>
      <c r="AT195" s="45">
        <v>7.7973947492787077E-2</v>
      </c>
      <c r="AU195" s="45">
        <v>0.60201105937163302</v>
      </c>
      <c r="AV195" s="45">
        <v>0.23812843962289129</v>
      </c>
      <c r="AW195" s="45">
        <v>2.7705246826316938E-2</v>
      </c>
      <c r="AX195" s="45">
        <v>0.42129206092339522</v>
      </c>
      <c r="AY195" s="45">
        <v>2.0254471004899442E-2</v>
      </c>
      <c r="AZ195" s="45"/>
      <c r="BA195" s="45"/>
      <c r="BB195" s="45"/>
      <c r="BC195" s="45"/>
      <c r="BD195" s="45"/>
      <c r="BE195" s="45"/>
      <c r="BF195" s="45"/>
      <c r="BG195" s="45"/>
      <c r="BH195" s="45"/>
      <c r="BI195" s="45"/>
      <c r="BJ195" s="45"/>
      <c r="BK195" s="45"/>
      <c r="BL195" s="45"/>
      <c r="BM195" s="45"/>
      <c r="BN195" s="45"/>
      <c r="BO195" s="45"/>
      <c r="BP195" s="45">
        <v>4.8538901592208236E-2</v>
      </c>
      <c r="BQ195" s="45">
        <v>0.18633875613064496</v>
      </c>
      <c r="BR195" s="45">
        <v>15630.114074159099</v>
      </c>
      <c r="BS195" s="45"/>
      <c r="BT195" s="45">
        <v>105.26988475257565</v>
      </c>
      <c r="BU195" s="45"/>
      <c r="BV195" s="45">
        <v>2428.1333537495484</v>
      </c>
      <c r="BW195" s="45">
        <v>126.11007946951477</v>
      </c>
      <c r="BX195" s="45"/>
      <c r="BY195" s="45">
        <v>21643.747449585753</v>
      </c>
      <c r="BZ195" s="45">
        <v>1709.1663192213302</v>
      </c>
      <c r="CA195" s="45">
        <v>1008.6823798020001</v>
      </c>
      <c r="CB195" s="45">
        <v>1491.2712132660311</v>
      </c>
      <c r="CC195" s="45">
        <v>148077.61415753217</v>
      </c>
      <c r="CD195" s="45">
        <v>127.75720221886461</v>
      </c>
      <c r="CE195" s="45">
        <v>39230.483705746919</v>
      </c>
      <c r="CF195" s="45">
        <v>8540.8055222162584</v>
      </c>
      <c r="CG195" s="45">
        <v>2836.0024733704108</v>
      </c>
      <c r="CH195" s="45">
        <v>21.544734412626731</v>
      </c>
      <c r="CI195" s="45">
        <v>126.03539086066317</v>
      </c>
      <c r="CJ195" s="45"/>
      <c r="CK195" s="45"/>
      <c r="CL195" s="45"/>
      <c r="CM195" s="45"/>
      <c r="CN195" s="45"/>
      <c r="CO195" s="45"/>
      <c r="CP195" s="45"/>
      <c r="CQ195" s="45"/>
      <c r="CR195" s="45"/>
      <c r="CS195" s="45"/>
      <c r="CT195" s="45"/>
      <c r="CU195" s="45"/>
      <c r="CV195" s="45"/>
      <c r="CW195" s="45"/>
      <c r="CX195" s="45"/>
      <c r="CY195" s="45"/>
      <c r="CZ195" s="45">
        <v>13.240188347384914</v>
      </c>
      <c r="DA195" s="45">
        <v>11.975808403631014</v>
      </c>
      <c r="DB195" s="45">
        <v>535051954.60465115</v>
      </c>
      <c r="DC195" s="45"/>
      <c r="DD195" s="45">
        <v>21913639.766990293</v>
      </c>
      <c r="DE195" s="45"/>
      <c r="DF195" s="45">
        <v>173687333.24964336</v>
      </c>
      <c r="DG195" s="45">
        <v>54753572.571428575</v>
      </c>
      <c r="DH195" s="45"/>
      <c r="DI195" s="45">
        <v>1183235374.5131762</v>
      </c>
      <c r="DJ195" s="45">
        <v>111610551.9223301</v>
      </c>
      <c r="DK195" s="45">
        <v>86890924.91539529</v>
      </c>
      <c r="DL195" s="45">
        <v>195084503.8779473</v>
      </c>
      <c r="DM195" s="45">
        <v>372709469.73647714</v>
      </c>
      <c r="DN195" s="45">
        <v>42534539.894590847</v>
      </c>
      <c r="DO195" s="45">
        <v>123240351.42302358</v>
      </c>
      <c r="DP195" s="45">
        <v>99977451.761442438</v>
      </c>
      <c r="DQ195" s="45">
        <v>97376469.037447989</v>
      </c>
      <c r="DR195" s="45">
        <v>107033189.54785021</v>
      </c>
      <c r="DS195" s="45">
        <v>21807814.124826629</v>
      </c>
      <c r="DT195" s="45"/>
      <c r="DU195" s="45"/>
      <c r="DV195" s="45"/>
      <c r="DW195" s="45"/>
      <c r="DX195" s="45"/>
      <c r="DY195" s="45"/>
      <c r="DZ195" s="45"/>
      <c r="EA195" s="45"/>
      <c r="EB195" s="45"/>
      <c r="EC195" s="45"/>
      <c r="ED195" s="45"/>
      <c r="EE195" s="45"/>
      <c r="EF195" s="45"/>
      <c r="EG195" s="45"/>
      <c r="EH195" s="45"/>
      <c r="EI195" s="45"/>
      <c r="EJ195" s="45">
        <v>64266063.889042996</v>
      </c>
      <c r="EK195" s="45">
        <v>28137065.808599167</v>
      </c>
      <c r="EL195" s="45">
        <v>5.0693650198234712</v>
      </c>
      <c r="EM195" s="45">
        <v>10.436193016903426</v>
      </c>
      <c r="EN195" s="45">
        <v>5.3660551465051016</v>
      </c>
      <c r="EO195" s="45"/>
      <c r="EP195" s="45"/>
      <c r="EQ195" s="45"/>
    </row>
    <row r="196" spans="1:147" s="92" customFormat="1" ht="15" customHeight="1" x14ac:dyDescent="0.25">
      <c r="A196" s="11" t="s">
        <v>689</v>
      </c>
      <c r="B196" s="136" t="s">
        <v>934</v>
      </c>
      <c r="C196" s="11" t="s">
        <v>690</v>
      </c>
      <c r="D196" s="107" t="s">
        <v>198</v>
      </c>
      <c r="E196" s="107"/>
      <c r="F196" s="118"/>
      <c r="G196" s="118"/>
      <c r="H196" s="118"/>
      <c r="I196" s="106"/>
      <c r="J196" s="109" t="s">
        <v>233</v>
      </c>
      <c r="K196" s="45">
        <v>15656.711511789181</v>
      </c>
      <c r="L196" s="45">
        <v>9039.0373502078437</v>
      </c>
      <c r="M196" s="45">
        <v>234.17586372851721</v>
      </c>
      <c r="N196" s="45"/>
      <c r="O196" s="45"/>
      <c r="P196" s="45"/>
      <c r="Q196" s="45"/>
      <c r="R196" s="45"/>
      <c r="S196" s="45"/>
      <c r="T196" s="45"/>
      <c r="U196" s="45"/>
      <c r="V196" s="45"/>
      <c r="W196" s="45"/>
      <c r="X196" s="45"/>
      <c r="Y196" s="45"/>
      <c r="Z196" s="45"/>
      <c r="AA196" s="45"/>
      <c r="AB196" s="45"/>
      <c r="AC196" s="45"/>
      <c r="AD196" s="45"/>
      <c r="AE196" s="45"/>
      <c r="AF196" s="45"/>
      <c r="AG196" s="45"/>
      <c r="AH196" s="45"/>
      <c r="AI196" s="45"/>
      <c r="AJ196" s="45"/>
      <c r="AK196" s="45"/>
      <c r="AL196" s="45"/>
      <c r="AM196" s="45"/>
      <c r="AN196" s="45"/>
      <c r="AO196" s="45"/>
      <c r="AP196" s="45"/>
      <c r="AQ196" s="45"/>
      <c r="AR196" s="45"/>
      <c r="AS196" s="45"/>
      <c r="AT196" s="45"/>
      <c r="AU196" s="45"/>
      <c r="AV196" s="45"/>
      <c r="AW196" s="45"/>
      <c r="AX196" s="45"/>
      <c r="AY196" s="45"/>
      <c r="AZ196" s="45"/>
      <c r="BA196" s="45"/>
      <c r="BB196" s="45"/>
      <c r="BC196" s="45"/>
      <c r="BD196" s="45"/>
      <c r="BE196" s="45"/>
      <c r="BF196" s="45"/>
      <c r="BG196" s="45"/>
      <c r="BH196" s="45"/>
      <c r="BI196" s="45"/>
      <c r="BJ196" s="45"/>
      <c r="BK196" s="45"/>
      <c r="BL196" s="45"/>
      <c r="BM196" s="45"/>
      <c r="BN196" s="45"/>
      <c r="BO196" s="45"/>
      <c r="BP196" s="45"/>
      <c r="BQ196" s="45"/>
      <c r="BR196" s="45"/>
      <c r="BS196" s="45"/>
      <c r="BT196" s="45"/>
      <c r="BU196" s="45"/>
      <c r="BV196" s="45"/>
      <c r="BW196" s="45"/>
      <c r="BX196" s="45"/>
      <c r="BY196" s="45"/>
      <c r="BZ196" s="45"/>
      <c r="CA196" s="45"/>
      <c r="CB196" s="45"/>
      <c r="CC196" s="45"/>
      <c r="CD196" s="45"/>
      <c r="CE196" s="45"/>
      <c r="CF196" s="45"/>
      <c r="CG196" s="45"/>
      <c r="CH196" s="45"/>
      <c r="CI196" s="45"/>
      <c r="CJ196" s="45"/>
      <c r="CK196" s="45"/>
      <c r="CL196" s="45"/>
      <c r="CM196" s="45"/>
      <c r="CN196" s="45"/>
      <c r="CO196" s="45"/>
      <c r="CP196" s="45"/>
      <c r="CQ196" s="45"/>
      <c r="CR196" s="45"/>
      <c r="CS196" s="45"/>
      <c r="CT196" s="45"/>
      <c r="CU196" s="45"/>
      <c r="CV196" s="45"/>
      <c r="CW196" s="45"/>
      <c r="CX196" s="45"/>
      <c r="CY196" s="45"/>
      <c r="CZ196" s="45"/>
      <c r="DA196" s="45"/>
      <c r="DB196" s="45"/>
      <c r="DC196" s="45"/>
      <c r="DD196" s="45"/>
      <c r="DE196" s="45"/>
      <c r="DF196" s="45"/>
      <c r="DG196" s="45"/>
      <c r="DH196" s="45"/>
      <c r="DI196" s="45"/>
      <c r="DJ196" s="45"/>
      <c r="DK196" s="45"/>
      <c r="DL196" s="45"/>
      <c r="DM196" s="45"/>
      <c r="DN196" s="45"/>
      <c r="DO196" s="45"/>
      <c r="DP196" s="45"/>
      <c r="DQ196" s="45"/>
      <c r="DR196" s="45"/>
      <c r="DS196" s="45"/>
      <c r="DT196" s="45"/>
      <c r="DU196" s="45"/>
      <c r="DV196" s="45"/>
      <c r="DW196" s="45"/>
      <c r="DX196" s="45"/>
      <c r="DY196" s="45"/>
      <c r="DZ196" s="45"/>
      <c r="EA196" s="45"/>
      <c r="EB196" s="45"/>
      <c r="EC196" s="45"/>
      <c r="ED196" s="45"/>
      <c r="EE196" s="45"/>
      <c r="EF196" s="45"/>
      <c r="EG196" s="45"/>
      <c r="EH196" s="45"/>
      <c r="EI196" s="45"/>
      <c r="EJ196" s="45"/>
      <c r="EK196" s="45"/>
      <c r="EL196" s="45"/>
      <c r="EM196" s="45"/>
      <c r="EN196" s="45"/>
      <c r="EO196" s="45"/>
      <c r="EP196" s="45"/>
      <c r="EQ196" s="45"/>
    </row>
    <row r="197" spans="1:147" s="92" customFormat="1" ht="15" customHeight="1" x14ac:dyDescent="0.25">
      <c r="A197" s="89" t="s">
        <v>691</v>
      </c>
      <c r="B197" s="137"/>
      <c r="C197" s="89" t="s">
        <v>692</v>
      </c>
      <c r="D197" s="103" t="s">
        <v>537</v>
      </c>
      <c r="E197" s="103"/>
      <c r="F197" s="119"/>
      <c r="G197" s="119"/>
      <c r="H197" s="119"/>
      <c r="I197" s="102"/>
      <c r="J197" s="102"/>
      <c r="K197" s="45"/>
      <c r="L197" s="45"/>
      <c r="M197" s="45"/>
      <c r="N197" s="45"/>
      <c r="O197" s="45"/>
      <c r="P197" s="45"/>
      <c r="Q197" s="45"/>
      <c r="R197" s="45"/>
      <c r="S197" s="45"/>
      <c r="T197" s="45"/>
      <c r="U197" s="45"/>
      <c r="V197" s="45"/>
      <c r="W197" s="45"/>
      <c r="X197" s="45"/>
      <c r="Y197" s="45"/>
      <c r="Z197" s="45"/>
      <c r="AA197" s="45"/>
      <c r="AB197" s="45"/>
      <c r="AC197" s="45"/>
      <c r="AD197" s="45"/>
      <c r="AE197" s="45"/>
      <c r="AF197" s="45"/>
      <c r="AG197" s="45"/>
      <c r="AH197" s="45"/>
      <c r="AI197" s="45"/>
      <c r="AJ197" s="45"/>
      <c r="AK197" s="45"/>
      <c r="AL197" s="45"/>
      <c r="AM197" s="45"/>
      <c r="AN197" s="45"/>
      <c r="AO197" s="45"/>
      <c r="AP197" s="45"/>
      <c r="AQ197" s="45"/>
      <c r="AR197" s="45"/>
      <c r="AS197" s="45"/>
      <c r="AT197" s="45"/>
      <c r="AU197" s="45"/>
      <c r="AV197" s="45"/>
      <c r="AW197" s="45"/>
      <c r="AX197" s="45"/>
      <c r="AY197" s="45"/>
      <c r="AZ197" s="45"/>
      <c r="BA197" s="45"/>
      <c r="BB197" s="45"/>
      <c r="BC197" s="45"/>
      <c r="BD197" s="45"/>
      <c r="BE197" s="45"/>
      <c r="BF197" s="45"/>
      <c r="BG197" s="45"/>
      <c r="BH197" s="45"/>
      <c r="BI197" s="45"/>
      <c r="BJ197" s="45"/>
      <c r="BK197" s="45"/>
      <c r="BL197" s="45"/>
      <c r="BM197" s="45"/>
      <c r="BN197" s="45"/>
      <c r="BO197" s="45"/>
      <c r="BP197" s="45"/>
      <c r="BQ197" s="45"/>
      <c r="BR197" s="45"/>
      <c r="BS197" s="45"/>
      <c r="BT197" s="45"/>
      <c r="BU197" s="45"/>
      <c r="BV197" s="45"/>
      <c r="BW197" s="45"/>
      <c r="BX197" s="45"/>
      <c r="BY197" s="45"/>
      <c r="BZ197" s="45"/>
      <c r="CA197" s="45"/>
      <c r="CB197" s="45"/>
      <c r="CC197" s="45"/>
      <c r="CD197" s="45"/>
      <c r="CE197" s="45"/>
      <c r="CF197" s="45"/>
      <c r="CG197" s="45"/>
      <c r="CH197" s="45"/>
      <c r="CI197" s="45"/>
      <c r="CJ197" s="45"/>
      <c r="CK197" s="45"/>
      <c r="CL197" s="45"/>
      <c r="CM197" s="45"/>
      <c r="CN197" s="45"/>
      <c r="CO197" s="45"/>
      <c r="CP197" s="45"/>
      <c r="CQ197" s="45"/>
      <c r="CR197" s="45"/>
      <c r="CS197" s="45"/>
      <c r="CT197" s="45"/>
      <c r="CU197" s="45"/>
      <c r="CV197" s="45"/>
      <c r="CW197" s="45"/>
      <c r="CX197" s="45"/>
      <c r="CY197" s="45"/>
      <c r="CZ197" s="45"/>
      <c r="DA197" s="45"/>
      <c r="DB197" s="45"/>
      <c r="DC197" s="45"/>
      <c r="DD197" s="45"/>
      <c r="DE197" s="45"/>
      <c r="DF197" s="45"/>
      <c r="DG197" s="45"/>
      <c r="DH197" s="45"/>
      <c r="DI197" s="45"/>
      <c r="DJ197" s="45"/>
      <c r="DK197" s="45"/>
      <c r="DL197" s="45"/>
      <c r="DM197" s="45"/>
      <c r="DN197" s="45"/>
      <c r="DO197" s="45"/>
      <c r="DP197" s="45"/>
      <c r="DQ197" s="45"/>
      <c r="DR197" s="45"/>
      <c r="DS197" s="45"/>
      <c r="DT197" s="45"/>
      <c r="DU197" s="45"/>
      <c r="DV197" s="45"/>
      <c r="DW197" s="45"/>
      <c r="DX197" s="45"/>
      <c r="DY197" s="45"/>
      <c r="DZ197" s="45"/>
      <c r="EA197" s="45"/>
      <c r="EB197" s="45"/>
      <c r="EC197" s="45"/>
      <c r="ED197" s="45"/>
      <c r="EE197" s="45"/>
      <c r="EF197" s="45"/>
      <c r="EG197" s="45"/>
      <c r="EH197" s="45"/>
      <c r="EI197" s="45"/>
      <c r="EJ197" s="45"/>
      <c r="EK197" s="45"/>
      <c r="EL197" s="45"/>
      <c r="EM197" s="45"/>
      <c r="EN197" s="45"/>
      <c r="EO197" s="45"/>
      <c r="EP197" s="45"/>
      <c r="EQ197" s="45"/>
    </row>
    <row r="198" spans="1:147" s="92" customFormat="1" ht="15" customHeight="1" x14ac:dyDescent="0.25">
      <c r="A198" s="11" t="s">
        <v>693</v>
      </c>
      <c r="B198" s="136" t="s">
        <v>933</v>
      </c>
      <c r="C198" s="11" t="s">
        <v>694</v>
      </c>
      <c r="D198" s="107" t="s">
        <v>847</v>
      </c>
      <c r="E198" s="107"/>
      <c r="F198" s="118"/>
      <c r="G198" s="118"/>
      <c r="H198" s="118"/>
      <c r="I198" s="106"/>
      <c r="J198" s="109" t="s">
        <v>233</v>
      </c>
      <c r="K198" s="45">
        <v>5057.0291262135925</v>
      </c>
      <c r="L198" s="45">
        <v>6258.5927827145397</v>
      </c>
      <c r="M198" s="45">
        <v>122.32490155280648</v>
      </c>
      <c r="N198" s="45"/>
      <c r="O198" s="45"/>
      <c r="P198" s="45"/>
      <c r="Q198" s="45"/>
      <c r="R198" s="45">
        <v>39988.641704806549</v>
      </c>
      <c r="S198" s="45"/>
      <c r="T198" s="45"/>
      <c r="U198" s="45"/>
      <c r="V198" s="45"/>
      <c r="W198" s="45"/>
      <c r="X198" s="45"/>
      <c r="Y198" s="45"/>
      <c r="Z198" s="45"/>
      <c r="AA198" s="45"/>
      <c r="AB198" s="45"/>
      <c r="AC198" s="45"/>
      <c r="AD198" s="45">
        <v>49854.339343006475</v>
      </c>
      <c r="AE198" s="45">
        <v>99.174179701230315</v>
      </c>
      <c r="AF198" s="45">
        <v>23588.077985322368</v>
      </c>
      <c r="AG198" s="45">
        <v>17233.192874194119</v>
      </c>
      <c r="AH198" s="45"/>
      <c r="AI198" s="45"/>
      <c r="AJ198" s="45">
        <v>0.17976058897315406</v>
      </c>
      <c r="AK198" s="45"/>
      <c r="AL198" s="45"/>
      <c r="AM198" s="45">
        <v>1.1223803012606508</v>
      </c>
      <c r="AN198" s="45"/>
      <c r="AO198" s="45">
        <v>9.9824369656250198</v>
      </c>
      <c r="AP198" s="45">
        <v>6.2864372632369422E-2</v>
      </c>
      <c r="AQ198" s="45">
        <v>0.25933462773831167</v>
      </c>
      <c r="AR198" s="45">
        <v>0.71434879919016425</v>
      </c>
      <c r="AS198" s="45">
        <v>13.325269639374044</v>
      </c>
      <c r="AT198" s="45">
        <v>4.31132313583205E-2</v>
      </c>
      <c r="AU198" s="45"/>
      <c r="AV198" s="45">
        <v>0.10293141316344688</v>
      </c>
      <c r="AW198" s="45"/>
      <c r="AX198" s="45">
        <v>0.54846792146899981</v>
      </c>
      <c r="AY198" s="45">
        <v>4.1737597427672815E-2</v>
      </c>
      <c r="AZ198" s="45">
        <v>0.23879045110323702</v>
      </c>
      <c r="BA198" s="45"/>
      <c r="BB198" s="45"/>
      <c r="BC198" s="45"/>
      <c r="BD198" s="45"/>
      <c r="BE198" s="45"/>
      <c r="BF198" s="45">
        <v>1.9774031527996891</v>
      </c>
      <c r="BG198" s="45"/>
      <c r="BH198" s="45"/>
      <c r="BI198" s="45"/>
      <c r="BJ198" s="45"/>
      <c r="BK198" s="45"/>
      <c r="BL198" s="45"/>
      <c r="BM198" s="45"/>
      <c r="BN198" s="45"/>
      <c r="BO198" s="45"/>
      <c r="BP198" s="45">
        <v>0.10597394151815105</v>
      </c>
      <c r="BQ198" s="45">
        <v>0.85309620286048671</v>
      </c>
      <c r="BR198" s="45"/>
      <c r="BS198" s="45"/>
      <c r="BT198" s="45">
        <v>93.573665578461316</v>
      </c>
      <c r="BU198" s="45"/>
      <c r="BV198" s="45"/>
      <c r="BW198" s="45">
        <v>125.19917033426374</v>
      </c>
      <c r="BX198" s="45"/>
      <c r="BY198" s="45">
        <v>15825.821601167045</v>
      </c>
      <c r="BZ198" s="45">
        <v>954.81103245875624</v>
      </c>
      <c r="CA198" s="45">
        <v>6.8912780316438331</v>
      </c>
      <c r="CB198" s="45">
        <v>34.939210795437035</v>
      </c>
      <c r="CC198" s="45">
        <v>378418.3275095548</v>
      </c>
      <c r="CD198" s="45">
        <v>109.96617199481581</v>
      </c>
      <c r="CE198" s="45"/>
      <c r="CF198" s="45">
        <v>3313.3440068761474</v>
      </c>
      <c r="CG198" s="45"/>
      <c r="CH198" s="45">
        <v>24.567530582918046</v>
      </c>
      <c r="CI198" s="45">
        <v>120.53228377662651</v>
      </c>
      <c r="CJ198" s="45">
        <v>332.23108780640774</v>
      </c>
      <c r="CK198" s="45"/>
      <c r="CL198" s="45"/>
      <c r="CM198" s="45"/>
      <c r="CN198" s="45"/>
      <c r="CO198" s="45"/>
      <c r="CP198" s="45">
        <v>403056.75202462502</v>
      </c>
      <c r="CQ198" s="45"/>
      <c r="CR198" s="45"/>
      <c r="CS198" s="45"/>
      <c r="CT198" s="45"/>
      <c r="CU198" s="45"/>
      <c r="CV198" s="45"/>
      <c r="CW198" s="45"/>
      <c r="CX198" s="45"/>
      <c r="CY198" s="45"/>
      <c r="CZ198" s="45">
        <v>13.239515858966302</v>
      </c>
      <c r="DA198" s="45">
        <v>19.883174444472345</v>
      </c>
      <c r="DB198" s="45"/>
      <c r="DC198" s="45"/>
      <c r="DD198" s="45">
        <v>23700376.321775313</v>
      </c>
      <c r="DE198" s="45"/>
      <c r="DF198" s="45"/>
      <c r="DG198" s="45">
        <v>46334843.916782245</v>
      </c>
      <c r="DH198" s="45"/>
      <c r="DI198" s="45">
        <v>1089790508.737864</v>
      </c>
      <c r="DJ198" s="45">
        <v>136041408.08876559</v>
      </c>
      <c r="DK198" s="45">
        <v>75746799.66712898</v>
      </c>
      <c r="DL198" s="45">
        <v>234036049.30929264</v>
      </c>
      <c r="DM198" s="45">
        <v>400654887.05686545</v>
      </c>
      <c r="DN198" s="45">
        <v>48905620.771151178</v>
      </c>
      <c r="DO198" s="45"/>
      <c r="DP198" s="45">
        <v>96500970.341192782</v>
      </c>
      <c r="DQ198" s="45"/>
      <c r="DR198" s="45">
        <v>112136765.78085992</v>
      </c>
      <c r="DS198" s="45">
        <v>22831484.626907073</v>
      </c>
      <c r="DT198" s="45">
        <v>506161228.69348127</v>
      </c>
      <c r="DU198" s="45"/>
      <c r="DV198" s="45"/>
      <c r="DW198" s="45"/>
      <c r="DX198" s="45"/>
      <c r="DY198" s="45"/>
      <c r="DZ198" s="45">
        <v>165347081.18220946</v>
      </c>
      <c r="EA198" s="45"/>
      <c r="EB198" s="45"/>
      <c r="EC198" s="45"/>
      <c r="ED198" s="45"/>
      <c r="EE198" s="45"/>
      <c r="EF198" s="45"/>
      <c r="EG198" s="45"/>
      <c r="EH198" s="45"/>
      <c r="EI198" s="45"/>
      <c r="EJ198" s="45">
        <v>64914015.866851598</v>
      </c>
      <c r="EK198" s="45">
        <v>28434897.841886271</v>
      </c>
      <c r="EL198" s="45">
        <v>5.2692782860746386</v>
      </c>
      <c r="EM198" s="45">
        <v>9.6011227148487652</v>
      </c>
      <c r="EN198" s="45">
        <v>4.3317995175943071</v>
      </c>
      <c r="EO198" s="45"/>
      <c r="EP198" s="45"/>
      <c r="EQ198" s="45"/>
    </row>
    <row r="199" spans="1:147" s="92" customFormat="1" ht="15" customHeight="1" x14ac:dyDescent="0.25">
      <c r="A199" s="89" t="s">
        <v>695</v>
      </c>
      <c r="B199" s="137"/>
      <c r="C199" s="89" t="s">
        <v>696</v>
      </c>
      <c r="D199" s="103" t="s">
        <v>532</v>
      </c>
      <c r="E199" s="103"/>
      <c r="F199" s="119"/>
      <c r="G199" s="119"/>
      <c r="H199" s="119"/>
      <c r="I199" s="102"/>
      <c r="J199" s="102"/>
      <c r="K199" s="45"/>
      <c r="L199" s="45"/>
      <c r="M199" s="45"/>
      <c r="N199" s="45"/>
      <c r="O199" s="45"/>
      <c r="P199" s="45"/>
      <c r="Q199" s="45"/>
      <c r="R199" s="45"/>
      <c r="S199" s="45"/>
      <c r="T199" s="45"/>
      <c r="U199" s="45"/>
      <c r="V199" s="45"/>
      <c r="W199" s="45"/>
      <c r="X199" s="45"/>
      <c r="Y199" s="45"/>
      <c r="Z199" s="45"/>
      <c r="AA199" s="45"/>
      <c r="AB199" s="45"/>
      <c r="AC199" s="45"/>
      <c r="AD199" s="45"/>
      <c r="AE199" s="45"/>
      <c r="AF199" s="45"/>
      <c r="AG199" s="45"/>
      <c r="AH199" s="45"/>
      <c r="AI199" s="45"/>
      <c r="AJ199" s="45"/>
      <c r="AK199" s="45"/>
      <c r="AL199" s="45"/>
      <c r="AM199" s="45"/>
      <c r="AN199" s="45"/>
      <c r="AO199" s="45"/>
      <c r="AP199" s="45"/>
      <c r="AQ199" s="45"/>
      <c r="AR199" s="45"/>
      <c r="AS199" s="45"/>
      <c r="AT199" s="45"/>
      <c r="AU199" s="45"/>
      <c r="AV199" s="45"/>
      <c r="AW199" s="45"/>
      <c r="AX199" s="45"/>
      <c r="AY199" s="45"/>
      <c r="AZ199" s="45"/>
      <c r="BA199" s="45"/>
      <c r="BB199" s="45"/>
      <c r="BC199" s="45"/>
      <c r="BD199" s="45"/>
      <c r="BE199" s="45"/>
      <c r="BF199" s="45"/>
      <c r="BG199" s="45"/>
      <c r="BH199" s="45"/>
      <c r="BI199" s="45"/>
      <c r="BJ199" s="45"/>
      <c r="BK199" s="45"/>
      <c r="BL199" s="45"/>
      <c r="BM199" s="45"/>
      <c r="BN199" s="45"/>
      <c r="BO199" s="45"/>
      <c r="BP199" s="45"/>
      <c r="BQ199" s="45"/>
      <c r="BR199" s="45"/>
      <c r="BS199" s="45"/>
      <c r="BT199" s="45"/>
      <c r="BU199" s="45"/>
      <c r="BV199" s="45"/>
      <c r="BW199" s="45"/>
      <c r="BX199" s="45"/>
      <c r="BY199" s="45"/>
      <c r="BZ199" s="45"/>
      <c r="CA199" s="45"/>
      <c r="CB199" s="45"/>
      <c r="CC199" s="45"/>
      <c r="CD199" s="45"/>
      <c r="CE199" s="45"/>
      <c r="CF199" s="45"/>
      <c r="CG199" s="45"/>
      <c r="CH199" s="45"/>
      <c r="CI199" s="45"/>
      <c r="CJ199" s="45"/>
      <c r="CK199" s="45"/>
      <c r="CL199" s="45"/>
      <c r="CM199" s="45"/>
      <c r="CN199" s="45"/>
      <c r="CO199" s="45"/>
      <c r="CP199" s="45"/>
      <c r="CQ199" s="45"/>
      <c r="CR199" s="45"/>
      <c r="CS199" s="45"/>
      <c r="CT199" s="45"/>
      <c r="CU199" s="45"/>
      <c r="CV199" s="45"/>
      <c r="CW199" s="45"/>
      <c r="CX199" s="45"/>
      <c r="CY199" s="45"/>
      <c r="CZ199" s="45"/>
      <c r="DA199" s="45"/>
      <c r="DB199" s="45"/>
      <c r="DC199" s="45"/>
      <c r="DD199" s="45"/>
      <c r="DE199" s="45"/>
      <c r="DF199" s="45"/>
      <c r="DG199" s="45"/>
      <c r="DH199" s="45"/>
      <c r="DI199" s="45"/>
      <c r="DJ199" s="45"/>
      <c r="DK199" s="45"/>
      <c r="DL199" s="45"/>
      <c r="DM199" s="45"/>
      <c r="DN199" s="45"/>
      <c r="DO199" s="45"/>
      <c r="DP199" s="45"/>
      <c r="DQ199" s="45"/>
      <c r="DR199" s="45"/>
      <c r="DS199" s="45"/>
      <c r="DT199" s="45"/>
      <c r="DU199" s="45"/>
      <c r="DV199" s="45"/>
      <c r="DW199" s="45"/>
      <c r="DX199" s="45"/>
      <c r="DY199" s="45"/>
      <c r="DZ199" s="45"/>
      <c r="EA199" s="45"/>
      <c r="EB199" s="45"/>
      <c r="EC199" s="45"/>
      <c r="ED199" s="45"/>
      <c r="EE199" s="45"/>
      <c r="EF199" s="45"/>
      <c r="EG199" s="45"/>
      <c r="EH199" s="45"/>
      <c r="EI199" s="45"/>
      <c r="EJ199" s="45"/>
      <c r="EK199" s="45"/>
      <c r="EL199" s="45"/>
      <c r="EM199" s="45"/>
      <c r="EN199" s="45"/>
      <c r="EO199" s="45"/>
      <c r="EP199" s="45"/>
      <c r="EQ199" s="45"/>
    </row>
    <row r="200" spans="1:147" s="92" customFormat="1" ht="15" customHeight="1" x14ac:dyDescent="0.25">
      <c r="A200" s="11" t="s">
        <v>697</v>
      </c>
      <c r="B200" s="136" t="s">
        <v>963</v>
      </c>
      <c r="C200" s="11" t="s">
        <v>698</v>
      </c>
      <c r="D200" s="107" t="s">
        <v>532</v>
      </c>
      <c r="E200" s="107"/>
      <c r="F200" s="118"/>
      <c r="G200" s="118"/>
      <c r="H200" s="118"/>
      <c r="I200" s="106"/>
      <c r="J200" s="109" t="s">
        <v>233</v>
      </c>
      <c r="K200" s="45">
        <v>12651.307371349096</v>
      </c>
      <c r="L200" s="45">
        <v>8564.4547291807685</v>
      </c>
      <c r="M200" s="45">
        <v>133.00801000442755</v>
      </c>
      <c r="N200" s="45"/>
      <c r="O200" s="45"/>
      <c r="P200" s="45"/>
      <c r="Q200" s="45">
        <v>2.1162639877713558</v>
      </c>
      <c r="R200" s="45"/>
      <c r="S200" s="45"/>
      <c r="T200" s="45"/>
      <c r="U200" s="45">
        <v>136571.18869762198</v>
      </c>
      <c r="V200" s="45"/>
      <c r="W200" s="45"/>
      <c r="X200" s="45"/>
      <c r="Y200" s="45"/>
      <c r="Z200" s="45"/>
      <c r="AA200" s="45"/>
      <c r="AB200" s="45"/>
      <c r="AC200" s="45"/>
      <c r="AD200" s="45">
        <v>14.578810998670733</v>
      </c>
      <c r="AE200" s="45">
        <v>98.831669784005314</v>
      </c>
      <c r="AF200" s="45">
        <v>40387.154344217357</v>
      </c>
      <c r="AG200" s="45">
        <v>21849.528803484925</v>
      </c>
      <c r="AH200" s="45">
        <v>9.5077825236889151</v>
      </c>
      <c r="AI200" s="45"/>
      <c r="AJ200" s="45">
        <v>4.018857021346791E-2</v>
      </c>
      <c r="AK200" s="45"/>
      <c r="AL200" s="45">
        <v>0.99957296766265658</v>
      </c>
      <c r="AM200" s="45">
        <v>6.6324585816782744E-2</v>
      </c>
      <c r="AN200" s="45"/>
      <c r="AO200" s="45">
        <v>15.643485656020626</v>
      </c>
      <c r="AP200" s="45">
        <v>0.65621416233238228</v>
      </c>
      <c r="AQ200" s="45">
        <v>8.1375968773737331E-2</v>
      </c>
      <c r="AR200" s="45">
        <v>0.39985606509842114</v>
      </c>
      <c r="AS200" s="45">
        <v>4.9750975497970291</v>
      </c>
      <c r="AT200" s="45">
        <v>0.12793856756263738</v>
      </c>
      <c r="AU200" s="45">
        <v>0.53767556706473441</v>
      </c>
      <c r="AV200" s="45">
        <v>0.23550248042937963</v>
      </c>
      <c r="AW200" s="45">
        <v>1.1624063259189781E-2</v>
      </c>
      <c r="AX200" s="45"/>
      <c r="AY200" s="45">
        <v>2.7151767993493118E-2</v>
      </c>
      <c r="AZ200" s="45">
        <v>1.3898226563603511</v>
      </c>
      <c r="BA200" s="45"/>
      <c r="BB200" s="45"/>
      <c r="BC200" s="45"/>
      <c r="BD200" s="45"/>
      <c r="BE200" s="45"/>
      <c r="BF200" s="45"/>
      <c r="BG200" s="45"/>
      <c r="BH200" s="45"/>
      <c r="BI200" s="45"/>
      <c r="BJ200" s="45"/>
      <c r="BK200" s="45"/>
      <c r="BL200" s="45"/>
      <c r="BM200" s="45"/>
      <c r="BN200" s="45"/>
      <c r="BO200" s="45"/>
      <c r="BP200" s="45">
        <v>4.6020923225485004E-2</v>
      </c>
      <c r="BQ200" s="45">
        <v>0.19767851225940902</v>
      </c>
      <c r="BR200" s="45">
        <v>70909.317944402705</v>
      </c>
      <c r="BS200" s="45"/>
      <c r="BT200" s="45">
        <v>101.99708198290043</v>
      </c>
      <c r="BU200" s="45"/>
      <c r="BV200" s="45">
        <v>652.70224628397364</v>
      </c>
      <c r="BW200" s="45">
        <v>20.456248426860782</v>
      </c>
      <c r="BX200" s="45"/>
      <c r="BY200" s="45">
        <v>57579.931241135455</v>
      </c>
      <c r="BZ200" s="45">
        <v>24352.318031814339</v>
      </c>
      <c r="CA200" s="45">
        <v>6.8994194612750741</v>
      </c>
      <c r="CB200" s="45">
        <v>37.326602993925086</v>
      </c>
      <c r="CC200" s="45">
        <v>129416.06801658765</v>
      </c>
      <c r="CD200" s="45">
        <v>25506.871095367223</v>
      </c>
      <c r="CE200" s="45">
        <v>29248.726824339108</v>
      </c>
      <c r="CF200" s="45">
        <v>8673.3057821933307</v>
      </c>
      <c r="CG200" s="45">
        <v>9.4329770095322036</v>
      </c>
      <c r="CH200" s="45"/>
      <c r="CI200" s="45">
        <v>120.56998242069842</v>
      </c>
      <c r="CJ200" s="45">
        <v>137321.0837161424</v>
      </c>
      <c r="CK200" s="45"/>
      <c r="CL200" s="45"/>
      <c r="CM200" s="45"/>
      <c r="CN200" s="45"/>
      <c r="CO200" s="45"/>
      <c r="CP200" s="45"/>
      <c r="CQ200" s="45"/>
      <c r="CR200" s="45"/>
      <c r="CS200" s="45"/>
      <c r="CT200" s="45"/>
      <c r="CU200" s="45"/>
      <c r="CV200" s="45"/>
      <c r="CW200" s="45"/>
      <c r="CX200" s="45"/>
      <c r="CY200" s="45"/>
      <c r="CZ200" s="45">
        <v>13.256860068849182</v>
      </c>
      <c r="DA200" s="45">
        <v>1.1196403995839317</v>
      </c>
      <c r="DB200" s="45">
        <v>1431398288.9123783</v>
      </c>
      <c r="DC200" s="45"/>
      <c r="DD200" s="45">
        <v>23097400.968011126</v>
      </c>
      <c r="DE200" s="45"/>
      <c r="DF200" s="45">
        <v>146838190.8040404</v>
      </c>
      <c r="DG200" s="45">
        <v>17800503.899860919</v>
      </c>
      <c r="DH200" s="45"/>
      <c r="DI200" s="45">
        <v>1882940149.6745479</v>
      </c>
      <c r="DJ200" s="45">
        <v>287407706.43671769</v>
      </c>
      <c r="DK200" s="45">
        <v>74888182.030598059</v>
      </c>
      <c r="DL200" s="45">
        <v>228465109.98609179</v>
      </c>
      <c r="DM200" s="45">
        <v>367210456.12239224</v>
      </c>
      <c r="DN200" s="45">
        <v>89167926.119610563</v>
      </c>
      <c r="DO200" s="45">
        <v>155794362.21418637</v>
      </c>
      <c r="DP200" s="45">
        <v>101053014.16411683</v>
      </c>
      <c r="DQ200" s="45">
        <v>93982930.78164117</v>
      </c>
      <c r="DR200" s="45"/>
      <c r="DS200" s="45">
        <v>21040411.415855356</v>
      </c>
      <c r="DT200" s="45">
        <v>1180165275.2378304</v>
      </c>
      <c r="DU200" s="45"/>
      <c r="DV200" s="45"/>
      <c r="DW200" s="45"/>
      <c r="DX200" s="45"/>
      <c r="DY200" s="45"/>
      <c r="DZ200" s="45"/>
      <c r="EA200" s="45"/>
      <c r="EB200" s="45"/>
      <c r="EC200" s="45"/>
      <c r="ED200" s="45"/>
      <c r="EE200" s="45"/>
      <c r="EF200" s="45"/>
      <c r="EG200" s="45"/>
      <c r="EH200" s="45"/>
      <c r="EI200" s="45"/>
      <c r="EJ200" s="45">
        <v>64323435.883171074</v>
      </c>
      <c r="EK200" s="45">
        <v>23870023.922114048</v>
      </c>
      <c r="EL200" s="45">
        <v>7.2792857657442651</v>
      </c>
      <c r="EM200" s="45">
        <v>18.126771331186664</v>
      </c>
      <c r="EN200" s="45">
        <v>10.815692107546427</v>
      </c>
      <c r="EO200" s="45"/>
      <c r="EP200" s="45"/>
      <c r="EQ200" s="45"/>
    </row>
    <row r="201" spans="1:147" s="92" customFormat="1" ht="15" customHeight="1" x14ac:dyDescent="0.25">
      <c r="A201" s="11" t="s">
        <v>699</v>
      </c>
      <c r="B201" s="136" t="s">
        <v>962</v>
      </c>
      <c r="C201" s="11" t="s">
        <v>700</v>
      </c>
      <c r="D201" s="107" t="s">
        <v>595</v>
      </c>
      <c r="E201" s="107"/>
      <c r="F201" s="118"/>
      <c r="G201" s="118"/>
      <c r="H201" s="118"/>
      <c r="I201" s="106"/>
      <c r="J201" s="109" t="s">
        <v>233</v>
      </c>
      <c r="K201" s="45">
        <v>15730.615811373093</v>
      </c>
      <c r="L201" s="45">
        <v>5922.1022380340573</v>
      </c>
      <c r="M201" s="45">
        <v>83.58822627387552</v>
      </c>
      <c r="N201" s="45"/>
      <c r="O201" s="45"/>
      <c r="P201" s="45"/>
      <c r="Q201" s="45"/>
      <c r="R201" s="45">
        <v>5477.9119107763145</v>
      </c>
      <c r="S201" s="45"/>
      <c r="T201" s="45"/>
      <c r="U201" s="45"/>
      <c r="V201" s="45"/>
      <c r="W201" s="45"/>
      <c r="X201" s="45"/>
      <c r="Y201" s="45"/>
      <c r="Z201" s="45"/>
      <c r="AA201" s="45"/>
      <c r="AB201" s="45"/>
      <c r="AC201" s="45"/>
      <c r="AD201" s="45">
        <v>9763.5655059719465</v>
      </c>
      <c r="AE201" s="45">
        <v>99.332298895950103</v>
      </c>
      <c r="AF201" s="45">
        <v>27035.165531923893</v>
      </c>
      <c r="AG201" s="45">
        <v>13222.732981838659</v>
      </c>
      <c r="AH201" s="45"/>
      <c r="AI201" s="45"/>
      <c r="AJ201" s="45">
        <v>5.0058891644566283E-2</v>
      </c>
      <c r="AK201" s="45"/>
      <c r="AL201" s="45"/>
      <c r="AM201" s="45">
        <v>0.7626486861807914</v>
      </c>
      <c r="AN201" s="45"/>
      <c r="AO201" s="45"/>
      <c r="AP201" s="45">
        <v>2.9848678897280831</v>
      </c>
      <c r="AQ201" s="45">
        <v>8.8817594472434286E-2</v>
      </c>
      <c r="AR201" s="45">
        <v>0.44432118709429075</v>
      </c>
      <c r="AS201" s="45">
        <v>6.8020496344874122</v>
      </c>
      <c r="AT201" s="45">
        <v>7.5748641526684465E-2</v>
      </c>
      <c r="AU201" s="45">
        <v>0.37705432802415828</v>
      </c>
      <c r="AV201" s="45">
        <v>0.66658220669481805</v>
      </c>
      <c r="AW201" s="45">
        <v>7.8774248377787726E-3</v>
      </c>
      <c r="AX201" s="45"/>
      <c r="AY201" s="45">
        <v>3.3275598313859067E-2</v>
      </c>
      <c r="AZ201" s="45">
        <v>0.43736441821335498</v>
      </c>
      <c r="BA201" s="45"/>
      <c r="BB201" s="45"/>
      <c r="BC201" s="45"/>
      <c r="BD201" s="45"/>
      <c r="BE201" s="45"/>
      <c r="BF201" s="45"/>
      <c r="BG201" s="45"/>
      <c r="BH201" s="45"/>
      <c r="BI201" s="45"/>
      <c r="BJ201" s="45"/>
      <c r="BK201" s="45"/>
      <c r="BL201" s="45"/>
      <c r="BM201" s="45"/>
      <c r="BN201" s="45"/>
      <c r="BO201" s="45"/>
      <c r="BP201" s="45">
        <v>5.2447696396925744E-2</v>
      </c>
      <c r="BQ201" s="45">
        <v>0.34990805852057227</v>
      </c>
      <c r="BR201" s="45"/>
      <c r="BS201" s="45"/>
      <c r="BT201" s="45">
        <v>105.27498684598912</v>
      </c>
      <c r="BU201" s="45"/>
      <c r="BV201" s="45"/>
      <c r="BW201" s="45">
        <v>210.98904450146696</v>
      </c>
      <c r="BX201" s="45"/>
      <c r="BY201" s="45"/>
      <c r="BZ201" s="45">
        <v>456546.94609432213</v>
      </c>
      <c r="CA201" s="45">
        <v>0</v>
      </c>
      <c r="CB201" s="45">
        <v>5.427228032117692</v>
      </c>
      <c r="CC201" s="45">
        <v>566381.31583757431</v>
      </c>
      <c r="CD201" s="45">
        <v>100.15368647637393</v>
      </c>
      <c r="CE201" s="45">
        <v>13414.551440580146</v>
      </c>
      <c r="CF201" s="45">
        <v>4802.3986823023679</v>
      </c>
      <c r="CG201" s="45">
        <v>0.52068048122376143</v>
      </c>
      <c r="CH201" s="45"/>
      <c r="CI201" s="45">
        <v>127.27649431466494</v>
      </c>
      <c r="CJ201" s="45">
        <v>36119.534977110205</v>
      </c>
      <c r="CK201" s="45"/>
      <c r="CL201" s="45"/>
      <c r="CM201" s="45"/>
      <c r="CN201" s="45"/>
      <c r="CO201" s="45"/>
      <c r="CP201" s="45"/>
      <c r="CQ201" s="45"/>
      <c r="CR201" s="45"/>
      <c r="CS201" s="45"/>
      <c r="CT201" s="45"/>
      <c r="CU201" s="45"/>
      <c r="CV201" s="45"/>
      <c r="CW201" s="45"/>
      <c r="CX201" s="45"/>
      <c r="CY201" s="45"/>
      <c r="CZ201" s="45">
        <v>13.24335051594182</v>
      </c>
      <c r="DA201" s="45">
        <v>11.973319914309904</v>
      </c>
      <c r="DB201" s="45"/>
      <c r="DC201" s="45"/>
      <c r="DD201" s="45">
        <v>21034959.711511791</v>
      </c>
      <c r="DE201" s="45"/>
      <c r="DF201" s="45"/>
      <c r="DG201" s="45">
        <v>81858429.337031901</v>
      </c>
      <c r="DH201" s="45"/>
      <c r="DI201" s="45"/>
      <c r="DJ201" s="45">
        <v>186087972.21636617</v>
      </c>
      <c r="DK201" s="45">
        <v>67215428.171983361</v>
      </c>
      <c r="DL201" s="45">
        <v>170288319.7337032</v>
      </c>
      <c r="DM201" s="45">
        <v>380317122.21914011</v>
      </c>
      <c r="DN201" s="45">
        <v>45144731.517337032</v>
      </c>
      <c r="DO201" s="45">
        <v>154253576.16643551</v>
      </c>
      <c r="DP201" s="45">
        <v>108082396.13869625</v>
      </c>
      <c r="DQ201" s="45">
        <v>90573427.750346735</v>
      </c>
      <c r="DR201" s="45"/>
      <c r="DS201" s="45">
        <v>22133238.768377256</v>
      </c>
      <c r="DT201" s="45">
        <v>518228067.01272267</v>
      </c>
      <c r="DU201" s="45"/>
      <c r="DV201" s="45"/>
      <c r="DW201" s="45"/>
      <c r="DX201" s="45"/>
      <c r="DY201" s="45"/>
      <c r="DZ201" s="45"/>
      <c r="EA201" s="45"/>
      <c r="EB201" s="45"/>
      <c r="EC201" s="45"/>
      <c r="ED201" s="45"/>
      <c r="EE201" s="45"/>
      <c r="EF201" s="45"/>
      <c r="EG201" s="45"/>
      <c r="EH201" s="45"/>
      <c r="EI201" s="45"/>
      <c r="EJ201" s="45">
        <v>64858836.327323161</v>
      </c>
      <c r="EK201" s="45">
        <v>28233040.599167824</v>
      </c>
      <c r="EL201" s="45">
        <v>5.4352127664492329</v>
      </c>
      <c r="EM201" s="45">
        <v>10.114389317095814</v>
      </c>
      <c r="EN201" s="45">
        <v>4.6780612597351778</v>
      </c>
      <c r="EO201" s="45"/>
      <c r="EP201" s="45"/>
      <c r="EQ201" s="45"/>
    </row>
    <row r="202" spans="1:147" s="92" customFormat="1" ht="15" customHeight="1" x14ac:dyDescent="0.25">
      <c r="A202" s="11" t="s">
        <v>701</v>
      </c>
      <c r="B202" s="136" t="s">
        <v>961</v>
      </c>
      <c r="C202" s="11" t="s">
        <v>702</v>
      </c>
      <c r="D202" s="107" t="s">
        <v>601</v>
      </c>
      <c r="E202" s="107"/>
      <c r="F202" s="118"/>
      <c r="G202" s="118"/>
      <c r="H202" s="118"/>
      <c r="I202" s="106"/>
      <c r="J202" s="109" t="s">
        <v>233</v>
      </c>
      <c r="K202" s="45">
        <v>2415.8843537414964</v>
      </c>
      <c r="L202" s="45">
        <v>4489.3989993042751</v>
      </c>
      <c r="M202" s="45">
        <v>245.25833427268478</v>
      </c>
      <c r="N202" s="45"/>
      <c r="O202" s="45"/>
      <c r="P202" s="45"/>
      <c r="Q202" s="45"/>
      <c r="R202" s="45">
        <v>14786.309059079626</v>
      </c>
      <c r="S202" s="45"/>
      <c r="T202" s="45"/>
      <c r="U202" s="45"/>
      <c r="V202" s="45"/>
      <c r="W202" s="45"/>
      <c r="X202" s="45"/>
      <c r="Y202" s="45"/>
      <c r="Z202" s="45"/>
      <c r="AA202" s="45">
        <v>19426.839812457234</v>
      </c>
      <c r="AB202" s="45"/>
      <c r="AC202" s="45"/>
      <c r="AD202" s="45"/>
      <c r="AE202" s="45">
        <v>97.248738163728305</v>
      </c>
      <c r="AF202" s="45">
        <v>35690.928688315296</v>
      </c>
      <c r="AG202" s="45">
        <v>16803.216165284935</v>
      </c>
      <c r="AH202" s="45"/>
      <c r="AI202" s="45"/>
      <c r="AJ202" s="45">
        <v>0.17367424124845096</v>
      </c>
      <c r="AK202" s="45"/>
      <c r="AL202" s="45"/>
      <c r="AM202" s="45">
        <v>0.64740210079725258</v>
      </c>
      <c r="AN202" s="45"/>
      <c r="AO202" s="45">
        <v>7.0282741927949957</v>
      </c>
      <c r="AP202" s="45">
        <v>2.2575323958447798E-2</v>
      </c>
      <c r="AQ202" s="45">
        <v>0.22860396038112404</v>
      </c>
      <c r="AR202" s="45">
        <v>0.35978825070730991</v>
      </c>
      <c r="AS202" s="45">
        <v>4.1223665419477493</v>
      </c>
      <c r="AT202" s="45">
        <v>2.3108777061161396E-2</v>
      </c>
      <c r="AU202" s="45">
        <v>2.0058888563419579</v>
      </c>
      <c r="AV202" s="45">
        <v>0.10842960190441231</v>
      </c>
      <c r="AW202" s="45">
        <v>6.5791784396932148E-3</v>
      </c>
      <c r="AX202" s="45">
        <v>0.22877775137523823</v>
      </c>
      <c r="AY202" s="45">
        <v>3.075502270211981E-2</v>
      </c>
      <c r="AZ202" s="45"/>
      <c r="BA202" s="45"/>
      <c r="BB202" s="45"/>
      <c r="BC202" s="45"/>
      <c r="BD202" s="45"/>
      <c r="BE202" s="45"/>
      <c r="BF202" s="45"/>
      <c r="BG202" s="45"/>
      <c r="BH202" s="45"/>
      <c r="BI202" s="45"/>
      <c r="BJ202" s="45"/>
      <c r="BK202" s="45"/>
      <c r="BL202" s="45"/>
      <c r="BM202" s="45"/>
      <c r="BN202" s="45"/>
      <c r="BO202" s="45"/>
      <c r="BP202" s="45">
        <v>4.4618405812291297E-2</v>
      </c>
      <c r="BQ202" s="45">
        <v>0.40031345251873857</v>
      </c>
      <c r="BR202" s="45"/>
      <c r="BS202" s="45"/>
      <c r="BT202" s="45">
        <v>100.59106768367894</v>
      </c>
      <c r="BU202" s="45"/>
      <c r="BV202" s="45"/>
      <c r="BW202" s="45">
        <v>44.602109199529856</v>
      </c>
      <c r="BX202" s="45"/>
      <c r="BY202" s="45">
        <v>6848.3505123400009</v>
      </c>
      <c r="BZ202" s="45">
        <v>214.99662892433585</v>
      </c>
      <c r="CA202" s="45">
        <v>5.2793678972053754E-2</v>
      </c>
      <c r="CB202" s="45">
        <v>5.7392645575610715</v>
      </c>
      <c r="CC202" s="45">
        <v>382400.09419198008</v>
      </c>
      <c r="CD202" s="45">
        <v>102.46922955122164</v>
      </c>
      <c r="CE202" s="45">
        <v>269447.48451932799</v>
      </c>
      <c r="CF202" s="45">
        <v>5632.8738772558036</v>
      </c>
      <c r="CG202" s="45">
        <v>1.5259903403518518</v>
      </c>
      <c r="CH202" s="45">
        <v>34.188551093397628</v>
      </c>
      <c r="CI202" s="45">
        <v>113.60108982982196</v>
      </c>
      <c r="CJ202" s="45"/>
      <c r="CK202" s="45"/>
      <c r="CL202" s="45"/>
      <c r="CM202" s="45"/>
      <c r="CN202" s="45"/>
      <c r="CO202" s="45"/>
      <c r="CP202" s="45"/>
      <c r="CQ202" s="45"/>
      <c r="CR202" s="45"/>
      <c r="CS202" s="45"/>
      <c r="CT202" s="45"/>
      <c r="CU202" s="45"/>
      <c r="CV202" s="45"/>
      <c r="CW202" s="45"/>
      <c r="CX202" s="45"/>
      <c r="CY202" s="45"/>
      <c r="CZ202" s="45">
        <v>13.229179259872682</v>
      </c>
      <c r="DA202" s="45">
        <v>11.860732345683926</v>
      </c>
      <c r="DB202" s="45"/>
      <c r="DC202" s="45"/>
      <c r="DD202" s="45">
        <v>25572066.394557822</v>
      </c>
      <c r="DE202" s="45"/>
      <c r="DF202" s="45"/>
      <c r="DG202" s="45">
        <v>75864899.918367341</v>
      </c>
      <c r="DH202" s="45"/>
      <c r="DI202" s="45">
        <v>1425557322.8843536</v>
      </c>
      <c r="DJ202" s="45">
        <v>114008133.65986395</v>
      </c>
      <c r="DK202" s="45">
        <v>75419675.863945574</v>
      </c>
      <c r="DL202" s="45">
        <v>210042615.29251701</v>
      </c>
      <c r="DM202" s="45">
        <v>398273988.78911567</v>
      </c>
      <c r="DN202" s="45">
        <v>45096012.625850342</v>
      </c>
      <c r="DO202" s="45">
        <v>209988642.82993197</v>
      </c>
      <c r="DP202" s="45">
        <v>102068628.02721089</v>
      </c>
      <c r="DQ202" s="45">
        <v>97005010.721088439</v>
      </c>
      <c r="DR202" s="45">
        <v>121799269.00680272</v>
      </c>
      <c r="DS202" s="45">
        <v>25765107.80952381</v>
      </c>
      <c r="DT202" s="45"/>
      <c r="DU202" s="45"/>
      <c r="DV202" s="45"/>
      <c r="DW202" s="45"/>
      <c r="DX202" s="45"/>
      <c r="DY202" s="45"/>
      <c r="DZ202" s="45"/>
      <c r="EA202" s="45"/>
      <c r="EB202" s="45"/>
      <c r="EC202" s="45"/>
      <c r="ED202" s="45"/>
      <c r="EE202" s="45"/>
      <c r="EF202" s="45"/>
      <c r="EG202" s="45"/>
      <c r="EH202" s="45"/>
      <c r="EI202" s="45"/>
      <c r="EJ202" s="45">
        <v>66710005.551020406</v>
      </c>
      <c r="EK202" s="45">
        <v>30088561.197278913</v>
      </c>
      <c r="EL202" s="45">
        <v>1.6241339797506242</v>
      </c>
      <c r="EM202" s="45">
        <v>2.9525161822471202</v>
      </c>
      <c r="EN202" s="45">
        <v>1.3280105560638003</v>
      </c>
      <c r="EO202" s="45"/>
      <c r="EP202" s="45"/>
      <c r="EQ202" s="45"/>
    </row>
    <row r="203" spans="1:147" s="92" customFormat="1" ht="15" customHeight="1" x14ac:dyDescent="0.25">
      <c r="A203" s="11" t="s">
        <v>703</v>
      </c>
      <c r="B203" s="136" t="s">
        <v>960</v>
      </c>
      <c r="C203" s="11" t="s">
        <v>704</v>
      </c>
      <c r="D203" s="107" t="s">
        <v>198</v>
      </c>
      <c r="E203" s="107"/>
      <c r="F203" s="118"/>
      <c r="G203" s="118"/>
      <c r="H203" s="118"/>
      <c r="I203" s="106"/>
      <c r="J203" s="109" t="s">
        <v>233</v>
      </c>
      <c r="K203" s="45">
        <v>3179.5589459084604</v>
      </c>
      <c r="L203" s="45">
        <v>5930.795341380488</v>
      </c>
      <c r="M203" s="45">
        <v>200.61919789594697</v>
      </c>
      <c r="N203" s="45"/>
      <c r="O203" s="45"/>
      <c r="P203" s="45"/>
      <c r="Q203" s="45">
        <v>0.12012898646669846</v>
      </c>
      <c r="R203" s="45">
        <v>29055.651368056595</v>
      </c>
      <c r="S203" s="45"/>
      <c r="T203" s="45"/>
      <c r="U203" s="45"/>
      <c r="V203" s="45"/>
      <c r="W203" s="45"/>
      <c r="X203" s="45"/>
      <c r="Y203" s="45"/>
      <c r="Z203" s="45"/>
      <c r="AA203" s="45">
        <v>64537.005755513223</v>
      </c>
      <c r="AB203" s="45"/>
      <c r="AC203" s="45"/>
      <c r="AD203" s="45"/>
      <c r="AE203" s="45">
        <v>99.109549847108426</v>
      </c>
      <c r="AF203" s="45">
        <v>41625.256010667857</v>
      </c>
      <c r="AG203" s="45">
        <v>18415.0265271473</v>
      </c>
      <c r="AH203" s="45">
        <v>3.6339583531338531</v>
      </c>
      <c r="AI203" s="45"/>
      <c r="AJ203" s="45">
        <v>8.8894573271652455E-2</v>
      </c>
      <c r="AK203" s="45"/>
      <c r="AL203" s="45">
        <v>0.19690974336201811</v>
      </c>
      <c r="AM203" s="45">
        <v>2.9374887961589433</v>
      </c>
      <c r="AN203" s="45"/>
      <c r="AO203" s="45">
        <v>8.3074706984442077</v>
      </c>
      <c r="AP203" s="45">
        <v>0.21124829887089369</v>
      </c>
      <c r="AQ203" s="45">
        <v>5.0346655738563305E-2</v>
      </c>
      <c r="AR203" s="45">
        <v>0.14996083626771176</v>
      </c>
      <c r="AS203" s="45">
        <v>13.479294166463779</v>
      </c>
      <c r="AT203" s="45">
        <v>4.0443615725463372E-2</v>
      </c>
      <c r="AU203" s="45">
        <v>2.1096113377606023</v>
      </c>
      <c r="AV203" s="45">
        <v>0.17013530283819181</v>
      </c>
      <c r="AW203" s="45"/>
      <c r="AX203" s="45">
        <v>0.62647308439477822</v>
      </c>
      <c r="AY203" s="45">
        <v>4.4705082180920196E-2</v>
      </c>
      <c r="AZ203" s="45"/>
      <c r="BA203" s="45"/>
      <c r="BB203" s="45"/>
      <c r="BC203" s="45"/>
      <c r="BD203" s="45"/>
      <c r="BE203" s="45"/>
      <c r="BF203" s="45"/>
      <c r="BG203" s="45"/>
      <c r="BH203" s="45"/>
      <c r="BI203" s="45"/>
      <c r="BJ203" s="45"/>
      <c r="BK203" s="45"/>
      <c r="BL203" s="45"/>
      <c r="BM203" s="45"/>
      <c r="BN203" s="45"/>
      <c r="BO203" s="45"/>
      <c r="BP203" s="45">
        <v>9.910943599632667E-2</v>
      </c>
      <c r="BQ203" s="45">
        <v>0.61060759478777815</v>
      </c>
      <c r="BR203" s="45">
        <v>10476.308900652981</v>
      </c>
      <c r="BS203" s="45"/>
      <c r="BT203" s="45">
        <v>52.62354111221191</v>
      </c>
      <c r="BU203" s="45"/>
      <c r="BV203" s="45">
        <v>1052.7967914365147</v>
      </c>
      <c r="BW203" s="45">
        <v>212.31851883889266</v>
      </c>
      <c r="BX203" s="45"/>
      <c r="BY203" s="45">
        <v>170245.83046883566</v>
      </c>
      <c r="BZ203" s="45">
        <v>5385.9393325194978</v>
      </c>
      <c r="CA203" s="45">
        <v>6.8891141954427804</v>
      </c>
      <c r="CB203" s="45">
        <v>71.388395883273986</v>
      </c>
      <c r="CC203" s="45">
        <v>235764.040230788</v>
      </c>
      <c r="CD203" s="45">
        <v>104.64149280223289</v>
      </c>
      <c r="CE203" s="45">
        <v>173730.12789541919</v>
      </c>
      <c r="CF203" s="45">
        <v>7174.6834927230348</v>
      </c>
      <c r="CG203" s="45"/>
      <c r="CH203" s="45">
        <v>24.395905363349428</v>
      </c>
      <c r="CI203" s="45">
        <v>133.64236279587425</v>
      </c>
      <c r="CJ203" s="45"/>
      <c r="CK203" s="45"/>
      <c r="CL203" s="45"/>
      <c r="CM203" s="45"/>
      <c r="CN203" s="45"/>
      <c r="CO203" s="45"/>
      <c r="CP203" s="45"/>
      <c r="CQ203" s="45"/>
      <c r="CR203" s="45"/>
      <c r="CS203" s="45"/>
      <c r="CT203" s="45"/>
      <c r="CU203" s="45"/>
      <c r="CV203" s="45"/>
      <c r="CW203" s="45"/>
      <c r="CX203" s="45"/>
      <c r="CY203" s="45"/>
      <c r="CZ203" s="45">
        <v>13.256049176663348</v>
      </c>
      <c r="DA203" s="45">
        <v>11.975864048865894</v>
      </c>
      <c r="DB203" s="45">
        <v>1048076270.9570042</v>
      </c>
      <c r="DC203" s="45"/>
      <c r="DD203" s="45">
        <v>22015244.427184466</v>
      </c>
      <c r="DE203" s="45"/>
      <c r="DF203" s="45">
        <v>197632749.89181691</v>
      </c>
      <c r="DG203" s="45">
        <v>48175782.879334256</v>
      </c>
      <c r="DH203" s="45"/>
      <c r="DI203" s="45">
        <v>1366894339.1955616</v>
      </c>
      <c r="DJ203" s="45">
        <v>157292370.72954232</v>
      </c>
      <c r="DK203" s="45">
        <v>43768413.026352286</v>
      </c>
      <c r="DL203" s="45">
        <v>207348672.08876559</v>
      </c>
      <c r="DM203" s="45">
        <v>373582139.29542303</v>
      </c>
      <c r="DN203" s="45">
        <v>42450881.509015255</v>
      </c>
      <c r="DO203" s="45">
        <v>235346792.03328711</v>
      </c>
      <c r="DP203" s="45">
        <v>89405596.22746186</v>
      </c>
      <c r="DQ203" s="45"/>
      <c r="DR203" s="45">
        <v>161065269.61442441</v>
      </c>
      <c r="DS203" s="45">
        <v>21455035.472954229</v>
      </c>
      <c r="DT203" s="45"/>
      <c r="DU203" s="45"/>
      <c r="DV203" s="45"/>
      <c r="DW203" s="45"/>
      <c r="DX203" s="45"/>
      <c r="DY203" s="45"/>
      <c r="DZ203" s="45"/>
      <c r="EA203" s="45"/>
      <c r="EB203" s="45"/>
      <c r="EC203" s="45"/>
      <c r="ED203" s="45"/>
      <c r="EE203" s="45"/>
      <c r="EF203" s="45"/>
      <c r="EG203" s="45"/>
      <c r="EH203" s="45"/>
      <c r="EI203" s="45"/>
      <c r="EJ203" s="45">
        <v>63098726.613037445</v>
      </c>
      <c r="EK203" s="45">
        <v>27957773.492371704</v>
      </c>
      <c r="EL203" s="45">
        <v>9.2482977114018254</v>
      </c>
      <c r="EM203" s="45">
        <v>19.538248332883821</v>
      </c>
      <c r="EN203" s="45">
        <v>10.290296811652849</v>
      </c>
      <c r="EO203" s="45"/>
      <c r="EP203" s="45"/>
      <c r="EQ203" s="45"/>
    </row>
    <row r="204" spans="1:147" s="92" customFormat="1" ht="15" customHeight="1" x14ac:dyDescent="0.25">
      <c r="A204" s="11" t="s">
        <v>705</v>
      </c>
      <c r="B204" s="136" t="s">
        <v>959</v>
      </c>
      <c r="C204" s="11" t="s">
        <v>706</v>
      </c>
      <c r="D204" s="107" t="s">
        <v>533</v>
      </c>
      <c r="E204" s="107"/>
      <c r="F204" s="118"/>
      <c r="G204" s="118"/>
      <c r="H204" s="118"/>
      <c r="I204" s="106"/>
      <c r="J204" s="109" t="s">
        <v>233</v>
      </c>
      <c r="K204" s="45">
        <v>3446.6777777777779</v>
      </c>
      <c r="L204" s="45">
        <v>5946.4252725388578</v>
      </c>
      <c r="M204" s="45">
        <v>265.38761133246055</v>
      </c>
      <c r="N204" s="45"/>
      <c r="O204" s="45"/>
      <c r="P204" s="45"/>
      <c r="Q204" s="45">
        <v>3.517515753867098</v>
      </c>
      <c r="R204" s="45"/>
      <c r="S204" s="45"/>
      <c r="T204" s="45"/>
      <c r="U204" s="45"/>
      <c r="V204" s="45"/>
      <c r="W204" s="45"/>
      <c r="X204" s="45"/>
      <c r="Y204" s="45"/>
      <c r="Z204" s="45"/>
      <c r="AA204" s="45">
        <v>216116.42444150962</v>
      </c>
      <c r="AB204" s="45"/>
      <c r="AC204" s="45"/>
      <c r="AD204" s="45"/>
      <c r="AE204" s="45">
        <v>98.905199830210961</v>
      </c>
      <c r="AF204" s="45">
        <v>38259.175554928042</v>
      </c>
      <c r="AG204" s="45">
        <v>17224.979741885069</v>
      </c>
      <c r="AH204" s="45">
        <v>0.5644706741270763</v>
      </c>
      <c r="AI204" s="45"/>
      <c r="AJ204" s="45">
        <v>0.1698209530733642</v>
      </c>
      <c r="AK204" s="45"/>
      <c r="AL204" s="45">
        <v>2.1785003011079294</v>
      </c>
      <c r="AM204" s="45">
        <v>9.5969757500249664E-2</v>
      </c>
      <c r="AN204" s="45"/>
      <c r="AO204" s="45">
        <v>16.421082349325136</v>
      </c>
      <c r="AP204" s="45">
        <v>1.3971436160770285</v>
      </c>
      <c r="AQ204" s="45">
        <v>0.22242087084507237</v>
      </c>
      <c r="AR204" s="45">
        <v>0.66117579509779401</v>
      </c>
      <c r="AS204" s="45">
        <v>13.492418827281801</v>
      </c>
      <c r="AT204" s="45">
        <v>3.4861952220733836E-2</v>
      </c>
      <c r="AU204" s="45">
        <v>1.2740608091799723</v>
      </c>
      <c r="AV204" s="45">
        <v>0.24187669550994098</v>
      </c>
      <c r="AW204" s="45"/>
      <c r="AX204" s="45">
        <v>0.67111830322275567</v>
      </c>
      <c r="AY204" s="45">
        <v>4.4377867398288577E-2</v>
      </c>
      <c r="AZ204" s="45">
        <v>0.15823843971976131</v>
      </c>
      <c r="BA204" s="45"/>
      <c r="BB204" s="45"/>
      <c r="BC204" s="45"/>
      <c r="BD204" s="45"/>
      <c r="BE204" s="45"/>
      <c r="BF204" s="45"/>
      <c r="BG204" s="45"/>
      <c r="BH204" s="45"/>
      <c r="BI204" s="45"/>
      <c r="BJ204" s="45"/>
      <c r="BK204" s="45"/>
      <c r="BL204" s="45"/>
      <c r="BM204" s="45"/>
      <c r="BN204" s="45"/>
      <c r="BO204" s="45"/>
      <c r="BP204" s="45">
        <v>0.10549390040039396</v>
      </c>
      <c r="BQ204" s="45">
        <v>1.0483790664856747</v>
      </c>
      <c r="BR204" s="45">
        <v>1087.1871802993858</v>
      </c>
      <c r="BS204" s="45"/>
      <c r="BT204" s="45">
        <v>97.074330127780826</v>
      </c>
      <c r="BU204" s="45"/>
      <c r="BV204" s="45">
        <v>2094.4340240825063</v>
      </c>
      <c r="BW204" s="45">
        <v>13.8722220628117</v>
      </c>
      <c r="BX204" s="45"/>
      <c r="BY204" s="45">
        <v>26895.365017269316</v>
      </c>
      <c r="BZ204" s="45">
        <v>2052.0785440200279</v>
      </c>
      <c r="CA204" s="45">
        <v>7.8899973479012786</v>
      </c>
      <c r="CB204" s="45">
        <v>1017.0144935973923</v>
      </c>
      <c r="CC204" s="45">
        <v>485488.15980162489</v>
      </c>
      <c r="CD204" s="45">
        <v>122.50192166768385</v>
      </c>
      <c r="CE204" s="45">
        <v>76180.116550203224</v>
      </c>
      <c r="CF204" s="45">
        <v>6752.3902681038544</v>
      </c>
      <c r="CG204" s="45"/>
      <c r="CH204" s="45">
        <v>26.769361774306994</v>
      </c>
      <c r="CI204" s="45">
        <v>113.82808316606528</v>
      </c>
      <c r="CJ204" s="45">
        <v>252.84156126535012</v>
      </c>
      <c r="CK204" s="45"/>
      <c r="CL204" s="45"/>
      <c r="CM204" s="45"/>
      <c r="CN204" s="45"/>
      <c r="CO204" s="45"/>
      <c r="CP204" s="45"/>
      <c r="CQ204" s="45"/>
      <c r="CR204" s="45"/>
      <c r="CS204" s="45"/>
      <c r="CT204" s="45"/>
      <c r="CU204" s="45"/>
      <c r="CV204" s="45"/>
      <c r="CW204" s="45"/>
      <c r="CX204" s="45"/>
      <c r="CY204" s="45"/>
      <c r="CZ204" s="45">
        <v>13.321820713791579</v>
      </c>
      <c r="DA204" s="45">
        <v>18.868626595778228</v>
      </c>
      <c r="DB204" s="45">
        <v>746302285.20634925</v>
      </c>
      <c r="DC204" s="45"/>
      <c r="DD204" s="45">
        <v>24405352.838095237</v>
      </c>
      <c r="DE204" s="45"/>
      <c r="DF204" s="45">
        <v>733221826.23492062</v>
      </c>
      <c r="DG204" s="45">
        <v>31628954.412698414</v>
      </c>
      <c r="DH204" s="45"/>
      <c r="DI204" s="45">
        <v>1594513733.079365</v>
      </c>
      <c r="DJ204" s="45">
        <v>134768002.84444445</v>
      </c>
      <c r="DK204" s="45">
        <v>70992151.568253964</v>
      </c>
      <c r="DL204" s="45">
        <v>223054253.1047619</v>
      </c>
      <c r="DM204" s="45">
        <v>371578990.52698416</v>
      </c>
      <c r="DN204" s="45">
        <v>44331924.723809525</v>
      </c>
      <c r="DO204" s="45">
        <v>223509279.69523808</v>
      </c>
      <c r="DP204" s="45">
        <v>94769041.473015875</v>
      </c>
      <c r="DQ204" s="45"/>
      <c r="DR204" s="45">
        <v>116775237.07936507</v>
      </c>
      <c r="DS204" s="45">
        <v>22077030.399999999</v>
      </c>
      <c r="DT204" s="45">
        <v>359503228.34285712</v>
      </c>
      <c r="DU204" s="45"/>
      <c r="DV204" s="45"/>
      <c r="DW204" s="45"/>
      <c r="DX204" s="45"/>
      <c r="DY204" s="45"/>
      <c r="DZ204" s="45"/>
      <c r="EA204" s="45"/>
      <c r="EB204" s="45"/>
      <c r="EC204" s="45"/>
      <c r="ED204" s="45"/>
      <c r="EE204" s="45"/>
      <c r="EF204" s="45"/>
      <c r="EG204" s="45"/>
      <c r="EH204" s="45"/>
      <c r="EI204" s="45"/>
      <c r="EJ204" s="45">
        <v>64085749.434920631</v>
      </c>
      <c r="EK204" s="45">
        <v>26979220.723809525</v>
      </c>
      <c r="EL204" s="45">
        <v>9.1438592237136191</v>
      </c>
      <c r="EM204" s="45">
        <v>19.542979263409958</v>
      </c>
      <c r="EN204" s="45">
        <v>10.399475196617495</v>
      </c>
      <c r="EO204" s="45"/>
      <c r="EP204" s="45"/>
      <c r="EQ204" s="45"/>
    </row>
    <row r="205" spans="1:147" s="92" customFormat="1" ht="15" customHeight="1" x14ac:dyDescent="0.25">
      <c r="A205" s="11" t="s">
        <v>707</v>
      </c>
      <c r="B205" s="136" t="s">
        <v>958</v>
      </c>
      <c r="C205" s="11" t="s">
        <v>708</v>
      </c>
      <c r="D205" s="107" t="s">
        <v>847</v>
      </c>
      <c r="E205" s="107"/>
      <c r="F205" s="118"/>
      <c r="G205" s="118"/>
      <c r="H205" s="118"/>
      <c r="I205" s="106"/>
      <c r="J205" s="109" t="s">
        <v>233</v>
      </c>
      <c r="K205" s="45">
        <v>3981.1844660194174</v>
      </c>
      <c r="L205" s="45">
        <v>28048.122152847583</v>
      </c>
      <c r="M205" s="45">
        <v>252.98640158066033</v>
      </c>
      <c r="N205" s="45"/>
      <c r="O205" s="45"/>
      <c r="P205" s="45"/>
      <c r="Q205" s="45"/>
      <c r="R205" s="45">
        <v>12325.742966901262</v>
      </c>
      <c r="S205" s="45"/>
      <c r="T205" s="45"/>
      <c r="U205" s="45"/>
      <c r="V205" s="45"/>
      <c r="W205" s="45"/>
      <c r="X205" s="45"/>
      <c r="Y205" s="45"/>
      <c r="Z205" s="45"/>
      <c r="AA205" s="45">
        <v>39771.208890456524</v>
      </c>
      <c r="AB205" s="45"/>
      <c r="AC205" s="45"/>
      <c r="AD205" s="45"/>
      <c r="AE205" s="45">
        <v>97.104783357002049</v>
      </c>
      <c r="AF205" s="45">
        <v>27749.969723026254</v>
      </c>
      <c r="AG205" s="45">
        <v>29411.154285221066</v>
      </c>
      <c r="AH205" s="45">
        <v>1.0594995376375096</v>
      </c>
      <c r="AI205" s="45"/>
      <c r="AJ205" s="45">
        <v>5.6277178054308527E-2</v>
      </c>
      <c r="AK205" s="45"/>
      <c r="AL205" s="45">
        <v>2.3983144432900154</v>
      </c>
      <c r="AM205" s="45">
        <v>0.81322358195781352</v>
      </c>
      <c r="AN205" s="45"/>
      <c r="AO205" s="45">
        <v>14.29932826741363</v>
      </c>
      <c r="AP205" s="45">
        <v>1.5329842065340709</v>
      </c>
      <c r="AQ205" s="45">
        <v>9.9464071690236563E-2</v>
      </c>
      <c r="AR205" s="45">
        <v>0.34259039742715558</v>
      </c>
      <c r="AS205" s="45">
        <v>6.6630513830858593</v>
      </c>
      <c r="AT205" s="45">
        <v>5.8164710973184389E-2</v>
      </c>
      <c r="AU205" s="45">
        <v>0.75122855165550029</v>
      </c>
      <c r="AV205" s="45">
        <v>0.41364211562628367</v>
      </c>
      <c r="AW205" s="45">
        <v>5.2087698301542737E-3</v>
      </c>
      <c r="AX205" s="45">
        <v>0.39910258325817399</v>
      </c>
      <c r="AY205" s="45">
        <v>4.2606089998911925E-2</v>
      </c>
      <c r="AZ205" s="45">
        <v>18.762192939988523</v>
      </c>
      <c r="BA205" s="45"/>
      <c r="BB205" s="45"/>
      <c r="BC205" s="45"/>
      <c r="BD205" s="45"/>
      <c r="BE205" s="45"/>
      <c r="BF205" s="45"/>
      <c r="BG205" s="45"/>
      <c r="BH205" s="45"/>
      <c r="BI205" s="45"/>
      <c r="BJ205" s="45"/>
      <c r="BK205" s="45"/>
      <c r="BL205" s="45"/>
      <c r="BM205" s="45"/>
      <c r="BN205" s="45"/>
      <c r="BO205" s="45"/>
      <c r="BP205" s="45">
        <v>6.4524812076097296E-2</v>
      </c>
      <c r="BQ205" s="45">
        <v>0.28370666735159006</v>
      </c>
      <c r="BR205" s="45">
        <v>20034.291972561015</v>
      </c>
      <c r="BS205" s="45"/>
      <c r="BT205" s="45">
        <v>90.655531466983632</v>
      </c>
      <c r="BU205" s="45"/>
      <c r="BV205" s="45">
        <v>11030.585243019637</v>
      </c>
      <c r="BW205" s="45">
        <v>108.97063210786503</v>
      </c>
      <c r="BX205" s="45"/>
      <c r="BY205" s="45">
        <v>146180.45492568755</v>
      </c>
      <c r="BZ205" s="45">
        <v>10870.765961005234</v>
      </c>
      <c r="CA205" s="45">
        <v>6.8917054092144916</v>
      </c>
      <c r="CB205" s="45">
        <v>16.76147486085511</v>
      </c>
      <c r="CC205" s="45">
        <v>298431.26158861356</v>
      </c>
      <c r="CD205" s="45">
        <v>112.89487799099976</v>
      </c>
      <c r="CE205" s="45">
        <v>32052.744145741075</v>
      </c>
      <c r="CF205" s="45">
        <v>2963.9846390897005</v>
      </c>
      <c r="CG205" s="45">
        <v>6.2225392188057435E-2</v>
      </c>
      <c r="CH205" s="45">
        <v>221.95739781663809</v>
      </c>
      <c r="CI205" s="45">
        <v>120.5874031125263</v>
      </c>
      <c r="CJ205" s="45">
        <v>170297.56792199748</v>
      </c>
      <c r="CK205" s="45"/>
      <c r="CL205" s="45"/>
      <c r="CM205" s="45"/>
      <c r="CN205" s="45"/>
      <c r="CO205" s="45"/>
      <c r="CP205" s="45"/>
      <c r="CQ205" s="45"/>
      <c r="CR205" s="45"/>
      <c r="CS205" s="45"/>
      <c r="CT205" s="45"/>
      <c r="CU205" s="45"/>
      <c r="CV205" s="45"/>
      <c r="CW205" s="45"/>
      <c r="CX205" s="45"/>
      <c r="CY205" s="45"/>
      <c r="CZ205" s="45">
        <v>13.262712608100058</v>
      </c>
      <c r="DA205" s="45">
        <v>24.25078582947727</v>
      </c>
      <c r="DB205" s="45">
        <v>341026612.76335877</v>
      </c>
      <c r="DC205" s="45"/>
      <c r="DD205" s="45">
        <v>21468993.686546464</v>
      </c>
      <c r="DE205" s="45"/>
      <c r="DF205" s="45">
        <v>97387514.342541441</v>
      </c>
      <c r="DG205" s="45">
        <v>46368645.858529821</v>
      </c>
      <c r="DH205" s="45"/>
      <c r="DI205" s="45">
        <v>953693267.79472959</v>
      </c>
      <c r="DJ205" s="45">
        <v>136359481.52011096</v>
      </c>
      <c r="DK205" s="45">
        <v>59824727.345353678</v>
      </c>
      <c r="DL205" s="45">
        <v>183886795.45076284</v>
      </c>
      <c r="DM205" s="45">
        <v>377032062.04715675</v>
      </c>
      <c r="DN205" s="45">
        <v>43359398.169209428</v>
      </c>
      <c r="DO205" s="45">
        <v>131532035.90568654</v>
      </c>
      <c r="DP205" s="45">
        <v>94598267.561719835</v>
      </c>
      <c r="DQ205" s="45">
        <v>92821484.116504848</v>
      </c>
      <c r="DR205" s="45">
        <v>116495244.95977809</v>
      </c>
      <c r="DS205" s="45">
        <v>22692356.970873788</v>
      </c>
      <c r="DT205" s="45">
        <v>342142976</v>
      </c>
      <c r="DU205" s="45"/>
      <c r="DV205" s="45"/>
      <c r="DW205" s="45"/>
      <c r="DX205" s="45"/>
      <c r="DY205" s="45"/>
      <c r="DZ205" s="45"/>
      <c r="EA205" s="45"/>
      <c r="EB205" s="45"/>
      <c r="EC205" s="45"/>
      <c r="ED205" s="45"/>
      <c r="EE205" s="45"/>
      <c r="EF205" s="45"/>
      <c r="EG205" s="45"/>
      <c r="EH205" s="45"/>
      <c r="EI205" s="45"/>
      <c r="EJ205" s="45">
        <v>65534505.897364773</v>
      </c>
      <c r="EK205" s="45">
        <v>27860736.355062414</v>
      </c>
      <c r="EL205" s="45">
        <v>8.7710946859858225</v>
      </c>
      <c r="EM205" s="45">
        <v>17.811655504798598</v>
      </c>
      <c r="EN205" s="45">
        <v>9.0405449382369731</v>
      </c>
      <c r="EO205" s="45"/>
      <c r="EP205" s="45"/>
      <c r="EQ205" s="45"/>
    </row>
    <row r="206" spans="1:147" s="92" customFormat="1" ht="15" customHeight="1" x14ac:dyDescent="0.25">
      <c r="A206" s="11" t="s">
        <v>709</v>
      </c>
      <c r="B206" s="136" t="s">
        <v>957</v>
      </c>
      <c r="C206" s="11" t="s">
        <v>710</v>
      </c>
      <c r="D206" s="107" t="s">
        <v>539</v>
      </c>
      <c r="E206" s="107"/>
      <c r="F206" s="118"/>
      <c r="G206" s="118"/>
      <c r="H206" s="118"/>
      <c r="I206" s="106"/>
      <c r="J206" s="109" t="s">
        <v>233</v>
      </c>
      <c r="K206" s="45">
        <v>2571.1428571428573</v>
      </c>
      <c r="L206" s="45">
        <v>30719.287665768763</v>
      </c>
      <c r="M206" s="45">
        <v>916.55631372484959</v>
      </c>
      <c r="N206" s="45"/>
      <c r="O206" s="45"/>
      <c r="P206" s="45"/>
      <c r="Q206" s="45">
        <v>0.77957383922456736</v>
      </c>
      <c r="R206" s="45">
        <v>15219.694245653414</v>
      </c>
      <c r="S206" s="45"/>
      <c r="T206" s="45"/>
      <c r="U206" s="45"/>
      <c r="V206" s="45"/>
      <c r="W206" s="45"/>
      <c r="X206" s="45"/>
      <c r="Y206" s="45"/>
      <c r="Z206" s="45"/>
      <c r="AA206" s="45">
        <v>60836.892720874734</v>
      </c>
      <c r="AB206" s="45"/>
      <c r="AC206" s="45"/>
      <c r="AD206" s="45"/>
      <c r="AE206" s="45">
        <v>90.716711305617451</v>
      </c>
      <c r="AF206" s="45">
        <v>34291.323451754972</v>
      </c>
      <c r="AG206" s="45">
        <v>31887.133294218878</v>
      </c>
      <c r="AH206" s="45">
        <v>2.365886252890125</v>
      </c>
      <c r="AI206" s="45"/>
      <c r="AJ206" s="45">
        <v>4.8674691807175513E-2</v>
      </c>
      <c r="AK206" s="45"/>
      <c r="AL206" s="45">
        <v>6.7953426889214805</v>
      </c>
      <c r="AM206" s="45">
        <v>0.84845208436640085</v>
      </c>
      <c r="AN206" s="45"/>
      <c r="AO206" s="45">
        <v>20.293088471082189</v>
      </c>
      <c r="AP206" s="45">
        <v>9.846794635953831</v>
      </c>
      <c r="AQ206" s="45">
        <v>0.10504426167591399</v>
      </c>
      <c r="AR206" s="45">
        <v>0.62530409830901745</v>
      </c>
      <c r="AS206" s="45">
        <v>13.617241918993015</v>
      </c>
      <c r="AT206" s="45">
        <v>0.19716390337953776</v>
      </c>
      <c r="AU206" s="45"/>
      <c r="AV206" s="45">
        <v>0.44212269994137043</v>
      </c>
      <c r="AW206" s="45"/>
      <c r="AX206" s="45">
        <v>0.93893234417015525</v>
      </c>
      <c r="AY206" s="45">
        <v>5.1061712029812856E-2</v>
      </c>
      <c r="AZ206" s="45">
        <v>0.83646485014641492</v>
      </c>
      <c r="BA206" s="45"/>
      <c r="BB206" s="45"/>
      <c r="BC206" s="45"/>
      <c r="BD206" s="45"/>
      <c r="BE206" s="45"/>
      <c r="BF206" s="45">
        <v>1.2813506536916621</v>
      </c>
      <c r="BG206" s="45"/>
      <c r="BH206" s="45"/>
      <c r="BI206" s="45"/>
      <c r="BJ206" s="45"/>
      <c r="BK206" s="45"/>
      <c r="BL206" s="45"/>
      <c r="BM206" s="45"/>
      <c r="BN206" s="45"/>
      <c r="BO206" s="45"/>
      <c r="BP206" s="45">
        <v>6.75779645100653E-2</v>
      </c>
      <c r="BQ206" s="45">
        <v>0.36917957216901975</v>
      </c>
      <c r="BR206" s="45">
        <v>22672.366369299765</v>
      </c>
      <c r="BS206" s="45"/>
      <c r="BT206" s="45">
        <v>75.437721682109228</v>
      </c>
      <c r="BU206" s="45"/>
      <c r="BV206" s="45">
        <v>77129.164574776049</v>
      </c>
      <c r="BW206" s="45">
        <v>460.52510735365644</v>
      </c>
      <c r="BX206" s="45"/>
      <c r="BY206" s="45">
        <v>92961.685009599358</v>
      </c>
      <c r="BZ206" s="45">
        <v>8502069.4869526606</v>
      </c>
      <c r="CA206" s="45">
        <v>1368.3975822559976</v>
      </c>
      <c r="CB206" s="45">
        <v>374.79834997342277</v>
      </c>
      <c r="CC206" s="45">
        <v>499938.81916925317</v>
      </c>
      <c r="CD206" s="45">
        <v>14453.423160138718</v>
      </c>
      <c r="CE206" s="45"/>
      <c r="CF206" s="45">
        <v>13758.916913255871</v>
      </c>
      <c r="CG206" s="45"/>
      <c r="CH206" s="45">
        <v>38.412461346054208</v>
      </c>
      <c r="CI206" s="45">
        <v>136.55852942071945</v>
      </c>
      <c r="CJ206" s="45">
        <v>5948.5300654299017</v>
      </c>
      <c r="CK206" s="45"/>
      <c r="CL206" s="45"/>
      <c r="CM206" s="45"/>
      <c r="CN206" s="45"/>
      <c r="CO206" s="45"/>
      <c r="CP206" s="45">
        <v>45314.450766562404</v>
      </c>
      <c r="CQ206" s="45"/>
      <c r="CR206" s="45"/>
      <c r="CS206" s="45"/>
      <c r="CT206" s="45"/>
      <c r="CU206" s="45"/>
      <c r="CV206" s="45"/>
      <c r="CW206" s="45"/>
      <c r="CX206" s="45"/>
      <c r="CY206" s="45"/>
      <c r="CZ206" s="45">
        <v>13.209080826944131</v>
      </c>
      <c r="DA206" s="45">
        <v>15.771019551445521</v>
      </c>
      <c r="DB206" s="45">
        <v>460786479.22330099</v>
      </c>
      <c r="DC206" s="45"/>
      <c r="DD206" s="45">
        <v>20608072.432732318</v>
      </c>
      <c r="DE206" s="45"/>
      <c r="DF206" s="45">
        <v>238782558.25941423</v>
      </c>
      <c r="DG206" s="45">
        <v>30655617.242718447</v>
      </c>
      <c r="DH206" s="45"/>
      <c r="DI206" s="45">
        <v>1783489972.0166435</v>
      </c>
      <c r="DJ206" s="45">
        <v>303671639.70041609</v>
      </c>
      <c r="DK206" s="45">
        <v>93254938.629680991</v>
      </c>
      <c r="DL206" s="45">
        <v>207445141.12621358</v>
      </c>
      <c r="DM206" s="45">
        <v>384059326.66851592</v>
      </c>
      <c r="DN206" s="45">
        <v>70160162.441054091</v>
      </c>
      <c r="DO206" s="45"/>
      <c r="DP206" s="45">
        <v>95822431.866851598</v>
      </c>
      <c r="DQ206" s="45"/>
      <c r="DR206" s="45">
        <v>117814298.98474342</v>
      </c>
      <c r="DS206" s="45">
        <v>21780215.833564494</v>
      </c>
      <c r="DT206" s="45">
        <v>570126205.33703184</v>
      </c>
      <c r="DU206" s="45"/>
      <c r="DV206" s="45"/>
      <c r="DW206" s="45"/>
      <c r="DX206" s="45"/>
      <c r="DY206" s="45"/>
      <c r="DZ206" s="45">
        <v>113321697.10957004</v>
      </c>
      <c r="EA206" s="45"/>
      <c r="EB206" s="45"/>
      <c r="EC206" s="45"/>
      <c r="ED206" s="45"/>
      <c r="EE206" s="45"/>
      <c r="EF206" s="45"/>
      <c r="EG206" s="45"/>
      <c r="EH206" s="45"/>
      <c r="EI206" s="45"/>
      <c r="EJ206" s="45">
        <v>62955576.888888888</v>
      </c>
      <c r="EK206" s="45">
        <v>27368653.936199721</v>
      </c>
      <c r="EL206" s="45">
        <v>14.231867445844879</v>
      </c>
      <c r="EM206" s="45">
        <v>27.481056648458171</v>
      </c>
      <c r="EN206" s="45">
        <v>13.198868393315204</v>
      </c>
      <c r="EO206" s="45"/>
      <c r="EP206" s="45"/>
      <c r="EQ206" s="45"/>
    </row>
    <row r="207" spans="1:147" s="92" customFormat="1" ht="15" customHeight="1" x14ac:dyDescent="0.25">
      <c r="A207" s="11" t="s">
        <v>711</v>
      </c>
      <c r="B207" s="136" t="s">
        <v>956</v>
      </c>
      <c r="C207" s="11" t="s">
        <v>713</v>
      </c>
      <c r="D207" s="107" t="s">
        <v>532</v>
      </c>
      <c r="E207" s="107"/>
      <c r="F207" s="118"/>
      <c r="G207" s="118"/>
      <c r="H207" s="118"/>
      <c r="I207" s="106"/>
      <c r="J207" s="109" t="s">
        <v>233</v>
      </c>
      <c r="K207" s="45">
        <v>15814.266296809987</v>
      </c>
      <c r="L207" s="45">
        <v>5445.0428890639232</v>
      </c>
      <c r="M207" s="45">
        <v>80.729840949437502</v>
      </c>
      <c r="N207" s="45"/>
      <c r="O207" s="45"/>
      <c r="P207" s="45"/>
      <c r="Q207" s="45">
        <v>3.4779310119471036</v>
      </c>
      <c r="R207" s="45"/>
      <c r="S207" s="45"/>
      <c r="T207" s="45"/>
      <c r="U207" s="45">
        <v>18534.1043572788</v>
      </c>
      <c r="V207" s="45"/>
      <c r="W207" s="45"/>
      <c r="X207" s="45"/>
      <c r="Y207" s="45"/>
      <c r="Z207" s="45"/>
      <c r="AA207" s="45"/>
      <c r="AB207" s="45"/>
      <c r="AC207" s="45"/>
      <c r="AD207" s="45"/>
      <c r="AE207" s="45">
        <v>98.193070361402391</v>
      </c>
      <c r="AF207" s="45">
        <v>26594.426581428914</v>
      </c>
      <c r="AG207" s="45">
        <v>15039.32537925277</v>
      </c>
      <c r="AH207" s="45">
        <v>2.0062757661381942</v>
      </c>
      <c r="AI207" s="45"/>
      <c r="AJ207" s="45">
        <v>6.3946180738724656E-2</v>
      </c>
      <c r="AK207" s="45"/>
      <c r="AL207" s="45">
        <v>1.4577374368938962</v>
      </c>
      <c r="AM207" s="45">
        <v>9.0639929155599097E-2</v>
      </c>
      <c r="AN207" s="45"/>
      <c r="AO207" s="45">
        <v>11.027586206343356</v>
      </c>
      <c r="AP207" s="45">
        <v>1.1749054485644197</v>
      </c>
      <c r="AQ207" s="45">
        <v>0.11899501541502389</v>
      </c>
      <c r="AR207" s="45">
        <v>0.71751570982338109</v>
      </c>
      <c r="AS207" s="45">
        <v>7.9024910516726461</v>
      </c>
      <c r="AT207" s="45">
        <v>3.2047608208823831E-2</v>
      </c>
      <c r="AU207" s="45">
        <v>0.67512719736775051</v>
      </c>
      <c r="AV207" s="45">
        <v>0.26829548502705297</v>
      </c>
      <c r="AW207" s="45">
        <v>2.7945557115023289E-2</v>
      </c>
      <c r="AX207" s="45">
        <v>0.55678278857555208</v>
      </c>
      <c r="AY207" s="45">
        <v>2.5390497646867974E-2</v>
      </c>
      <c r="AZ207" s="45">
        <v>12.327671072754685</v>
      </c>
      <c r="BA207" s="45"/>
      <c r="BB207" s="45"/>
      <c r="BC207" s="45"/>
      <c r="BD207" s="45"/>
      <c r="BE207" s="45"/>
      <c r="BF207" s="45"/>
      <c r="BG207" s="45"/>
      <c r="BH207" s="45"/>
      <c r="BI207" s="45"/>
      <c r="BJ207" s="45"/>
      <c r="BK207" s="45"/>
      <c r="BL207" s="45"/>
      <c r="BM207" s="45"/>
      <c r="BN207" s="45"/>
      <c r="BO207" s="45"/>
      <c r="BP207" s="45">
        <v>7.3279179277831591E-2</v>
      </c>
      <c r="BQ207" s="45">
        <v>0.18070015679006571</v>
      </c>
      <c r="BR207" s="45">
        <v>5808.7869517303398</v>
      </c>
      <c r="BS207" s="45"/>
      <c r="BT207" s="45">
        <v>105.26268609431233</v>
      </c>
      <c r="BU207" s="45"/>
      <c r="BV207" s="45">
        <v>5385.5694057759692</v>
      </c>
      <c r="BW207" s="45">
        <v>21.215260773638903</v>
      </c>
      <c r="BX207" s="45"/>
      <c r="BY207" s="45">
        <v>56257.996836976447</v>
      </c>
      <c r="BZ207" s="45">
        <v>5089.5759150292579</v>
      </c>
      <c r="CA207" s="45">
        <v>6.8931242092044105</v>
      </c>
      <c r="CB207" s="45">
        <v>3386.8957461668592</v>
      </c>
      <c r="CC207" s="45">
        <v>504429.74157984479</v>
      </c>
      <c r="CD207" s="45">
        <v>102.7022844311474</v>
      </c>
      <c r="CE207" s="45">
        <v>33701.870395625978</v>
      </c>
      <c r="CF207" s="45">
        <v>9776.8745947797943</v>
      </c>
      <c r="CG207" s="45">
        <v>465.95369411148602</v>
      </c>
      <c r="CH207" s="45">
        <v>24.609366011213979</v>
      </c>
      <c r="CI207" s="45">
        <v>133.82847442787909</v>
      </c>
      <c r="CJ207" s="45">
        <v>242966.47709157411</v>
      </c>
      <c r="CK207" s="45"/>
      <c r="CL207" s="45"/>
      <c r="CM207" s="45"/>
      <c r="CN207" s="45"/>
      <c r="CO207" s="45"/>
      <c r="CP207" s="45"/>
      <c r="CQ207" s="45"/>
      <c r="CR207" s="45"/>
      <c r="CS207" s="45"/>
      <c r="CT207" s="45"/>
      <c r="CU207" s="45"/>
      <c r="CV207" s="45"/>
      <c r="CW207" s="45"/>
      <c r="CX207" s="45"/>
      <c r="CY207" s="45"/>
      <c r="CZ207" s="45">
        <v>13.310470459966023</v>
      </c>
      <c r="DA207" s="45">
        <v>1.1257811578333361</v>
      </c>
      <c r="DB207" s="45">
        <v>610474867.3952843</v>
      </c>
      <c r="DC207" s="45"/>
      <c r="DD207" s="45">
        <v>24073657.697642162</v>
      </c>
      <c r="DE207" s="45"/>
      <c r="DF207" s="45">
        <v>132760434.91555555</v>
      </c>
      <c r="DG207" s="45">
        <v>16904873.719833564</v>
      </c>
      <c r="DH207" s="45"/>
      <c r="DI207" s="45">
        <v>1426601202.8626907</v>
      </c>
      <c r="DJ207" s="45">
        <v>123425580.38280167</v>
      </c>
      <c r="DK207" s="45">
        <v>73975526.79056865</v>
      </c>
      <c r="DL207" s="45">
        <v>256014503.58945909</v>
      </c>
      <c r="DM207" s="45">
        <v>376416179.30651873</v>
      </c>
      <c r="DN207" s="45">
        <v>41720458.474341191</v>
      </c>
      <c r="DO207" s="45">
        <v>143248754.6851595</v>
      </c>
      <c r="DP207" s="45">
        <v>99503650.796116501</v>
      </c>
      <c r="DQ207" s="45">
        <v>90155936.744186044</v>
      </c>
      <c r="DR207" s="45">
        <v>112699872.0443828</v>
      </c>
      <c r="DS207" s="45">
        <v>20954113.420249652</v>
      </c>
      <c r="DT207" s="45">
        <v>329043382.85714287</v>
      </c>
      <c r="DU207" s="45"/>
      <c r="DV207" s="45"/>
      <c r="DW207" s="45"/>
      <c r="DX207" s="45"/>
      <c r="DY207" s="45"/>
      <c r="DZ207" s="45"/>
      <c r="EA207" s="45"/>
      <c r="EB207" s="45"/>
      <c r="EC207" s="45"/>
      <c r="ED207" s="45"/>
      <c r="EE207" s="45"/>
      <c r="EF207" s="45"/>
      <c r="EG207" s="45"/>
      <c r="EH207" s="45"/>
      <c r="EI207" s="45"/>
      <c r="EJ207" s="45">
        <v>65178852.660194173</v>
      </c>
      <c r="EK207" s="45">
        <v>24381136.066574201</v>
      </c>
      <c r="EL207" s="45">
        <v>5.1911950482411413</v>
      </c>
      <c r="EM207" s="45">
        <v>10.25922998200112</v>
      </c>
      <c r="EN207" s="45">
        <v>5.0677532297987824</v>
      </c>
      <c r="EO207" s="45"/>
      <c r="EP207" s="45"/>
      <c r="EQ207" s="45"/>
    </row>
    <row r="208" spans="1:147" s="92" customFormat="1" ht="15" customHeight="1" x14ac:dyDescent="0.25">
      <c r="A208" s="89" t="s">
        <v>712</v>
      </c>
      <c r="B208" s="137"/>
      <c r="C208" s="89" t="s">
        <v>714</v>
      </c>
      <c r="D208" s="103"/>
      <c r="E208" s="103"/>
      <c r="F208" s="119"/>
      <c r="G208" s="119"/>
      <c r="H208" s="119"/>
      <c r="I208" s="102"/>
      <c r="J208" s="102"/>
      <c r="K208" s="45"/>
      <c r="L208" s="45"/>
      <c r="M208" s="45"/>
      <c r="N208" s="45"/>
      <c r="O208" s="45"/>
      <c r="P208" s="45"/>
      <c r="Q208" s="45"/>
      <c r="R208" s="45"/>
      <c r="S208" s="45"/>
      <c r="T208" s="45"/>
      <c r="U208" s="45"/>
      <c r="V208" s="45"/>
      <c r="W208" s="45"/>
      <c r="X208" s="45"/>
      <c r="Y208" s="45"/>
      <c r="Z208" s="45"/>
      <c r="AA208" s="45"/>
      <c r="AB208" s="45"/>
      <c r="AC208" s="45"/>
      <c r="AD208" s="45"/>
      <c r="AE208" s="45"/>
      <c r="AF208" s="45"/>
      <c r="AG208" s="45"/>
      <c r="AH208" s="45"/>
      <c r="AI208" s="45"/>
      <c r="AJ208" s="45"/>
      <c r="AK208" s="45"/>
      <c r="AL208" s="45"/>
      <c r="AM208" s="45"/>
      <c r="AN208" s="45"/>
      <c r="AO208" s="45"/>
      <c r="AP208" s="45"/>
      <c r="AQ208" s="45"/>
      <c r="AR208" s="45"/>
      <c r="AS208" s="45"/>
      <c r="AT208" s="45"/>
      <c r="AU208" s="45"/>
      <c r="AV208" s="45"/>
      <c r="AW208" s="45"/>
      <c r="AX208" s="45"/>
      <c r="AY208" s="45"/>
      <c r="AZ208" s="45"/>
      <c r="BA208" s="45"/>
      <c r="BB208" s="45"/>
      <c r="BC208" s="45"/>
      <c r="BD208" s="45"/>
      <c r="BE208" s="45"/>
      <c r="BF208" s="45"/>
      <c r="BG208" s="45"/>
      <c r="BH208" s="45"/>
      <c r="BI208" s="45"/>
      <c r="BJ208" s="45"/>
      <c r="BK208" s="45"/>
      <c r="BL208" s="45"/>
      <c r="BM208" s="45"/>
      <c r="BN208" s="45"/>
      <c r="BO208" s="45"/>
      <c r="BP208" s="45"/>
      <c r="BQ208" s="45"/>
      <c r="BR208" s="45"/>
      <c r="BS208" s="45"/>
      <c r="BT208" s="45"/>
      <c r="BU208" s="45"/>
      <c r="BV208" s="45"/>
      <c r="BW208" s="45"/>
      <c r="BX208" s="45"/>
      <c r="BY208" s="45"/>
      <c r="BZ208" s="45"/>
      <c r="CA208" s="45"/>
      <c r="CB208" s="45"/>
      <c r="CC208" s="45"/>
      <c r="CD208" s="45"/>
      <c r="CE208" s="45"/>
      <c r="CF208" s="45"/>
      <c r="CG208" s="45"/>
      <c r="CH208" s="45"/>
      <c r="CI208" s="45"/>
      <c r="CJ208" s="45"/>
      <c r="CK208" s="45"/>
      <c r="CL208" s="45"/>
      <c r="CM208" s="45"/>
      <c r="CN208" s="45"/>
      <c r="CO208" s="45"/>
      <c r="CP208" s="45"/>
      <c r="CQ208" s="45"/>
      <c r="CR208" s="45"/>
      <c r="CS208" s="45"/>
      <c r="CT208" s="45"/>
      <c r="CU208" s="45"/>
      <c r="CV208" s="45"/>
      <c r="CW208" s="45"/>
      <c r="CX208" s="45"/>
      <c r="CY208" s="45"/>
      <c r="CZ208" s="45"/>
      <c r="DA208" s="45"/>
      <c r="DB208" s="45"/>
      <c r="DC208" s="45"/>
      <c r="DD208" s="45"/>
      <c r="DE208" s="45"/>
      <c r="DF208" s="45"/>
      <c r="DG208" s="45"/>
      <c r="DH208" s="45"/>
      <c r="DI208" s="45"/>
      <c r="DJ208" s="45"/>
      <c r="DK208" s="45"/>
      <c r="DL208" s="45"/>
      <c r="DM208" s="45"/>
      <c r="DN208" s="45"/>
      <c r="DO208" s="45"/>
      <c r="DP208" s="45"/>
      <c r="DQ208" s="45"/>
      <c r="DR208" s="45"/>
      <c r="DS208" s="45"/>
      <c r="DT208" s="45"/>
      <c r="DU208" s="45"/>
      <c r="DV208" s="45"/>
      <c r="DW208" s="45"/>
      <c r="DX208" s="45"/>
      <c r="DY208" s="45"/>
      <c r="DZ208" s="45"/>
      <c r="EA208" s="45"/>
      <c r="EB208" s="45"/>
      <c r="EC208" s="45"/>
      <c r="ED208" s="45"/>
      <c r="EE208" s="45"/>
      <c r="EF208" s="45"/>
      <c r="EG208" s="45"/>
      <c r="EH208" s="45"/>
      <c r="EI208" s="45"/>
      <c r="EJ208" s="45"/>
      <c r="EK208" s="45"/>
      <c r="EL208" s="45"/>
      <c r="EM208" s="45"/>
      <c r="EN208" s="45"/>
      <c r="EO208" s="45"/>
      <c r="EP208" s="45"/>
      <c r="EQ208" s="45"/>
    </row>
    <row r="209" spans="1:147" s="92" customFormat="1" ht="15" customHeight="1" x14ac:dyDescent="0.25">
      <c r="A209" s="89" t="s">
        <v>715</v>
      </c>
      <c r="B209" s="137"/>
      <c r="C209" s="89" t="s">
        <v>716</v>
      </c>
      <c r="D209" s="103"/>
      <c r="E209" s="103"/>
      <c r="F209" s="119"/>
      <c r="G209" s="119"/>
      <c r="H209" s="119"/>
      <c r="I209" s="102"/>
      <c r="J209" s="102"/>
      <c r="K209" s="45"/>
      <c r="L209" s="45"/>
      <c r="M209" s="45"/>
      <c r="N209" s="45"/>
      <c r="O209" s="45"/>
      <c r="P209" s="45"/>
      <c r="Q209" s="45"/>
      <c r="R209" s="45"/>
      <c r="S209" s="45"/>
      <c r="T209" s="45"/>
      <c r="U209" s="45"/>
      <c r="V209" s="45"/>
      <c r="W209" s="45"/>
      <c r="X209" s="45"/>
      <c r="Y209" s="45"/>
      <c r="Z209" s="45"/>
      <c r="AA209" s="45"/>
      <c r="AB209" s="45"/>
      <c r="AC209" s="45"/>
      <c r="AD209" s="45"/>
      <c r="AE209" s="45"/>
      <c r="AF209" s="45"/>
      <c r="AG209" s="45"/>
      <c r="AH209" s="45"/>
      <c r="AI209" s="45"/>
      <c r="AJ209" s="45"/>
      <c r="AK209" s="45"/>
      <c r="AL209" s="45"/>
      <c r="AM209" s="45"/>
      <c r="AN209" s="45"/>
      <c r="AO209" s="45"/>
      <c r="AP209" s="45"/>
      <c r="AQ209" s="45"/>
      <c r="AR209" s="45"/>
      <c r="AS209" s="45"/>
      <c r="AT209" s="45"/>
      <c r="AU209" s="45"/>
      <c r="AV209" s="45"/>
      <c r="AW209" s="45"/>
      <c r="AX209" s="45"/>
      <c r="AY209" s="45"/>
      <c r="AZ209" s="45"/>
      <c r="BA209" s="45"/>
      <c r="BB209" s="45"/>
      <c r="BC209" s="45"/>
      <c r="BD209" s="45"/>
      <c r="BE209" s="45"/>
      <c r="BF209" s="45"/>
      <c r="BG209" s="45"/>
      <c r="BH209" s="45"/>
      <c r="BI209" s="45"/>
      <c r="BJ209" s="45"/>
      <c r="BK209" s="45"/>
      <c r="BL209" s="45"/>
      <c r="BM209" s="45"/>
      <c r="BN209" s="45"/>
      <c r="BO209" s="45"/>
      <c r="BP209" s="45"/>
      <c r="BQ209" s="45"/>
      <c r="BR209" s="45"/>
      <c r="BS209" s="45"/>
      <c r="BT209" s="45"/>
      <c r="BU209" s="45"/>
      <c r="BV209" s="45"/>
      <c r="BW209" s="45"/>
      <c r="BX209" s="45"/>
      <c r="BY209" s="45"/>
      <c r="BZ209" s="45"/>
      <c r="CA209" s="45"/>
      <c r="CB209" s="45"/>
      <c r="CC209" s="45"/>
      <c r="CD209" s="45"/>
      <c r="CE209" s="45"/>
      <c r="CF209" s="45"/>
      <c r="CG209" s="45"/>
      <c r="CH209" s="45"/>
      <c r="CI209" s="45"/>
      <c r="CJ209" s="45"/>
      <c r="CK209" s="45"/>
      <c r="CL209" s="45"/>
      <c r="CM209" s="45"/>
      <c r="CN209" s="45"/>
      <c r="CO209" s="45"/>
      <c r="CP209" s="45"/>
      <c r="CQ209" s="45"/>
      <c r="CR209" s="45"/>
      <c r="CS209" s="45"/>
      <c r="CT209" s="45"/>
      <c r="CU209" s="45"/>
      <c r="CV209" s="45"/>
      <c r="CW209" s="45"/>
      <c r="CX209" s="45"/>
      <c r="CY209" s="45"/>
      <c r="CZ209" s="45"/>
      <c r="DA209" s="45"/>
      <c r="DB209" s="45"/>
      <c r="DC209" s="45"/>
      <c r="DD209" s="45"/>
      <c r="DE209" s="45"/>
      <c r="DF209" s="45"/>
      <c r="DG209" s="45"/>
      <c r="DH209" s="45"/>
      <c r="DI209" s="45"/>
      <c r="DJ209" s="45"/>
      <c r="DK209" s="45"/>
      <c r="DL209" s="45"/>
      <c r="DM209" s="45"/>
      <c r="DN209" s="45"/>
      <c r="DO209" s="45"/>
      <c r="DP209" s="45"/>
      <c r="DQ209" s="45"/>
      <c r="DR209" s="45"/>
      <c r="DS209" s="45"/>
      <c r="DT209" s="45"/>
      <c r="DU209" s="45"/>
      <c r="DV209" s="45"/>
      <c r="DW209" s="45"/>
      <c r="DX209" s="45"/>
      <c r="DY209" s="45"/>
      <c r="DZ209" s="45"/>
      <c r="EA209" s="45"/>
      <c r="EB209" s="45"/>
      <c r="EC209" s="45"/>
      <c r="ED209" s="45"/>
      <c r="EE209" s="45"/>
      <c r="EF209" s="45"/>
      <c r="EG209" s="45"/>
      <c r="EH209" s="45"/>
      <c r="EI209" s="45"/>
      <c r="EJ209" s="45"/>
      <c r="EK209" s="45"/>
      <c r="EL209" s="45"/>
      <c r="EM209" s="45"/>
      <c r="EN209" s="45"/>
      <c r="EO209" s="45"/>
      <c r="EP209" s="45"/>
      <c r="EQ209" s="45"/>
    </row>
    <row r="210" spans="1:147" s="92" customFormat="1" ht="15" customHeight="1" x14ac:dyDescent="0.25">
      <c r="A210" s="89" t="s">
        <v>717</v>
      </c>
      <c r="B210" s="137"/>
      <c r="C210" s="89" t="s">
        <v>718</v>
      </c>
      <c r="D210" s="103"/>
      <c r="E210" s="103"/>
      <c r="F210" s="119"/>
      <c r="G210" s="119"/>
      <c r="H210" s="119"/>
      <c r="I210" s="102"/>
      <c r="J210" s="102"/>
      <c r="K210" s="45"/>
      <c r="L210" s="45"/>
      <c r="M210" s="45"/>
      <c r="N210" s="45"/>
      <c r="O210" s="45"/>
      <c r="P210" s="45"/>
      <c r="Q210" s="45"/>
      <c r="R210" s="45"/>
      <c r="S210" s="45"/>
      <c r="T210" s="45"/>
      <c r="U210" s="45"/>
      <c r="V210" s="45"/>
      <c r="W210" s="45"/>
      <c r="X210" s="45"/>
      <c r="Y210" s="45"/>
      <c r="Z210" s="45"/>
      <c r="AA210" s="45"/>
      <c r="AB210" s="45"/>
      <c r="AC210" s="45"/>
      <c r="AD210" s="45"/>
      <c r="AE210" s="45"/>
      <c r="AF210" s="45"/>
      <c r="AG210" s="45"/>
      <c r="AH210" s="45"/>
      <c r="AI210" s="45"/>
      <c r="AJ210" s="45"/>
      <c r="AK210" s="45"/>
      <c r="AL210" s="45"/>
      <c r="AM210" s="45"/>
      <c r="AN210" s="45"/>
      <c r="AO210" s="45"/>
      <c r="AP210" s="45"/>
      <c r="AQ210" s="45"/>
      <c r="AR210" s="45"/>
      <c r="AS210" s="45"/>
      <c r="AT210" s="45"/>
      <c r="AU210" s="45"/>
      <c r="AV210" s="45"/>
      <c r="AW210" s="45"/>
      <c r="AX210" s="45"/>
      <c r="AY210" s="45"/>
      <c r="AZ210" s="45"/>
      <c r="BA210" s="45"/>
      <c r="BB210" s="45"/>
      <c r="BC210" s="45"/>
      <c r="BD210" s="45"/>
      <c r="BE210" s="45"/>
      <c r="BF210" s="45"/>
      <c r="BG210" s="45"/>
      <c r="BH210" s="45"/>
      <c r="BI210" s="45"/>
      <c r="BJ210" s="45"/>
      <c r="BK210" s="45"/>
      <c r="BL210" s="45"/>
      <c r="BM210" s="45"/>
      <c r="BN210" s="45"/>
      <c r="BO210" s="45"/>
      <c r="BP210" s="45"/>
      <c r="BQ210" s="45"/>
      <c r="BR210" s="45"/>
      <c r="BS210" s="45"/>
      <c r="BT210" s="45"/>
      <c r="BU210" s="45"/>
      <c r="BV210" s="45"/>
      <c r="BW210" s="45"/>
      <c r="BX210" s="45"/>
      <c r="BY210" s="45"/>
      <c r="BZ210" s="45"/>
      <c r="CA210" s="45"/>
      <c r="CB210" s="45"/>
      <c r="CC210" s="45"/>
      <c r="CD210" s="45"/>
      <c r="CE210" s="45"/>
      <c r="CF210" s="45"/>
      <c r="CG210" s="45"/>
      <c r="CH210" s="45"/>
      <c r="CI210" s="45"/>
      <c r="CJ210" s="45"/>
      <c r="CK210" s="45"/>
      <c r="CL210" s="45"/>
      <c r="CM210" s="45"/>
      <c r="CN210" s="45"/>
      <c r="CO210" s="45"/>
      <c r="CP210" s="45"/>
      <c r="CQ210" s="45"/>
      <c r="CR210" s="45"/>
      <c r="CS210" s="45"/>
      <c r="CT210" s="45"/>
      <c r="CU210" s="45"/>
      <c r="CV210" s="45"/>
      <c r="CW210" s="45"/>
      <c r="CX210" s="45"/>
      <c r="CY210" s="45"/>
      <c r="CZ210" s="45"/>
      <c r="DA210" s="45"/>
      <c r="DB210" s="45"/>
      <c r="DC210" s="45"/>
      <c r="DD210" s="45"/>
      <c r="DE210" s="45"/>
      <c r="DF210" s="45"/>
      <c r="DG210" s="45"/>
      <c r="DH210" s="45"/>
      <c r="DI210" s="45"/>
      <c r="DJ210" s="45"/>
      <c r="DK210" s="45"/>
      <c r="DL210" s="45"/>
      <c r="DM210" s="45"/>
      <c r="DN210" s="45"/>
      <c r="DO210" s="45"/>
      <c r="DP210" s="45"/>
      <c r="DQ210" s="45"/>
      <c r="DR210" s="45"/>
      <c r="DS210" s="45"/>
      <c r="DT210" s="45"/>
      <c r="DU210" s="45"/>
      <c r="DV210" s="45"/>
      <c r="DW210" s="45"/>
      <c r="DX210" s="45"/>
      <c r="DY210" s="45"/>
      <c r="DZ210" s="45"/>
      <c r="EA210" s="45"/>
      <c r="EB210" s="45"/>
      <c r="EC210" s="45"/>
      <c r="ED210" s="45"/>
      <c r="EE210" s="45"/>
      <c r="EF210" s="45"/>
      <c r="EG210" s="45"/>
      <c r="EH210" s="45"/>
      <c r="EI210" s="45"/>
      <c r="EJ210" s="45"/>
      <c r="EK210" s="45"/>
      <c r="EL210" s="45"/>
      <c r="EM210" s="45"/>
      <c r="EN210" s="45"/>
      <c r="EO210" s="45"/>
      <c r="EP210" s="45"/>
      <c r="EQ210" s="45"/>
    </row>
    <row r="211" spans="1:147" s="92" customFormat="1" ht="15" customHeight="1" x14ac:dyDescent="0.25">
      <c r="A211" s="89" t="s">
        <v>719</v>
      </c>
      <c r="B211" s="137"/>
      <c r="C211" s="89" t="s">
        <v>720</v>
      </c>
      <c r="D211" s="103"/>
      <c r="E211" s="103"/>
      <c r="F211" s="119"/>
      <c r="G211" s="119"/>
      <c r="H211" s="119"/>
      <c r="I211" s="102"/>
      <c r="J211" s="102"/>
      <c r="K211" s="45"/>
      <c r="L211" s="45"/>
      <c r="M211" s="45"/>
      <c r="N211" s="45"/>
      <c r="O211" s="45"/>
      <c r="P211" s="45"/>
      <c r="Q211" s="45"/>
      <c r="R211" s="45"/>
      <c r="S211" s="45"/>
      <c r="T211" s="45"/>
      <c r="U211" s="45"/>
      <c r="V211" s="45"/>
      <c r="W211" s="45"/>
      <c r="X211" s="45"/>
      <c r="Y211" s="45"/>
      <c r="Z211" s="45"/>
      <c r="AA211" s="45"/>
      <c r="AB211" s="45"/>
      <c r="AC211" s="45"/>
      <c r="AD211" s="45"/>
      <c r="AE211" s="45"/>
      <c r="AF211" s="45"/>
      <c r="AG211" s="45"/>
      <c r="AH211" s="45"/>
      <c r="AI211" s="45"/>
      <c r="AJ211" s="45"/>
      <c r="AK211" s="45"/>
      <c r="AL211" s="45"/>
      <c r="AM211" s="45"/>
      <c r="AN211" s="45"/>
      <c r="AO211" s="45"/>
      <c r="AP211" s="45"/>
      <c r="AQ211" s="45"/>
      <c r="AR211" s="45"/>
      <c r="AS211" s="45"/>
      <c r="AT211" s="45"/>
      <c r="AU211" s="45"/>
      <c r="AV211" s="45"/>
      <c r="AW211" s="45"/>
      <c r="AX211" s="45"/>
      <c r="AY211" s="45"/>
      <c r="AZ211" s="45"/>
      <c r="BA211" s="45"/>
      <c r="BB211" s="45"/>
      <c r="BC211" s="45"/>
      <c r="BD211" s="45"/>
      <c r="BE211" s="45"/>
      <c r="BF211" s="45"/>
      <c r="BG211" s="45"/>
      <c r="BH211" s="45"/>
      <c r="BI211" s="45"/>
      <c r="BJ211" s="45"/>
      <c r="BK211" s="45"/>
      <c r="BL211" s="45"/>
      <c r="BM211" s="45"/>
      <c r="BN211" s="45"/>
      <c r="BO211" s="45"/>
      <c r="BP211" s="45"/>
      <c r="BQ211" s="45"/>
      <c r="BR211" s="45"/>
      <c r="BS211" s="45"/>
      <c r="BT211" s="45"/>
      <c r="BU211" s="45"/>
      <c r="BV211" s="45"/>
      <c r="BW211" s="45"/>
      <c r="BX211" s="45"/>
      <c r="BY211" s="45"/>
      <c r="BZ211" s="45"/>
      <c r="CA211" s="45"/>
      <c r="CB211" s="45"/>
      <c r="CC211" s="45"/>
      <c r="CD211" s="45"/>
      <c r="CE211" s="45"/>
      <c r="CF211" s="45"/>
      <c r="CG211" s="45"/>
      <c r="CH211" s="45"/>
      <c r="CI211" s="45"/>
      <c r="CJ211" s="45"/>
      <c r="CK211" s="45"/>
      <c r="CL211" s="45"/>
      <c r="CM211" s="45"/>
      <c r="CN211" s="45"/>
      <c r="CO211" s="45"/>
      <c r="CP211" s="45"/>
      <c r="CQ211" s="45"/>
      <c r="CR211" s="45"/>
      <c r="CS211" s="45"/>
      <c r="CT211" s="45"/>
      <c r="CU211" s="45"/>
      <c r="CV211" s="45"/>
      <c r="CW211" s="45"/>
      <c r="CX211" s="45"/>
      <c r="CY211" s="45"/>
      <c r="CZ211" s="45"/>
      <c r="DA211" s="45"/>
      <c r="DB211" s="45"/>
      <c r="DC211" s="45"/>
      <c r="DD211" s="45"/>
      <c r="DE211" s="45"/>
      <c r="DF211" s="45"/>
      <c r="DG211" s="45"/>
      <c r="DH211" s="45"/>
      <c r="DI211" s="45"/>
      <c r="DJ211" s="45"/>
      <c r="DK211" s="45"/>
      <c r="DL211" s="45"/>
      <c r="DM211" s="45"/>
      <c r="DN211" s="45"/>
      <c r="DO211" s="45"/>
      <c r="DP211" s="45"/>
      <c r="DQ211" s="45"/>
      <c r="DR211" s="45"/>
      <c r="DS211" s="45"/>
      <c r="DT211" s="45"/>
      <c r="DU211" s="45"/>
      <c r="DV211" s="45"/>
      <c r="DW211" s="45"/>
      <c r="DX211" s="45"/>
      <c r="DY211" s="45"/>
      <c r="DZ211" s="45"/>
      <c r="EA211" s="45"/>
      <c r="EB211" s="45"/>
      <c r="EC211" s="45"/>
      <c r="ED211" s="45"/>
      <c r="EE211" s="45"/>
      <c r="EF211" s="45"/>
      <c r="EG211" s="45"/>
      <c r="EH211" s="45"/>
      <c r="EI211" s="45"/>
      <c r="EJ211" s="45"/>
      <c r="EK211" s="45"/>
      <c r="EL211" s="45"/>
      <c r="EM211" s="45"/>
      <c r="EN211" s="45"/>
      <c r="EO211" s="45"/>
      <c r="EP211" s="45"/>
      <c r="EQ211" s="45"/>
    </row>
    <row r="212" spans="1:147" s="92" customFormat="1" ht="15" customHeight="1" x14ac:dyDescent="0.25">
      <c r="A212" s="89" t="s">
        <v>721</v>
      </c>
      <c r="B212" s="137"/>
      <c r="C212" s="89" t="s">
        <v>722</v>
      </c>
      <c r="D212" s="103"/>
      <c r="E212" s="103"/>
      <c r="F212" s="119"/>
      <c r="G212" s="119"/>
      <c r="H212" s="119"/>
      <c r="I212" s="102"/>
      <c r="J212" s="102"/>
      <c r="K212" s="45"/>
      <c r="L212" s="45"/>
      <c r="M212" s="45"/>
      <c r="N212" s="45"/>
      <c r="O212" s="45"/>
      <c r="P212" s="45"/>
      <c r="Q212" s="45"/>
      <c r="R212" s="45"/>
      <c r="S212" s="45"/>
      <c r="T212" s="45"/>
      <c r="U212" s="45"/>
      <c r="V212" s="45"/>
      <c r="W212" s="45"/>
      <c r="X212" s="45"/>
      <c r="Y212" s="45"/>
      <c r="Z212" s="45"/>
      <c r="AA212" s="45"/>
      <c r="AB212" s="45"/>
      <c r="AC212" s="45"/>
      <c r="AD212" s="45"/>
      <c r="AE212" s="45"/>
      <c r="AF212" s="45"/>
      <c r="AG212" s="45"/>
      <c r="AH212" s="45"/>
      <c r="AI212" s="45"/>
      <c r="AJ212" s="45"/>
      <c r="AK212" s="45"/>
      <c r="AL212" s="45"/>
      <c r="AM212" s="45"/>
      <c r="AN212" s="45"/>
      <c r="AO212" s="45"/>
      <c r="AP212" s="45"/>
      <c r="AQ212" s="45"/>
      <c r="AR212" s="45"/>
      <c r="AS212" s="45"/>
      <c r="AT212" s="45"/>
      <c r="AU212" s="45"/>
      <c r="AV212" s="45"/>
      <c r="AW212" s="45"/>
      <c r="AX212" s="45"/>
      <c r="AY212" s="45"/>
      <c r="AZ212" s="45"/>
      <c r="BA212" s="45"/>
      <c r="BB212" s="45"/>
      <c r="BC212" s="45"/>
      <c r="BD212" s="45"/>
      <c r="BE212" s="45"/>
      <c r="BF212" s="45"/>
      <c r="BG212" s="45"/>
      <c r="BH212" s="45"/>
      <c r="BI212" s="45"/>
      <c r="BJ212" s="45"/>
      <c r="BK212" s="45"/>
      <c r="BL212" s="45"/>
      <c r="BM212" s="45"/>
      <c r="BN212" s="45"/>
      <c r="BO212" s="45"/>
      <c r="BP212" s="45"/>
      <c r="BQ212" s="45"/>
      <c r="BR212" s="45"/>
      <c r="BS212" s="45"/>
      <c r="BT212" s="45"/>
      <c r="BU212" s="45"/>
      <c r="BV212" s="45"/>
      <c r="BW212" s="45"/>
      <c r="BX212" s="45"/>
      <c r="BY212" s="45"/>
      <c r="BZ212" s="45"/>
      <c r="CA212" s="45"/>
      <c r="CB212" s="45"/>
      <c r="CC212" s="45"/>
      <c r="CD212" s="45"/>
      <c r="CE212" s="45"/>
      <c r="CF212" s="45"/>
      <c r="CG212" s="45"/>
      <c r="CH212" s="45"/>
      <c r="CI212" s="45"/>
      <c r="CJ212" s="45"/>
      <c r="CK212" s="45"/>
      <c r="CL212" s="45"/>
      <c r="CM212" s="45"/>
      <c r="CN212" s="45"/>
      <c r="CO212" s="45"/>
      <c r="CP212" s="45"/>
      <c r="CQ212" s="45"/>
      <c r="CR212" s="45"/>
      <c r="CS212" s="45"/>
      <c r="CT212" s="45"/>
      <c r="CU212" s="45"/>
      <c r="CV212" s="45"/>
      <c r="CW212" s="45"/>
      <c r="CX212" s="45"/>
      <c r="CY212" s="45"/>
      <c r="CZ212" s="45"/>
      <c r="DA212" s="45"/>
      <c r="DB212" s="45"/>
      <c r="DC212" s="45"/>
      <c r="DD212" s="45"/>
      <c r="DE212" s="45"/>
      <c r="DF212" s="45"/>
      <c r="DG212" s="45"/>
      <c r="DH212" s="45"/>
      <c r="DI212" s="45"/>
      <c r="DJ212" s="45"/>
      <c r="DK212" s="45"/>
      <c r="DL212" s="45"/>
      <c r="DM212" s="45"/>
      <c r="DN212" s="45"/>
      <c r="DO212" s="45"/>
      <c r="DP212" s="45"/>
      <c r="DQ212" s="45"/>
      <c r="DR212" s="45"/>
      <c r="DS212" s="45"/>
      <c r="DT212" s="45"/>
      <c r="DU212" s="45"/>
      <c r="DV212" s="45"/>
      <c r="DW212" s="45"/>
      <c r="DX212" s="45"/>
      <c r="DY212" s="45"/>
      <c r="DZ212" s="45"/>
      <c r="EA212" s="45"/>
      <c r="EB212" s="45"/>
      <c r="EC212" s="45"/>
      <c r="ED212" s="45"/>
      <c r="EE212" s="45"/>
      <c r="EF212" s="45"/>
      <c r="EG212" s="45"/>
      <c r="EH212" s="45"/>
      <c r="EI212" s="45"/>
      <c r="EJ212" s="45"/>
      <c r="EK212" s="45"/>
      <c r="EL212" s="45"/>
      <c r="EM212" s="45"/>
      <c r="EN212" s="45"/>
      <c r="EO212" s="45"/>
      <c r="EP212" s="45"/>
      <c r="EQ212" s="45"/>
    </row>
    <row r="213" spans="1:147" s="92" customFormat="1" ht="15" customHeight="1" x14ac:dyDescent="0.25">
      <c r="A213" s="89" t="s">
        <v>723</v>
      </c>
      <c r="B213" s="137"/>
      <c r="C213" s="89" t="s">
        <v>724</v>
      </c>
      <c r="D213" s="103"/>
      <c r="E213" s="103" t="s">
        <v>852</v>
      </c>
      <c r="F213" s="119" t="s">
        <v>48</v>
      </c>
      <c r="G213" s="119">
        <v>16</v>
      </c>
      <c r="H213" s="119">
        <v>256</v>
      </c>
      <c r="I213" s="102"/>
      <c r="J213" s="102"/>
      <c r="K213" s="45"/>
      <c r="L213" s="45"/>
      <c r="M213" s="45"/>
      <c r="N213" s="45"/>
      <c r="O213" s="45"/>
      <c r="P213" s="45"/>
      <c r="Q213" s="45"/>
      <c r="R213" s="45"/>
      <c r="S213" s="45"/>
      <c r="T213" s="45"/>
      <c r="U213" s="45"/>
      <c r="V213" s="45"/>
      <c r="W213" s="45"/>
      <c r="X213" s="45"/>
      <c r="Y213" s="45"/>
      <c r="Z213" s="45"/>
      <c r="AA213" s="45"/>
      <c r="AB213" s="45"/>
      <c r="AC213" s="45"/>
      <c r="AD213" s="45"/>
      <c r="AE213" s="45"/>
      <c r="AF213" s="45"/>
      <c r="AG213" s="45"/>
      <c r="AH213" s="45"/>
      <c r="AI213" s="45"/>
      <c r="AJ213" s="45"/>
      <c r="AK213" s="45"/>
      <c r="AL213" s="45"/>
      <c r="AM213" s="45"/>
      <c r="AN213" s="45"/>
      <c r="AO213" s="45"/>
      <c r="AP213" s="45"/>
      <c r="AQ213" s="45"/>
      <c r="AR213" s="45"/>
      <c r="AS213" s="45"/>
      <c r="AT213" s="45"/>
      <c r="AU213" s="45"/>
      <c r="AV213" s="45"/>
      <c r="AW213" s="45"/>
      <c r="AX213" s="45"/>
      <c r="AY213" s="45"/>
      <c r="AZ213" s="45"/>
      <c r="BA213" s="45"/>
      <c r="BB213" s="45"/>
      <c r="BC213" s="45"/>
      <c r="BD213" s="45"/>
      <c r="BE213" s="45"/>
      <c r="BF213" s="45"/>
      <c r="BG213" s="45"/>
      <c r="BH213" s="45"/>
      <c r="BI213" s="45"/>
      <c r="BJ213" s="45"/>
      <c r="BK213" s="45"/>
      <c r="BL213" s="45"/>
      <c r="BM213" s="45"/>
      <c r="BN213" s="45"/>
      <c r="BO213" s="45"/>
      <c r="BP213" s="45"/>
      <c r="BQ213" s="45"/>
      <c r="BR213" s="45"/>
      <c r="BS213" s="45"/>
      <c r="BT213" s="45"/>
      <c r="BU213" s="45"/>
      <c r="BV213" s="45"/>
      <c r="BW213" s="45"/>
      <c r="BX213" s="45"/>
      <c r="BY213" s="45"/>
      <c r="BZ213" s="45"/>
      <c r="CA213" s="45"/>
      <c r="CB213" s="45"/>
      <c r="CC213" s="45"/>
      <c r="CD213" s="45"/>
      <c r="CE213" s="45"/>
      <c r="CF213" s="45"/>
      <c r="CG213" s="45"/>
      <c r="CH213" s="45"/>
      <c r="CI213" s="45"/>
      <c r="CJ213" s="45"/>
      <c r="CK213" s="45"/>
      <c r="CL213" s="45"/>
      <c r="CM213" s="45"/>
      <c r="CN213" s="45"/>
      <c r="CO213" s="45"/>
      <c r="CP213" s="45"/>
      <c r="CQ213" s="45"/>
      <c r="CR213" s="45"/>
      <c r="CS213" s="45"/>
      <c r="CT213" s="45"/>
      <c r="CU213" s="45"/>
      <c r="CV213" s="45"/>
      <c r="CW213" s="45"/>
      <c r="CX213" s="45"/>
      <c r="CY213" s="45"/>
      <c r="CZ213" s="45"/>
      <c r="DA213" s="45"/>
      <c r="DB213" s="45"/>
      <c r="DC213" s="45"/>
      <c r="DD213" s="45"/>
      <c r="DE213" s="45"/>
      <c r="DF213" s="45"/>
      <c r="DG213" s="45"/>
      <c r="DH213" s="45"/>
      <c r="DI213" s="45"/>
      <c r="DJ213" s="45"/>
      <c r="DK213" s="45"/>
      <c r="DL213" s="45"/>
      <c r="DM213" s="45"/>
      <c r="DN213" s="45"/>
      <c r="DO213" s="45"/>
      <c r="DP213" s="45"/>
      <c r="DQ213" s="45"/>
      <c r="DR213" s="45"/>
      <c r="DS213" s="45"/>
      <c r="DT213" s="45"/>
      <c r="DU213" s="45"/>
      <c r="DV213" s="45"/>
      <c r="DW213" s="45"/>
      <c r="DX213" s="45"/>
      <c r="DY213" s="45"/>
      <c r="DZ213" s="45"/>
      <c r="EA213" s="45"/>
      <c r="EB213" s="45"/>
      <c r="EC213" s="45"/>
      <c r="ED213" s="45"/>
      <c r="EE213" s="45"/>
      <c r="EF213" s="45"/>
      <c r="EG213" s="45"/>
      <c r="EH213" s="45"/>
      <c r="EI213" s="45"/>
      <c r="EJ213" s="45"/>
      <c r="EK213" s="45"/>
      <c r="EL213" s="45"/>
      <c r="EM213" s="45"/>
      <c r="EN213" s="45"/>
      <c r="EO213" s="45"/>
      <c r="EP213" s="45"/>
      <c r="EQ213" s="45"/>
    </row>
    <row r="214" spans="1:147" s="92" customFormat="1" ht="15" customHeight="1" x14ac:dyDescent="0.25">
      <c r="A214" s="89" t="s">
        <v>725</v>
      </c>
      <c r="B214" s="137"/>
      <c r="C214" s="89" t="s">
        <v>726</v>
      </c>
      <c r="D214" s="103"/>
      <c r="E214" s="103"/>
      <c r="F214" s="119"/>
      <c r="G214" s="119"/>
      <c r="H214" s="119"/>
      <c r="I214" s="102"/>
      <c r="J214" s="102"/>
      <c r="K214" s="45"/>
      <c r="L214" s="45"/>
      <c r="M214" s="45"/>
      <c r="N214" s="45"/>
      <c r="O214" s="45"/>
      <c r="P214" s="45"/>
      <c r="Q214" s="45"/>
      <c r="R214" s="45"/>
      <c r="S214" s="45"/>
      <c r="T214" s="45"/>
      <c r="U214" s="45"/>
      <c r="V214" s="45"/>
      <c r="W214" s="45"/>
      <c r="X214" s="45"/>
      <c r="Y214" s="45"/>
      <c r="Z214" s="45"/>
      <c r="AA214" s="45"/>
      <c r="AB214" s="45"/>
      <c r="AC214" s="45"/>
      <c r="AD214" s="45"/>
      <c r="AE214" s="45"/>
      <c r="AF214" s="45"/>
      <c r="AG214" s="45"/>
      <c r="AH214" s="45"/>
      <c r="AI214" s="45"/>
      <c r="AJ214" s="45"/>
      <c r="AK214" s="45"/>
      <c r="AL214" s="45"/>
      <c r="AM214" s="45"/>
      <c r="AN214" s="45"/>
      <c r="AO214" s="45"/>
      <c r="AP214" s="45"/>
      <c r="AQ214" s="45"/>
      <c r="AR214" s="45"/>
      <c r="AS214" s="45"/>
      <c r="AT214" s="45"/>
      <c r="AU214" s="45"/>
      <c r="AV214" s="45"/>
      <c r="AW214" s="45"/>
      <c r="AX214" s="45"/>
      <c r="AY214" s="45"/>
      <c r="AZ214" s="45"/>
      <c r="BA214" s="45"/>
      <c r="BB214" s="45"/>
      <c r="BC214" s="45"/>
      <c r="BD214" s="45"/>
      <c r="BE214" s="45"/>
      <c r="BF214" s="45"/>
      <c r="BG214" s="45"/>
      <c r="BH214" s="45"/>
      <c r="BI214" s="45"/>
      <c r="BJ214" s="45"/>
      <c r="BK214" s="45"/>
      <c r="BL214" s="45"/>
      <c r="BM214" s="45"/>
      <c r="BN214" s="45"/>
      <c r="BO214" s="45"/>
      <c r="BP214" s="45"/>
      <c r="BQ214" s="45"/>
      <c r="BR214" s="45"/>
      <c r="BS214" s="45"/>
      <c r="BT214" s="45"/>
      <c r="BU214" s="45"/>
      <c r="BV214" s="45"/>
      <c r="BW214" s="45"/>
      <c r="BX214" s="45"/>
      <c r="BY214" s="45"/>
      <c r="BZ214" s="45"/>
      <c r="CA214" s="45"/>
      <c r="CB214" s="45"/>
      <c r="CC214" s="45"/>
      <c r="CD214" s="45"/>
      <c r="CE214" s="45"/>
      <c r="CF214" s="45"/>
      <c r="CG214" s="45"/>
      <c r="CH214" s="45"/>
      <c r="CI214" s="45"/>
      <c r="CJ214" s="45"/>
      <c r="CK214" s="45"/>
      <c r="CL214" s="45"/>
      <c r="CM214" s="45"/>
      <c r="CN214" s="45"/>
      <c r="CO214" s="45"/>
      <c r="CP214" s="45"/>
      <c r="CQ214" s="45"/>
      <c r="CR214" s="45"/>
      <c r="CS214" s="45"/>
      <c r="CT214" s="45"/>
      <c r="CU214" s="45"/>
      <c r="CV214" s="45"/>
      <c r="CW214" s="45"/>
      <c r="CX214" s="45"/>
      <c r="CY214" s="45"/>
      <c r="CZ214" s="45"/>
      <c r="DA214" s="45"/>
      <c r="DB214" s="45"/>
      <c r="DC214" s="45"/>
      <c r="DD214" s="45"/>
      <c r="DE214" s="45"/>
      <c r="DF214" s="45"/>
      <c r="DG214" s="45"/>
      <c r="DH214" s="45"/>
      <c r="DI214" s="45"/>
      <c r="DJ214" s="45"/>
      <c r="DK214" s="45"/>
      <c r="DL214" s="45"/>
      <c r="DM214" s="45"/>
      <c r="DN214" s="45"/>
      <c r="DO214" s="45"/>
      <c r="DP214" s="45"/>
      <c r="DQ214" s="45"/>
      <c r="DR214" s="45"/>
      <c r="DS214" s="45"/>
      <c r="DT214" s="45"/>
      <c r="DU214" s="45"/>
      <c r="DV214" s="45"/>
      <c r="DW214" s="45"/>
      <c r="DX214" s="45"/>
      <c r="DY214" s="45"/>
      <c r="DZ214" s="45"/>
      <c r="EA214" s="45"/>
      <c r="EB214" s="45"/>
      <c r="EC214" s="45"/>
      <c r="ED214" s="45"/>
      <c r="EE214" s="45"/>
      <c r="EF214" s="45"/>
      <c r="EG214" s="45"/>
      <c r="EH214" s="45"/>
      <c r="EI214" s="45"/>
      <c r="EJ214" s="45"/>
      <c r="EK214" s="45"/>
      <c r="EL214" s="45"/>
      <c r="EM214" s="45"/>
      <c r="EN214" s="45"/>
      <c r="EO214" s="45"/>
      <c r="EP214" s="45"/>
      <c r="EQ214" s="45"/>
    </row>
    <row r="215" spans="1:147" s="92" customFormat="1" ht="15" customHeight="1" x14ac:dyDescent="0.25">
      <c r="A215" s="89" t="s">
        <v>727</v>
      </c>
      <c r="B215" s="137"/>
      <c r="C215" s="89" t="s">
        <v>728</v>
      </c>
      <c r="D215" s="103"/>
      <c r="E215" s="103"/>
      <c r="F215" s="119"/>
      <c r="G215" s="119"/>
      <c r="H215" s="119"/>
      <c r="I215" s="102"/>
      <c r="J215" s="102"/>
      <c r="K215" s="45"/>
      <c r="L215" s="45"/>
      <c r="M215" s="45"/>
      <c r="N215" s="45"/>
      <c r="O215" s="45"/>
      <c r="P215" s="45"/>
      <c r="Q215" s="45"/>
      <c r="R215" s="45"/>
      <c r="S215" s="45"/>
      <c r="T215" s="45"/>
      <c r="U215" s="45"/>
      <c r="V215" s="45"/>
      <c r="W215" s="45"/>
      <c r="X215" s="45"/>
      <c r="Y215" s="45"/>
      <c r="Z215" s="45"/>
      <c r="AA215" s="45"/>
      <c r="AB215" s="45"/>
      <c r="AC215" s="45"/>
      <c r="AD215" s="45"/>
      <c r="AE215" s="45"/>
      <c r="AF215" s="45"/>
      <c r="AG215" s="45"/>
      <c r="AH215" s="45"/>
      <c r="AI215" s="45"/>
      <c r="AJ215" s="45"/>
      <c r="AK215" s="45"/>
      <c r="AL215" s="45"/>
      <c r="AM215" s="45"/>
      <c r="AN215" s="45"/>
      <c r="AO215" s="45"/>
      <c r="AP215" s="45"/>
      <c r="AQ215" s="45"/>
      <c r="AR215" s="45"/>
      <c r="AS215" s="45"/>
      <c r="AT215" s="45"/>
      <c r="AU215" s="45"/>
      <c r="AV215" s="45"/>
      <c r="AW215" s="45"/>
      <c r="AX215" s="45"/>
      <c r="AY215" s="45"/>
      <c r="AZ215" s="45"/>
      <c r="BA215" s="45"/>
      <c r="BB215" s="45"/>
      <c r="BC215" s="45"/>
      <c r="BD215" s="45"/>
      <c r="BE215" s="45"/>
      <c r="BF215" s="45"/>
      <c r="BG215" s="45"/>
      <c r="BH215" s="45"/>
      <c r="BI215" s="45"/>
      <c r="BJ215" s="45"/>
      <c r="BK215" s="45"/>
      <c r="BL215" s="45"/>
      <c r="BM215" s="45"/>
      <c r="BN215" s="45"/>
      <c r="BO215" s="45"/>
      <c r="BP215" s="45"/>
      <c r="BQ215" s="45"/>
      <c r="BR215" s="45"/>
      <c r="BS215" s="45"/>
      <c r="BT215" s="45"/>
      <c r="BU215" s="45"/>
      <c r="BV215" s="45"/>
      <c r="BW215" s="45"/>
      <c r="BX215" s="45"/>
      <c r="BY215" s="45"/>
      <c r="BZ215" s="45"/>
      <c r="CA215" s="45"/>
      <c r="CB215" s="45"/>
      <c r="CC215" s="45"/>
      <c r="CD215" s="45"/>
      <c r="CE215" s="45"/>
      <c r="CF215" s="45"/>
      <c r="CG215" s="45"/>
      <c r="CH215" s="45"/>
      <c r="CI215" s="45"/>
      <c r="CJ215" s="45"/>
      <c r="CK215" s="45"/>
      <c r="CL215" s="45"/>
      <c r="CM215" s="45"/>
      <c r="CN215" s="45"/>
      <c r="CO215" s="45"/>
      <c r="CP215" s="45"/>
      <c r="CQ215" s="45"/>
      <c r="CR215" s="45"/>
      <c r="CS215" s="45"/>
      <c r="CT215" s="45"/>
      <c r="CU215" s="45"/>
      <c r="CV215" s="45"/>
      <c r="CW215" s="45"/>
      <c r="CX215" s="45"/>
      <c r="CY215" s="45"/>
      <c r="CZ215" s="45"/>
      <c r="DA215" s="45"/>
      <c r="DB215" s="45"/>
      <c r="DC215" s="45"/>
      <c r="DD215" s="45"/>
      <c r="DE215" s="45"/>
      <c r="DF215" s="45"/>
      <c r="DG215" s="45"/>
      <c r="DH215" s="45"/>
      <c r="DI215" s="45"/>
      <c r="DJ215" s="45"/>
      <c r="DK215" s="45"/>
      <c r="DL215" s="45"/>
      <c r="DM215" s="45"/>
      <c r="DN215" s="45"/>
      <c r="DO215" s="45"/>
      <c r="DP215" s="45"/>
      <c r="DQ215" s="45"/>
      <c r="DR215" s="45"/>
      <c r="DS215" s="45"/>
      <c r="DT215" s="45"/>
      <c r="DU215" s="45"/>
      <c r="DV215" s="45"/>
      <c r="DW215" s="45"/>
      <c r="DX215" s="45"/>
      <c r="DY215" s="45"/>
      <c r="DZ215" s="45"/>
      <c r="EA215" s="45"/>
      <c r="EB215" s="45"/>
      <c r="EC215" s="45"/>
      <c r="ED215" s="45"/>
      <c r="EE215" s="45"/>
      <c r="EF215" s="45"/>
      <c r="EG215" s="45"/>
      <c r="EH215" s="45"/>
      <c r="EI215" s="45"/>
      <c r="EJ215" s="45"/>
      <c r="EK215" s="45"/>
      <c r="EL215" s="45"/>
      <c r="EM215" s="45"/>
      <c r="EN215" s="45"/>
      <c r="EO215" s="45"/>
      <c r="EP215" s="45"/>
      <c r="EQ215" s="45"/>
    </row>
    <row r="216" spans="1:147" s="92" customFormat="1" ht="15" customHeight="1" x14ac:dyDescent="0.25">
      <c r="A216" s="89" t="s">
        <v>729</v>
      </c>
      <c r="B216" s="137"/>
      <c r="C216" s="89" t="s">
        <v>730</v>
      </c>
      <c r="D216" s="103"/>
      <c r="E216" s="103"/>
      <c r="F216" s="119"/>
      <c r="G216" s="119"/>
      <c r="H216" s="119"/>
      <c r="I216" s="102"/>
      <c r="J216" s="102"/>
      <c r="K216" s="3" t="s">
        <v>52</v>
      </c>
      <c r="L216" s="3" t="s">
        <v>53</v>
      </c>
      <c r="M216" s="3" t="s">
        <v>54</v>
      </c>
      <c r="N216" s="6" t="s">
        <v>55</v>
      </c>
      <c r="O216" s="6" t="s">
        <v>56</v>
      </c>
      <c r="P216" s="6" t="s">
        <v>57</v>
      </c>
      <c r="Q216" s="41" t="s">
        <v>58</v>
      </c>
      <c r="R216" s="41" t="s">
        <v>59</v>
      </c>
      <c r="S216" s="41" t="s">
        <v>352</v>
      </c>
      <c r="T216" s="6" t="s">
        <v>60</v>
      </c>
      <c r="U216" s="41" t="s">
        <v>224</v>
      </c>
      <c r="V216" s="6" t="s">
        <v>61</v>
      </c>
      <c r="W216" s="6" t="s">
        <v>62</v>
      </c>
      <c r="X216" s="6" t="s">
        <v>63</v>
      </c>
      <c r="Y216" s="6" t="s">
        <v>64</v>
      </c>
      <c r="Z216" s="6" t="s">
        <v>65</v>
      </c>
      <c r="AA216" s="41" t="s">
        <v>66</v>
      </c>
      <c r="AB216" s="6" t="s">
        <v>67</v>
      </c>
      <c r="AC216" s="6" t="s">
        <v>68</v>
      </c>
      <c r="AD216" s="6" t="s">
        <v>228</v>
      </c>
      <c r="AE216" s="7" t="s">
        <v>74</v>
      </c>
      <c r="AF216" s="7" t="s">
        <v>72</v>
      </c>
      <c r="AG216" s="7" t="s">
        <v>73</v>
      </c>
      <c r="AH216" s="8" t="s">
        <v>227</v>
      </c>
      <c r="AI216" s="8" t="s">
        <v>181</v>
      </c>
      <c r="AJ216" s="8" t="s">
        <v>180</v>
      </c>
      <c r="AK216" s="8" t="s">
        <v>75</v>
      </c>
      <c r="AL216" s="8" t="s">
        <v>76</v>
      </c>
      <c r="AM216" s="8" t="s">
        <v>77</v>
      </c>
      <c r="AN216" s="8" t="s">
        <v>78</v>
      </c>
      <c r="AO216" s="8" t="s">
        <v>79</v>
      </c>
      <c r="AP216" s="8" t="s">
        <v>80</v>
      </c>
      <c r="AQ216" s="8" t="s">
        <v>81</v>
      </c>
      <c r="AR216" s="8" t="s">
        <v>82</v>
      </c>
      <c r="AS216" s="8" t="s">
        <v>83</v>
      </c>
      <c r="AT216" s="9" t="s">
        <v>84</v>
      </c>
      <c r="AU216" s="9" t="s">
        <v>85</v>
      </c>
      <c r="AV216" s="9" t="s">
        <v>86</v>
      </c>
      <c r="AW216" s="9" t="s">
        <v>87</v>
      </c>
      <c r="AX216" s="9" t="s">
        <v>88</v>
      </c>
      <c r="AY216" s="9" t="s">
        <v>89</v>
      </c>
      <c r="AZ216" s="9" t="s">
        <v>90</v>
      </c>
      <c r="BA216" s="9" t="s">
        <v>91</v>
      </c>
      <c r="BB216" s="9" t="s">
        <v>92</v>
      </c>
      <c r="BC216" s="9" t="s">
        <v>93</v>
      </c>
      <c r="BD216" s="9" t="s">
        <v>94</v>
      </c>
      <c r="BE216" s="9" t="s">
        <v>95</v>
      </c>
      <c r="BF216" s="9" t="s">
        <v>96</v>
      </c>
      <c r="BG216" s="9" t="s">
        <v>97</v>
      </c>
      <c r="BH216" s="9" t="s">
        <v>98</v>
      </c>
      <c r="BI216" s="9" t="s">
        <v>99</v>
      </c>
      <c r="BJ216" s="9" t="s">
        <v>100</v>
      </c>
      <c r="BK216" s="9" t="s">
        <v>101</v>
      </c>
      <c r="BL216" s="9" t="s">
        <v>102</v>
      </c>
      <c r="BM216" s="9" t="s">
        <v>103</v>
      </c>
      <c r="BN216" s="9" t="s">
        <v>104</v>
      </c>
      <c r="BO216" s="9" t="s">
        <v>105</v>
      </c>
      <c r="BP216" s="9" t="s">
        <v>106</v>
      </c>
      <c r="BQ216" s="9" t="s">
        <v>107</v>
      </c>
      <c r="BR216" s="26" t="s">
        <v>108</v>
      </c>
      <c r="BS216" s="26" t="s">
        <v>109</v>
      </c>
      <c r="BT216" s="26" t="s">
        <v>110</v>
      </c>
      <c r="BU216" s="26" t="s">
        <v>111</v>
      </c>
      <c r="BV216" s="26" t="s">
        <v>112</v>
      </c>
      <c r="BW216" s="26" t="s">
        <v>113</v>
      </c>
      <c r="BX216" s="26" t="s">
        <v>114</v>
      </c>
      <c r="BY216" s="26" t="s">
        <v>115</v>
      </c>
      <c r="BZ216" s="26" t="s">
        <v>116</v>
      </c>
      <c r="CA216" s="26" t="s">
        <v>117</v>
      </c>
      <c r="CB216" s="26" t="s">
        <v>118</v>
      </c>
      <c r="CC216" s="26" t="s">
        <v>119</v>
      </c>
      <c r="CD216" s="26" t="s">
        <v>120</v>
      </c>
      <c r="CE216" s="26" t="s">
        <v>121</v>
      </c>
      <c r="CF216" s="26" t="s">
        <v>122</v>
      </c>
      <c r="CG216" s="26" t="s">
        <v>123</v>
      </c>
      <c r="CH216" s="26" t="s">
        <v>124</v>
      </c>
      <c r="CI216" s="26" t="s">
        <v>125</v>
      </c>
      <c r="CJ216" s="26" t="s">
        <v>126</v>
      </c>
      <c r="CK216" s="26" t="s">
        <v>127</v>
      </c>
      <c r="CL216" s="26" t="s">
        <v>128</v>
      </c>
      <c r="CM216" s="26" t="s">
        <v>129</v>
      </c>
      <c r="CN216" s="26" t="s">
        <v>130</v>
      </c>
      <c r="CO216" s="26" t="s">
        <v>131</v>
      </c>
      <c r="CP216" s="26" t="s">
        <v>132</v>
      </c>
      <c r="CQ216" s="26" t="s">
        <v>133</v>
      </c>
      <c r="CR216" s="26" t="s">
        <v>134</v>
      </c>
      <c r="CS216" s="26" t="s">
        <v>135</v>
      </c>
      <c r="CT216" s="26" t="s">
        <v>136</v>
      </c>
      <c r="CU216" s="26" t="s">
        <v>137</v>
      </c>
      <c r="CV216" s="26" t="s">
        <v>138</v>
      </c>
      <c r="CW216" s="26" t="s">
        <v>139</v>
      </c>
      <c r="CX216" s="26" t="s">
        <v>140</v>
      </c>
      <c r="CY216" s="26" t="s">
        <v>141</v>
      </c>
      <c r="CZ216" s="26" t="s">
        <v>142</v>
      </c>
      <c r="DA216" s="26" t="s">
        <v>143</v>
      </c>
      <c r="DB216" s="28" t="s">
        <v>144</v>
      </c>
      <c r="DC216" s="28" t="s">
        <v>145</v>
      </c>
      <c r="DD216" s="28" t="s">
        <v>146</v>
      </c>
      <c r="DE216" s="28" t="s">
        <v>147</v>
      </c>
      <c r="DF216" s="28" t="s">
        <v>148</v>
      </c>
      <c r="DG216" s="28" t="s">
        <v>149</v>
      </c>
      <c r="DH216" s="28" t="s">
        <v>150</v>
      </c>
      <c r="DI216" s="28" t="s">
        <v>151</v>
      </c>
      <c r="DJ216" s="28" t="s">
        <v>152</v>
      </c>
      <c r="DK216" s="28" t="s">
        <v>153</v>
      </c>
      <c r="DL216" s="28" t="s">
        <v>154</v>
      </c>
      <c r="DM216" s="28" t="s">
        <v>155</v>
      </c>
      <c r="DN216" s="28" t="s">
        <v>156</v>
      </c>
      <c r="DO216" s="28" t="s">
        <v>157</v>
      </c>
      <c r="DP216" s="28" t="s">
        <v>158</v>
      </c>
      <c r="DQ216" s="28" t="s">
        <v>159</v>
      </c>
      <c r="DR216" s="28" t="s">
        <v>160</v>
      </c>
      <c r="DS216" s="28" t="s">
        <v>161</v>
      </c>
      <c r="DT216" s="28" t="s">
        <v>162</v>
      </c>
      <c r="DU216" s="29" t="s">
        <v>163</v>
      </c>
      <c r="DV216" s="29" t="s">
        <v>164</v>
      </c>
      <c r="DW216" s="29" t="s">
        <v>165</v>
      </c>
      <c r="DX216" s="29" t="s">
        <v>166</v>
      </c>
      <c r="DY216" s="29" t="s">
        <v>167</v>
      </c>
      <c r="DZ216" s="29" t="s">
        <v>168</v>
      </c>
      <c r="EA216" s="29" t="s">
        <v>169</v>
      </c>
      <c r="EB216" s="29" t="s">
        <v>170</v>
      </c>
      <c r="EC216" s="29" t="s">
        <v>171</v>
      </c>
      <c r="ED216" s="29" t="s">
        <v>172</v>
      </c>
      <c r="EE216" s="29" t="s">
        <v>173</v>
      </c>
      <c r="EF216" s="29" t="s">
        <v>174</v>
      </c>
      <c r="EG216" s="29" t="s">
        <v>175</v>
      </c>
      <c r="EH216" s="29" t="s">
        <v>176</v>
      </c>
      <c r="EI216" s="29" t="s">
        <v>177</v>
      </c>
      <c r="EJ216" s="29" t="s">
        <v>178</v>
      </c>
      <c r="EK216" s="29" t="s">
        <v>179</v>
      </c>
      <c r="EL216" s="31" t="s">
        <v>41</v>
      </c>
      <c r="EM216" s="31" t="s">
        <v>42</v>
      </c>
      <c r="EN216" s="31" t="s">
        <v>43</v>
      </c>
      <c r="EO216" s="11" t="s">
        <v>69</v>
      </c>
      <c r="EP216" s="11" t="s">
        <v>70</v>
      </c>
      <c r="EQ216" s="11"/>
    </row>
    <row r="217" spans="1:147" s="92" customFormat="1" ht="15" customHeight="1" x14ac:dyDescent="0.3">
      <c r="A217" s="127"/>
      <c r="B217" s="127"/>
      <c r="C217" s="127"/>
      <c r="D217" s="128"/>
      <c r="E217" s="128"/>
      <c r="F217" s="129"/>
      <c r="G217" s="129"/>
      <c r="H217" s="129"/>
      <c r="I217" s="127"/>
      <c r="J217" s="127" t="s">
        <v>353</v>
      </c>
      <c r="K217" s="127">
        <f>AVERAGE(K4:K216)</f>
        <v>8487.188779875125</v>
      </c>
      <c r="L217" s="127">
        <f>AVERAGE(L4:L216)</f>
        <v>8503.9717832591759</v>
      </c>
      <c r="M217" s="127">
        <f>AVERAGE(M4:M216)</f>
        <v>246.16431846005588</v>
      </c>
      <c r="N217" s="127"/>
      <c r="O217" s="127"/>
      <c r="P217" s="127"/>
      <c r="Q217" s="127">
        <f>AVERAGE(Q4:Q216)</f>
        <v>2.4129386667045729</v>
      </c>
      <c r="R217" s="127">
        <f>AVERAGE(R4:R216)</f>
        <v>23773.799033747648</v>
      </c>
      <c r="S217" s="127">
        <f>AVERAGE(S4:S216)</f>
        <v>140653.58821862144</v>
      </c>
      <c r="T217" s="127"/>
      <c r="U217" s="127">
        <f>AVERAGE(U4:U216)</f>
        <v>69424.215651193648</v>
      </c>
      <c r="V217" s="127"/>
      <c r="W217" s="127"/>
      <c r="X217" s="127"/>
      <c r="Y217" s="127"/>
      <c r="Z217" s="127"/>
      <c r="AA217" s="127">
        <f>AVERAGE(AA4:AA216)</f>
        <v>57496.93209324059</v>
      </c>
      <c r="AB217" s="127"/>
      <c r="AC217" s="127"/>
      <c r="AD217" s="127">
        <f t="shared" ref="AD217:AZ217" si="3">AVERAGE(AD4:AD216)</f>
        <v>82551.092601334618</v>
      </c>
      <c r="AE217" s="127">
        <f t="shared" si="3"/>
        <v>98.270310640745635</v>
      </c>
      <c r="AF217" s="127">
        <f t="shared" si="3"/>
        <v>36254.108225509772</v>
      </c>
      <c r="AG217" s="127">
        <f t="shared" si="3"/>
        <v>19598.39980726776</v>
      </c>
      <c r="AH217" s="127">
        <f t="shared" si="3"/>
        <v>4.5538338852212421</v>
      </c>
      <c r="AI217" s="127" t="e">
        <f t="shared" si="3"/>
        <v>#DIV/0!</v>
      </c>
      <c r="AJ217" s="127">
        <f t="shared" si="3"/>
        <v>0.12486570857045858</v>
      </c>
      <c r="AK217" s="127">
        <f t="shared" si="3"/>
        <v>0.84905329938396701</v>
      </c>
      <c r="AL217" s="127">
        <f t="shared" si="3"/>
        <v>3.0886004487171861</v>
      </c>
      <c r="AM217" s="127">
        <f t="shared" si="3"/>
        <v>0.59541249519051165</v>
      </c>
      <c r="AN217" s="127">
        <f t="shared" si="3"/>
        <v>2.5290113117233211</v>
      </c>
      <c r="AO217" s="127">
        <f t="shared" si="3"/>
        <v>14.10205047864196</v>
      </c>
      <c r="AP217" s="127">
        <f t="shared" si="3"/>
        <v>2.147949468884971</v>
      </c>
      <c r="AQ217" s="127">
        <f t="shared" si="3"/>
        <v>0.18128107856699729</v>
      </c>
      <c r="AR217" s="127">
        <f t="shared" si="3"/>
        <v>0.74816897333900212</v>
      </c>
      <c r="AS217" s="127">
        <f t="shared" si="3"/>
        <v>9.791413157190977</v>
      </c>
      <c r="AT217" s="127">
        <f t="shared" si="3"/>
        <v>0.17282488274389199</v>
      </c>
      <c r="AU217" s="127">
        <f t="shared" si="3"/>
        <v>1.3598945291744122</v>
      </c>
      <c r="AV217" s="127">
        <f t="shared" si="3"/>
        <v>0.32619152162846105</v>
      </c>
      <c r="AW217" s="127">
        <f t="shared" si="3"/>
        <v>5.0150600611696218E-2</v>
      </c>
      <c r="AX217" s="127">
        <f t="shared" si="3"/>
        <v>0.58678096155770232</v>
      </c>
      <c r="AY217" s="127">
        <f t="shared" si="3"/>
        <v>3.6597507803404657E-2</v>
      </c>
      <c r="AZ217" s="127">
        <f t="shared" si="3"/>
        <v>3.1507812846495606</v>
      </c>
      <c r="BA217" s="127"/>
      <c r="BB217" s="127"/>
      <c r="BC217" s="127"/>
      <c r="BD217" s="127"/>
      <c r="BE217" s="127"/>
      <c r="BF217" s="127">
        <f>AVERAGE(BF4:BF216)</f>
        <v>1.8594744215267589</v>
      </c>
      <c r="BG217" s="127"/>
      <c r="BH217" s="127"/>
      <c r="BI217" s="127"/>
      <c r="BJ217" s="127"/>
      <c r="BK217" s="127"/>
      <c r="BL217" s="127"/>
      <c r="BM217" s="127"/>
      <c r="BN217" s="127"/>
      <c r="BO217" s="127"/>
      <c r="BP217" s="127">
        <f>AVERAGE(BP4:BP216)</f>
        <v>8.5803330265692021E-2</v>
      </c>
      <c r="BQ217" s="127">
        <f>AVERAGE(BQ4:BQ216)</f>
        <v>0.51960278173971119</v>
      </c>
      <c r="BR217" s="127">
        <f>AVERAGE(BR4:BR216)</f>
        <v>51675.85224977661</v>
      </c>
      <c r="BS217" s="127"/>
      <c r="BT217" s="127">
        <f>AVERAGE(BT4:BT216)</f>
        <v>94.600141782164229</v>
      </c>
      <c r="BU217" s="127">
        <f>AVERAGE(BT4:BT216)</f>
        <v>94.600141782164229</v>
      </c>
      <c r="BV217" s="127">
        <f>AVERAGE(BV4:BV215)</f>
        <v>22884.230355263655</v>
      </c>
      <c r="BW217" s="127">
        <f t="shared" ref="BW217:CJ217" si="4">AVERAGE(BW4:BW216)</f>
        <v>164.03952271088153</v>
      </c>
      <c r="BX217" s="127">
        <f t="shared" si="4"/>
        <v>1794.9870259784673</v>
      </c>
      <c r="BY217" s="127">
        <f t="shared" si="4"/>
        <v>59983.330134412579</v>
      </c>
      <c r="BZ217" s="127">
        <f t="shared" si="4"/>
        <v>146548.25461118852</v>
      </c>
      <c r="CA217" s="127">
        <f t="shared" si="4"/>
        <v>291.68467873165679</v>
      </c>
      <c r="CB217" s="127">
        <f t="shared" si="4"/>
        <v>4606.6361465782611</v>
      </c>
      <c r="CC217" s="127">
        <f t="shared" si="4"/>
        <v>329191.21399540134</v>
      </c>
      <c r="CD217" s="127">
        <f t="shared" si="4"/>
        <v>47732.022161566623</v>
      </c>
      <c r="CE217" s="127">
        <f t="shared" si="4"/>
        <v>92861.003587054554</v>
      </c>
      <c r="CF217" s="127">
        <f t="shared" si="4"/>
        <v>6735.4498432924584</v>
      </c>
      <c r="CG217" s="127">
        <f t="shared" si="4"/>
        <v>1444.475858252132</v>
      </c>
      <c r="CH217" s="127">
        <f t="shared" si="4"/>
        <v>83.241990639454713</v>
      </c>
      <c r="CI217" s="127">
        <f t="shared" si="4"/>
        <v>164.56545287749876</v>
      </c>
      <c r="CJ217" s="127">
        <f t="shared" si="4"/>
        <v>64052.772093214204</v>
      </c>
      <c r="CK217" s="127"/>
      <c r="CL217" s="127"/>
      <c r="CM217" s="127"/>
      <c r="CN217" s="127"/>
      <c r="CO217" s="127"/>
      <c r="CP217" s="127">
        <f>AVERAGE(CP4:CP216)</f>
        <v>158828.34169872876</v>
      </c>
      <c r="CQ217" s="127"/>
      <c r="CR217" s="127"/>
      <c r="CS217" s="127"/>
      <c r="CT217" s="127"/>
      <c r="CU217" s="127"/>
      <c r="CV217" s="127"/>
      <c r="CW217" s="127"/>
      <c r="CX217" s="127"/>
      <c r="CY217" s="127"/>
      <c r="CZ217" s="127">
        <f>AVERAGE(CZ4:CZ216)</f>
        <v>13.738786257430844</v>
      </c>
      <c r="DA217" s="127">
        <f>AVERAGE(DA4:DA216)</f>
        <v>13.167863082451207</v>
      </c>
      <c r="DB217" s="127">
        <f>AVERAGE(DB4:DB216)</f>
        <v>665535290.03868127</v>
      </c>
      <c r="DC217" s="127"/>
      <c r="DD217" s="127">
        <f>AVERAGE(DD4:DD216)</f>
        <v>24091373.372051254</v>
      </c>
      <c r="DE217" s="127">
        <f>AVERAGE(DE4:DE215)</f>
        <v>648947803.44839406</v>
      </c>
      <c r="DF217" s="127">
        <f t="shared" ref="DF217:DQ217" si="5">AVERAGE(DF4:DF216)</f>
        <v>307142933.04251164</v>
      </c>
      <c r="DG217" s="127">
        <f t="shared" si="5"/>
        <v>50050251.079714388</v>
      </c>
      <c r="DH217" s="127">
        <f t="shared" si="5"/>
        <v>575855172.65900385</v>
      </c>
      <c r="DI217" s="127">
        <f t="shared" si="5"/>
        <v>1497921247.9919252</v>
      </c>
      <c r="DJ217" s="127">
        <f t="shared" si="5"/>
        <v>166966247.86515552</v>
      </c>
      <c r="DK217" s="127">
        <f t="shared" si="5"/>
        <v>80817910.49150449</v>
      </c>
      <c r="DL217" s="127">
        <f t="shared" si="5"/>
        <v>223589833.17513636</v>
      </c>
      <c r="DM217" s="127">
        <f t="shared" si="5"/>
        <v>397325316.92119366</v>
      </c>
      <c r="DN217" s="127">
        <f t="shared" si="5"/>
        <v>53569027.059563406</v>
      </c>
      <c r="DO217" s="127">
        <f t="shared" si="5"/>
        <v>184764602.00894859</v>
      </c>
      <c r="DP217" s="127">
        <f t="shared" si="5"/>
        <v>98519876.210482121</v>
      </c>
      <c r="DQ217" s="127">
        <f t="shared" si="5"/>
        <v>98363686.086104229</v>
      </c>
      <c r="DR217" s="127">
        <f>AVERAGE(DR4:DR215)</f>
        <v>163973246.43812245</v>
      </c>
      <c r="DS217" s="127">
        <f>AVERAGE(DS4:DS216)</f>
        <v>22443129.24372324</v>
      </c>
      <c r="DT217" s="127">
        <f>AVERAGE(DT4:DT216)</f>
        <v>533853115.34536314</v>
      </c>
      <c r="DU217" s="127"/>
      <c r="DV217" s="127"/>
      <c r="DW217" s="127"/>
      <c r="DX217" s="127"/>
      <c r="DY217" s="127"/>
      <c r="DZ217" s="127">
        <f>AVERAGE(DZ4:DZ216)</f>
        <v>151814841.78044572</v>
      </c>
      <c r="EA217" s="127"/>
      <c r="EB217" s="127"/>
      <c r="EC217" s="127"/>
      <c r="ED217" s="127"/>
      <c r="EE217" s="127"/>
      <c r="EF217" s="127"/>
      <c r="EG217" s="127"/>
      <c r="EH217" s="127"/>
      <c r="EI217" s="127"/>
      <c r="EJ217" s="127">
        <f>AVERAGE(EJ4:EJ216)</f>
        <v>66140941.299829841</v>
      </c>
      <c r="EK217" s="127">
        <f>AVERAGE(EK4:EK216)</f>
        <v>27201503.141127799</v>
      </c>
      <c r="EL217" s="127">
        <f>AVERAGE(EL4:EL216)</f>
        <v>6.4971681077053445</v>
      </c>
      <c r="EM217" s="127">
        <f>AVERAGE(EM4:EM216)</f>
        <v>12.755143290720238</v>
      </c>
      <c r="EN217" s="127">
        <f>AVERAGE(EN4:EN216)</f>
        <v>6.2414093956180006</v>
      </c>
      <c r="EO217" s="127"/>
      <c r="EP217" s="127"/>
    </row>
    <row r="218" spans="1:147" s="92" customFormat="1" ht="15" customHeight="1" x14ac:dyDescent="0.25">
      <c r="B218" s="141"/>
      <c r="D218" s="105"/>
      <c r="E218" s="105"/>
      <c r="F218" s="121"/>
      <c r="G218" s="121"/>
      <c r="H218" s="121"/>
    </row>
    <row r="219" spans="1:147" s="92" customFormat="1" ht="15" customHeight="1" x14ac:dyDescent="0.25">
      <c r="B219" s="141"/>
      <c r="D219" s="105"/>
      <c r="E219" s="105"/>
      <c r="F219" s="121"/>
      <c r="G219" s="121"/>
      <c r="H219" s="121"/>
    </row>
    <row r="220" spans="1:147" s="92" customFormat="1" ht="15" customHeight="1" x14ac:dyDescent="0.25">
      <c r="B220" s="141"/>
      <c r="D220" s="105"/>
      <c r="E220" s="105"/>
      <c r="F220" s="121"/>
      <c r="G220" s="121"/>
      <c r="H220" s="121"/>
    </row>
    <row r="221" spans="1:147" s="92" customFormat="1" ht="15" customHeight="1" x14ac:dyDescent="0.25">
      <c r="B221" s="141"/>
      <c r="D221" s="105"/>
      <c r="E221" s="105"/>
      <c r="F221" s="121"/>
      <c r="G221" s="121"/>
      <c r="H221" s="121"/>
    </row>
    <row r="222" spans="1:147" s="92" customFormat="1" ht="15" customHeight="1" x14ac:dyDescent="0.25">
      <c r="B222" s="141"/>
      <c r="D222" s="105"/>
      <c r="E222" s="105"/>
      <c r="F222" s="121"/>
      <c r="G222" s="121"/>
      <c r="H222" s="121"/>
    </row>
    <row r="223" spans="1:147" s="92" customFormat="1" ht="15" customHeight="1" x14ac:dyDescent="0.25">
      <c r="B223" s="141"/>
      <c r="D223" s="105"/>
      <c r="E223" s="105"/>
      <c r="F223" s="121"/>
      <c r="G223" s="121"/>
      <c r="H223" s="121"/>
    </row>
    <row r="224" spans="1:147" s="92" customFormat="1" ht="15" customHeight="1" x14ac:dyDescent="0.25">
      <c r="B224" s="141"/>
      <c r="D224" s="105"/>
      <c r="E224" s="105"/>
      <c r="F224" s="121"/>
      <c r="G224" s="121"/>
      <c r="H224" s="121"/>
    </row>
    <row r="225" spans="2:8" s="92" customFormat="1" ht="15" customHeight="1" x14ac:dyDescent="0.25">
      <c r="B225" s="141"/>
      <c r="D225" s="105"/>
      <c r="E225" s="105"/>
      <c r="F225" s="121"/>
      <c r="G225" s="121"/>
      <c r="H225" s="121"/>
    </row>
    <row r="226" spans="2:8" s="92" customFormat="1" ht="15" customHeight="1" x14ac:dyDescent="0.25">
      <c r="B226" s="141"/>
      <c r="D226" s="105"/>
      <c r="E226" s="105"/>
      <c r="F226" s="121"/>
      <c r="G226" s="121"/>
      <c r="H226" s="121"/>
    </row>
    <row r="227" spans="2:8" s="92" customFormat="1" ht="15" customHeight="1" x14ac:dyDescent="0.25">
      <c r="B227" s="141"/>
      <c r="D227" s="105"/>
      <c r="E227" s="105"/>
      <c r="F227" s="121"/>
      <c r="G227" s="121"/>
      <c r="H227" s="121"/>
    </row>
    <row r="228" spans="2:8" s="92" customFormat="1" ht="15" customHeight="1" x14ac:dyDescent="0.25">
      <c r="B228" s="141"/>
      <c r="D228" s="105"/>
      <c r="E228" s="105"/>
      <c r="F228" s="121"/>
      <c r="G228" s="121"/>
      <c r="H228" s="121"/>
    </row>
    <row r="229" spans="2:8" s="92" customFormat="1" ht="15" customHeight="1" x14ac:dyDescent="0.25">
      <c r="B229" s="141"/>
      <c r="D229" s="105"/>
      <c r="E229" s="105"/>
      <c r="F229" s="121"/>
      <c r="G229" s="121"/>
      <c r="H229" s="121"/>
    </row>
    <row r="230" spans="2:8" s="92" customFormat="1" ht="15" customHeight="1" x14ac:dyDescent="0.25">
      <c r="B230" s="141"/>
      <c r="D230" s="105"/>
      <c r="E230" s="105"/>
      <c r="F230" s="121"/>
      <c r="G230" s="121"/>
      <c r="H230" s="121"/>
    </row>
    <row r="231" spans="2:8" s="92" customFormat="1" ht="15" customHeight="1" x14ac:dyDescent="0.25">
      <c r="B231" s="141"/>
      <c r="D231" s="105"/>
      <c r="E231" s="105"/>
      <c r="F231" s="121"/>
      <c r="G231" s="121"/>
      <c r="H231" s="121"/>
    </row>
    <row r="232" spans="2:8" s="92" customFormat="1" ht="15" customHeight="1" x14ac:dyDescent="0.25">
      <c r="B232" s="141"/>
      <c r="D232" s="105"/>
      <c r="E232" s="105"/>
      <c r="F232" s="121"/>
      <c r="G232" s="121"/>
      <c r="H232" s="121"/>
    </row>
    <row r="233" spans="2:8" s="92" customFormat="1" ht="15" customHeight="1" x14ac:dyDescent="0.25">
      <c r="B233" s="141"/>
      <c r="D233" s="105"/>
      <c r="E233" s="105"/>
      <c r="F233" s="121"/>
      <c r="G233" s="121"/>
      <c r="H233" s="121"/>
    </row>
    <row r="234" spans="2:8" s="92" customFormat="1" ht="15" customHeight="1" x14ac:dyDescent="0.25">
      <c r="B234" s="141"/>
      <c r="D234" s="105"/>
      <c r="E234" s="105"/>
      <c r="F234" s="121"/>
      <c r="G234" s="121"/>
      <c r="H234" s="121"/>
    </row>
    <row r="235" spans="2:8" s="92" customFormat="1" ht="15" customHeight="1" x14ac:dyDescent="0.25">
      <c r="B235" s="141"/>
      <c r="D235" s="105"/>
      <c r="E235" s="105"/>
      <c r="F235" s="121"/>
      <c r="G235" s="121"/>
      <c r="H235" s="121"/>
    </row>
    <row r="236" spans="2:8" s="92" customFormat="1" ht="15" customHeight="1" x14ac:dyDescent="0.25">
      <c r="B236" s="141"/>
      <c r="D236" s="105"/>
      <c r="E236" s="105"/>
      <c r="F236" s="121"/>
      <c r="G236" s="121"/>
      <c r="H236" s="121"/>
    </row>
    <row r="237" spans="2:8" s="92" customFormat="1" ht="15" customHeight="1" x14ac:dyDescent="0.25">
      <c r="B237" s="141"/>
      <c r="D237" s="105"/>
      <c r="E237" s="105"/>
      <c r="F237" s="121"/>
      <c r="G237" s="121"/>
      <c r="H237" s="121"/>
    </row>
    <row r="238" spans="2:8" s="92" customFormat="1" ht="15" customHeight="1" x14ac:dyDescent="0.25">
      <c r="B238" s="141"/>
      <c r="D238" s="105"/>
      <c r="E238" s="105"/>
      <c r="F238" s="121"/>
      <c r="G238" s="121"/>
      <c r="H238" s="121"/>
    </row>
    <row r="239" spans="2:8" s="92" customFormat="1" ht="15" customHeight="1" x14ac:dyDescent="0.25">
      <c r="B239" s="141"/>
      <c r="D239" s="105"/>
      <c r="E239" s="105"/>
      <c r="F239" s="121"/>
      <c r="G239" s="121"/>
      <c r="H239" s="121"/>
    </row>
    <row r="240" spans="2:8" s="92" customFormat="1" ht="15" customHeight="1" x14ac:dyDescent="0.25">
      <c r="B240" s="141"/>
      <c r="D240" s="105"/>
      <c r="E240" s="105"/>
      <c r="F240" s="121"/>
      <c r="G240" s="121"/>
      <c r="H240" s="121"/>
    </row>
    <row r="241" spans="2:8" s="92" customFormat="1" ht="15" customHeight="1" x14ac:dyDescent="0.25">
      <c r="B241" s="141"/>
      <c r="D241" s="105"/>
      <c r="E241" s="105"/>
      <c r="F241" s="121"/>
      <c r="G241" s="121"/>
      <c r="H241" s="121"/>
    </row>
    <row r="242" spans="2:8" s="92" customFormat="1" ht="15" customHeight="1" x14ac:dyDescent="0.25">
      <c r="B242" s="141"/>
      <c r="D242" s="105"/>
      <c r="E242" s="105"/>
      <c r="F242" s="121"/>
      <c r="G242" s="121"/>
      <c r="H242" s="121"/>
    </row>
    <row r="243" spans="2:8" s="92" customFormat="1" ht="15" customHeight="1" x14ac:dyDescent="0.25">
      <c r="B243" s="141"/>
      <c r="D243" s="105"/>
      <c r="E243" s="105"/>
      <c r="F243" s="121"/>
      <c r="G243" s="121"/>
      <c r="H243" s="121"/>
    </row>
    <row r="244" spans="2:8" s="92" customFormat="1" ht="15" customHeight="1" x14ac:dyDescent="0.25">
      <c r="B244" s="141"/>
      <c r="D244" s="105"/>
      <c r="E244" s="105"/>
      <c r="F244" s="121"/>
      <c r="G244" s="121"/>
      <c r="H244" s="121"/>
    </row>
    <row r="245" spans="2:8" s="92" customFormat="1" ht="15" customHeight="1" x14ac:dyDescent="0.25">
      <c r="B245" s="141"/>
      <c r="D245" s="105"/>
      <c r="E245" s="105"/>
      <c r="F245" s="121"/>
      <c r="G245" s="121"/>
      <c r="H245" s="121"/>
    </row>
    <row r="246" spans="2:8" s="92" customFormat="1" ht="15" customHeight="1" x14ac:dyDescent="0.25">
      <c r="B246" s="141"/>
      <c r="D246" s="105"/>
      <c r="E246" s="105"/>
      <c r="F246" s="121"/>
      <c r="G246" s="121"/>
      <c r="H246" s="121"/>
    </row>
    <row r="247" spans="2:8" s="92" customFormat="1" ht="15" customHeight="1" x14ac:dyDescent="0.25">
      <c r="B247" s="141"/>
      <c r="D247" s="105"/>
      <c r="E247" s="105"/>
      <c r="F247" s="121"/>
      <c r="G247" s="121"/>
      <c r="H247" s="121"/>
    </row>
    <row r="248" spans="2:8" s="92" customFormat="1" ht="15" customHeight="1" x14ac:dyDescent="0.25">
      <c r="B248" s="141"/>
      <c r="D248" s="105"/>
      <c r="E248" s="105"/>
      <c r="F248" s="121"/>
      <c r="G248" s="121"/>
      <c r="H248" s="121"/>
    </row>
    <row r="249" spans="2:8" s="92" customFormat="1" ht="15" customHeight="1" x14ac:dyDescent="0.25">
      <c r="B249" s="141"/>
      <c r="D249" s="105"/>
      <c r="E249" s="105"/>
      <c r="F249" s="121"/>
      <c r="G249" s="121"/>
      <c r="H249" s="121"/>
    </row>
    <row r="250" spans="2:8" s="92" customFormat="1" ht="15" customHeight="1" x14ac:dyDescent="0.25">
      <c r="B250" s="141"/>
      <c r="D250" s="105"/>
      <c r="E250" s="105"/>
      <c r="F250" s="121"/>
      <c r="G250" s="121"/>
      <c r="H250" s="121"/>
    </row>
    <row r="251" spans="2:8" s="92" customFormat="1" ht="15" customHeight="1" x14ac:dyDescent="0.25">
      <c r="B251" s="141"/>
      <c r="D251" s="105"/>
      <c r="E251" s="105"/>
      <c r="F251" s="121"/>
      <c r="G251" s="121"/>
      <c r="H251" s="121"/>
    </row>
    <row r="252" spans="2:8" s="92" customFormat="1" ht="15" customHeight="1" x14ac:dyDescent="0.25">
      <c r="B252" s="141"/>
      <c r="D252" s="105"/>
      <c r="E252" s="105"/>
      <c r="F252" s="121"/>
      <c r="G252" s="121"/>
      <c r="H252" s="121"/>
    </row>
    <row r="253" spans="2:8" s="92" customFormat="1" ht="15" customHeight="1" x14ac:dyDescent="0.25">
      <c r="B253" s="141"/>
      <c r="D253" s="105"/>
      <c r="E253" s="105"/>
      <c r="F253" s="121"/>
      <c r="G253" s="121"/>
      <c r="H253" s="121"/>
    </row>
    <row r="254" spans="2:8" s="92" customFormat="1" ht="15" customHeight="1" x14ac:dyDescent="0.25">
      <c r="B254" s="141"/>
      <c r="D254" s="105"/>
      <c r="E254" s="105"/>
      <c r="F254" s="121"/>
      <c r="G254" s="121"/>
      <c r="H254" s="121"/>
    </row>
    <row r="255" spans="2:8" s="92" customFormat="1" ht="15" customHeight="1" x14ac:dyDescent="0.25">
      <c r="B255" s="141"/>
      <c r="D255" s="105"/>
      <c r="E255" s="105"/>
      <c r="F255" s="121"/>
      <c r="G255" s="121"/>
      <c r="H255" s="121"/>
    </row>
    <row r="256" spans="2:8" s="92" customFormat="1" ht="15" customHeight="1" x14ac:dyDescent="0.25">
      <c r="B256" s="141"/>
      <c r="D256" s="105"/>
      <c r="E256" s="105"/>
      <c r="F256" s="121"/>
      <c r="G256" s="121"/>
      <c r="H256" s="121"/>
    </row>
    <row r="257" spans="2:8" s="92" customFormat="1" ht="15" customHeight="1" x14ac:dyDescent="0.25">
      <c r="B257" s="141"/>
      <c r="D257" s="105"/>
      <c r="E257" s="105"/>
      <c r="F257" s="121"/>
      <c r="G257" s="121"/>
      <c r="H257" s="121"/>
    </row>
    <row r="258" spans="2:8" s="92" customFormat="1" ht="15" customHeight="1" x14ac:dyDescent="0.25">
      <c r="B258" s="141"/>
      <c r="D258" s="105"/>
      <c r="E258" s="105"/>
      <c r="F258" s="121"/>
      <c r="G258" s="121"/>
      <c r="H258" s="121"/>
    </row>
    <row r="259" spans="2:8" s="92" customFormat="1" ht="15" customHeight="1" x14ac:dyDescent="0.25">
      <c r="B259" s="141"/>
      <c r="D259" s="105"/>
      <c r="E259" s="105"/>
      <c r="F259" s="121"/>
      <c r="G259" s="121"/>
      <c r="H259" s="121"/>
    </row>
    <row r="260" spans="2:8" s="92" customFormat="1" ht="15" customHeight="1" x14ac:dyDescent="0.25">
      <c r="B260" s="141"/>
      <c r="D260" s="105"/>
      <c r="E260" s="105"/>
      <c r="F260" s="121"/>
      <c r="G260" s="121"/>
      <c r="H260" s="121"/>
    </row>
    <row r="261" spans="2:8" s="92" customFormat="1" ht="15" customHeight="1" x14ac:dyDescent="0.25">
      <c r="B261" s="141"/>
      <c r="D261" s="105"/>
      <c r="E261" s="105"/>
      <c r="F261" s="121"/>
      <c r="G261" s="121"/>
      <c r="H261" s="121"/>
    </row>
    <row r="262" spans="2:8" s="92" customFormat="1" ht="15" customHeight="1" x14ac:dyDescent="0.25">
      <c r="B262" s="141"/>
      <c r="D262" s="105"/>
      <c r="E262" s="105"/>
      <c r="F262" s="121"/>
      <c r="G262" s="121"/>
      <c r="H262" s="121"/>
    </row>
    <row r="263" spans="2:8" s="92" customFormat="1" ht="15" customHeight="1" x14ac:dyDescent="0.25">
      <c r="B263" s="141"/>
      <c r="D263" s="105"/>
      <c r="E263" s="105"/>
      <c r="F263" s="121"/>
      <c r="G263" s="121"/>
      <c r="H263" s="121"/>
    </row>
    <row r="264" spans="2:8" s="92" customFormat="1" ht="15" customHeight="1" x14ac:dyDescent="0.25">
      <c r="B264" s="141"/>
      <c r="D264" s="105"/>
      <c r="E264" s="105"/>
      <c r="F264" s="121"/>
      <c r="G264" s="121"/>
      <c r="H264" s="121"/>
    </row>
    <row r="265" spans="2:8" s="92" customFormat="1" ht="15" customHeight="1" x14ac:dyDescent="0.25">
      <c r="B265" s="141"/>
      <c r="D265" s="105"/>
      <c r="E265" s="105"/>
      <c r="F265" s="121"/>
      <c r="G265" s="121"/>
      <c r="H265" s="121"/>
    </row>
    <row r="266" spans="2:8" s="92" customFormat="1" ht="15" customHeight="1" x14ac:dyDescent="0.25">
      <c r="B266" s="141"/>
      <c r="D266" s="105"/>
      <c r="E266" s="105"/>
      <c r="F266" s="121"/>
      <c r="G266" s="121"/>
      <c r="H266" s="121"/>
    </row>
    <row r="267" spans="2:8" s="92" customFormat="1" ht="15" customHeight="1" x14ac:dyDescent="0.25">
      <c r="B267" s="141"/>
      <c r="D267" s="105"/>
      <c r="E267" s="105"/>
      <c r="F267" s="121"/>
      <c r="G267" s="121"/>
      <c r="H267" s="121"/>
    </row>
    <row r="268" spans="2:8" s="92" customFormat="1" ht="15" customHeight="1" x14ac:dyDescent="0.25">
      <c r="B268" s="141"/>
      <c r="D268" s="105"/>
      <c r="E268" s="105"/>
      <c r="F268" s="121"/>
      <c r="G268" s="121"/>
      <c r="H268" s="121"/>
    </row>
    <row r="269" spans="2:8" s="92" customFormat="1" ht="15" customHeight="1" x14ac:dyDescent="0.25">
      <c r="B269" s="141"/>
      <c r="D269" s="105"/>
      <c r="E269" s="105"/>
      <c r="F269" s="121"/>
      <c r="G269" s="121"/>
      <c r="H269" s="121"/>
    </row>
    <row r="270" spans="2:8" s="92" customFormat="1" ht="15" customHeight="1" x14ac:dyDescent="0.25">
      <c r="B270" s="141"/>
      <c r="D270" s="105"/>
      <c r="E270" s="105"/>
      <c r="F270" s="121"/>
      <c r="G270" s="121"/>
      <c r="H270" s="121"/>
    </row>
    <row r="271" spans="2:8" s="92" customFormat="1" ht="15" customHeight="1" x14ac:dyDescent="0.25">
      <c r="B271" s="141"/>
      <c r="D271" s="105"/>
      <c r="E271" s="105"/>
      <c r="F271" s="121"/>
      <c r="G271" s="121"/>
      <c r="H271" s="121"/>
    </row>
    <row r="272" spans="2:8" s="92" customFormat="1" ht="15" customHeight="1" x14ac:dyDescent="0.25">
      <c r="B272" s="141"/>
      <c r="D272" s="105"/>
      <c r="E272" s="105"/>
      <c r="F272" s="121"/>
      <c r="G272" s="121"/>
      <c r="H272" s="121"/>
    </row>
    <row r="273" spans="2:8" s="92" customFormat="1" ht="15" customHeight="1" x14ac:dyDescent="0.25">
      <c r="B273" s="141"/>
      <c r="D273" s="105"/>
      <c r="E273" s="105"/>
      <c r="F273" s="121"/>
      <c r="G273" s="121"/>
      <c r="H273" s="121"/>
    </row>
    <row r="274" spans="2:8" s="92" customFormat="1" ht="15" customHeight="1" x14ac:dyDescent="0.25">
      <c r="B274" s="141"/>
      <c r="D274" s="105"/>
      <c r="E274" s="105"/>
      <c r="F274" s="121"/>
      <c r="G274" s="121"/>
      <c r="H274" s="121"/>
    </row>
    <row r="275" spans="2:8" s="92" customFormat="1" ht="15" customHeight="1" x14ac:dyDescent="0.25">
      <c r="B275" s="141"/>
      <c r="D275" s="105"/>
      <c r="E275" s="105"/>
      <c r="F275" s="121"/>
      <c r="G275" s="121"/>
      <c r="H275" s="121"/>
    </row>
    <row r="276" spans="2:8" s="92" customFormat="1" ht="15" customHeight="1" x14ac:dyDescent="0.25">
      <c r="B276" s="141"/>
      <c r="D276" s="105"/>
      <c r="E276" s="105"/>
      <c r="F276" s="121"/>
      <c r="G276" s="121"/>
      <c r="H276" s="121"/>
    </row>
    <row r="277" spans="2:8" s="92" customFormat="1" ht="15" customHeight="1" x14ac:dyDescent="0.25">
      <c r="B277" s="141"/>
      <c r="D277" s="105"/>
      <c r="E277" s="105"/>
      <c r="F277" s="121"/>
      <c r="G277" s="121"/>
      <c r="H277" s="121"/>
    </row>
    <row r="278" spans="2:8" s="92" customFormat="1" ht="15" customHeight="1" x14ac:dyDescent="0.25">
      <c r="B278" s="141"/>
      <c r="D278" s="105"/>
      <c r="E278" s="105"/>
      <c r="F278" s="121"/>
      <c r="G278" s="121"/>
      <c r="H278" s="121"/>
    </row>
    <row r="279" spans="2:8" s="92" customFormat="1" ht="15" customHeight="1" x14ac:dyDescent="0.25">
      <c r="B279" s="141"/>
      <c r="D279" s="105"/>
      <c r="E279" s="105"/>
      <c r="F279" s="121"/>
      <c r="G279" s="121"/>
      <c r="H279" s="121"/>
    </row>
    <row r="280" spans="2:8" s="92" customFormat="1" ht="15" customHeight="1" x14ac:dyDescent="0.25">
      <c r="B280" s="141"/>
      <c r="D280" s="105"/>
      <c r="E280" s="105"/>
      <c r="F280" s="121"/>
      <c r="G280" s="121"/>
      <c r="H280" s="121"/>
    </row>
    <row r="281" spans="2:8" s="92" customFormat="1" ht="15" customHeight="1" x14ac:dyDescent="0.25">
      <c r="B281" s="141"/>
      <c r="D281" s="105"/>
      <c r="E281" s="105"/>
      <c r="F281" s="121"/>
      <c r="G281" s="121"/>
      <c r="H281" s="121"/>
    </row>
    <row r="282" spans="2:8" s="92" customFormat="1" ht="15" customHeight="1" x14ac:dyDescent="0.25">
      <c r="B282" s="141"/>
      <c r="D282" s="105"/>
      <c r="E282" s="105"/>
      <c r="F282" s="121"/>
      <c r="G282" s="121"/>
      <c r="H282" s="121"/>
    </row>
    <row r="283" spans="2:8" s="92" customFormat="1" ht="15" customHeight="1" x14ac:dyDescent="0.25">
      <c r="B283" s="141"/>
      <c r="D283" s="105"/>
      <c r="E283" s="105"/>
      <c r="F283" s="121"/>
      <c r="G283" s="121"/>
      <c r="H283" s="121"/>
    </row>
    <row r="284" spans="2:8" s="92" customFormat="1" ht="15" customHeight="1" x14ac:dyDescent="0.25">
      <c r="B284" s="141"/>
      <c r="D284" s="105"/>
      <c r="E284" s="105"/>
      <c r="F284" s="121"/>
      <c r="G284" s="121"/>
      <c r="H284" s="121"/>
    </row>
    <row r="285" spans="2:8" s="92" customFormat="1" ht="15" customHeight="1" x14ac:dyDescent="0.25">
      <c r="B285" s="141"/>
      <c r="D285" s="105"/>
      <c r="E285" s="105"/>
      <c r="F285" s="121"/>
      <c r="G285" s="121"/>
      <c r="H285" s="121"/>
    </row>
    <row r="286" spans="2:8" s="92" customFormat="1" ht="15" customHeight="1" x14ac:dyDescent="0.25">
      <c r="B286" s="141"/>
      <c r="D286" s="105"/>
      <c r="E286" s="105"/>
      <c r="F286" s="121"/>
      <c r="G286" s="121"/>
      <c r="H286" s="121"/>
    </row>
    <row r="287" spans="2:8" s="92" customFormat="1" ht="15" customHeight="1" x14ac:dyDescent="0.25">
      <c r="B287" s="141"/>
      <c r="D287" s="105"/>
      <c r="E287" s="105"/>
      <c r="F287" s="121"/>
      <c r="G287" s="121"/>
      <c r="H287" s="121"/>
    </row>
    <row r="288" spans="2:8" s="92" customFormat="1" ht="15" customHeight="1" x14ac:dyDescent="0.25">
      <c r="B288" s="141"/>
      <c r="D288" s="105"/>
      <c r="E288" s="105"/>
      <c r="F288" s="121"/>
      <c r="G288" s="121"/>
      <c r="H288" s="121"/>
    </row>
    <row r="289" spans="2:8" s="92" customFormat="1" ht="15" customHeight="1" x14ac:dyDescent="0.25">
      <c r="B289" s="141"/>
      <c r="D289" s="105"/>
      <c r="E289" s="105"/>
      <c r="F289" s="121"/>
      <c r="G289" s="121"/>
      <c r="H289" s="121"/>
    </row>
    <row r="290" spans="2:8" s="92" customFormat="1" ht="15" customHeight="1" x14ac:dyDescent="0.25">
      <c r="B290" s="141"/>
      <c r="D290" s="105"/>
      <c r="E290" s="105"/>
      <c r="F290" s="121"/>
      <c r="G290" s="121"/>
      <c r="H290" s="121"/>
    </row>
    <row r="291" spans="2:8" s="92" customFormat="1" ht="15" customHeight="1" x14ac:dyDescent="0.25">
      <c r="B291" s="141"/>
      <c r="D291" s="105"/>
      <c r="E291" s="105"/>
      <c r="F291" s="121"/>
      <c r="G291" s="121"/>
      <c r="H291" s="121"/>
    </row>
    <row r="292" spans="2:8" s="92" customFormat="1" ht="15" customHeight="1" x14ac:dyDescent="0.25">
      <c r="B292" s="141"/>
      <c r="D292" s="105"/>
      <c r="E292" s="105"/>
      <c r="F292" s="121"/>
      <c r="G292" s="121"/>
      <c r="H292" s="121"/>
    </row>
    <row r="293" spans="2:8" s="92" customFormat="1" ht="15" customHeight="1" x14ac:dyDescent="0.25">
      <c r="B293" s="141"/>
      <c r="D293" s="105"/>
      <c r="E293" s="105"/>
      <c r="F293" s="121"/>
      <c r="G293" s="121"/>
      <c r="H293" s="121"/>
    </row>
    <row r="294" spans="2:8" s="92" customFormat="1" ht="15" customHeight="1" x14ac:dyDescent="0.25">
      <c r="B294" s="141"/>
      <c r="D294" s="105"/>
      <c r="E294" s="105"/>
      <c r="F294" s="121"/>
      <c r="G294" s="121"/>
      <c r="H294" s="121"/>
    </row>
    <row r="295" spans="2:8" s="92" customFormat="1" ht="15" customHeight="1" x14ac:dyDescent="0.25">
      <c r="B295" s="141"/>
      <c r="D295" s="105"/>
      <c r="E295" s="105"/>
      <c r="F295" s="121"/>
      <c r="G295" s="121"/>
      <c r="H295" s="121"/>
    </row>
    <row r="296" spans="2:8" s="92" customFormat="1" ht="15" customHeight="1" x14ac:dyDescent="0.25">
      <c r="B296" s="141"/>
      <c r="D296" s="105"/>
      <c r="E296" s="105"/>
      <c r="F296" s="121"/>
      <c r="G296" s="121"/>
      <c r="H296" s="121"/>
    </row>
    <row r="297" spans="2:8" s="92" customFormat="1" ht="15" customHeight="1" x14ac:dyDescent="0.25">
      <c r="B297" s="141"/>
      <c r="D297" s="105"/>
      <c r="E297" s="105"/>
      <c r="F297" s="121"/>
      <c r="G297" s="121"/>
      <c r="H297" s="121"/>
    </row>
    <row r="298" spans="2:8" s="92" customFormat="1" ht="15" customHeight="1" x14ac:dyDescent="0.25">
      <c r="B298" s="141"/>
      <c r="D298" s="105"/>
      <c r="E298" s="105"/>
      <c r="F298" s="121"/>
      <c r="G298" s="121"/>
      <c r="H298" s="121"/>
    </row>
    <row r="299" spans="2:8" s="92" customFormat="1" ht="15" customHeight="1" x14ac:dyDescent="0.25">
      <c r="B299" s="141"/>
      <c r="D299" s="105"/>
      <c r="E299" s="105"/>
      <c r="F299" s="121"/>
      <c r="G299" s="121"/>
      <c r="H299" s="121"/>
    </row>
    <row r="300" spans="2:8" s="92" customFormat="1" ht="15" customHeight="1" x14ac:dyDescent="0.25">
      <c r="B300" s="141"/>
      <c r="D300" s="105"/>
      <c r="E300" s="105"/>
      <c r="F300" s="121"/>
      <c r="G300" s="121"/>
      <c r="H300" s="121"/>
    </row>
    <row r="301" spans="2:8" s="92" customFormat="1" ht="15" customHeight="1" x14ac:dyDescent="0.25">
      <c r="B301" s="141"/>
      <c r="D301" s="105"/>
      <c r="E301" s="105"/>
      <c r="F301" s="121"/>
      <c r="G301" s="121"/>
      <c r="H301" s="121"/>
    </row>
    <row r="302" spans="2:8" s="92" customFormat="1" ht="15" customHeight="1" x14ac:dyDescent="0.25">
      <c r="B302" s="141"/>
      <c r="D302" s="105"/>
      <c r="E302" s="105"/>
      <c r="F302" s="121"/>
      <c r="G302" s="121"/>
      <c r="H302" s="121"/>
    </row>
    <row r="303" spans="2:8" s="92" customFormat="1" ht="15" customHeight="1" x14ac:dyDescent="0.25">
      <c r="B303" s="141"/>
      <c r="D303" s="105"/>
      <c r="E303" s="105"/>
      <c r="F303" s="121"/>
      <c r="G303" s="121"/>
      <c r="H303" s="121"/>
    </row>
    <row r="304" spans="2:8" s="92" customFormat="1" ht="15" customHeight="1" x14ac:dyDescent="0.25">
      <c r="B304" s="141"/>
      <c r="D304" s="105"/>
      <c r="E304" s="105"/>
      <c r="F304" s="121"/>
      <c r="G304" s="121"/>
      <c r="H304" s="121"/>
    </row>
  </sheetData>
  <autoFilter ref="F2:F304" xr:uid="{33EA6D69-9B86-4680-B8AD-88F38C33CC9A}"/>
  <phoneticPr fontId="9" type="noConversion"/>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CCAA9-56B6-4CE1-BA0F-8412AE06CD9A}">
  <dimension ref="A1:DW1520"/>
  <sheetViews>
    <sheetView zoomScale="55" zoomScaleNormal="55" workbookViewId="0">
      <selection activeCell="CN1" sqref="CN1:DW2"/>
    </sheetView>
  </sheetViews>
  <sheetFormatPr defaultRowHeight="15" x14ac:dyDescent="0.25"/>
  <cols>
    <col min="1" max="1" width="9.7109375" customWidth="1"/>
    <col min="2" max="2" width="9.140625" style="63"/>
    <col min="4" max="4" width="24.42578125" bestFit="1" customWidth="1"/>
    <col min="5" max="5" width="19.42578125" bestFit="1" customWidth="1"/>
    <col min="6" max="6" width="9.140625" style="63"/>
    <col min="7" max="7" width="12.7109375" customWidth="1"/>
    <col min="12" max="12" width="15" customWidth="1"/>
    <col min="13" max="13" width="9.140625" style="63"/>
    <col min="15" max="15" width="12.85546875" customWidth="1"/>
    <col min="16" max="16" width="12.42578125" customWidth="1"/>
    <col min="17" max="24" width="9.140625" style="63"/>
    <col min="54" max="54" width="9.140625" style="76"/>
    <col min="91" max="91" width="9.140625" style="63"/>
  </cols>
  <sheetData>
    <row r="1" spans="1:127" x14ac:dyDescent="0.25">
      <c r="C1" s="3" t="s">
        <v>52</v>
      </c>
      <c r="D1" s="3" t="s">
        <v>53</v>
      </c>
      <c r="E1" s="3" t="s">
        <v>54</v>
      </c>
      <c r="G1" s="41" t="s">
        <v>355</v>
      </c>
      <c r="H1" s="41" t="s">
        <v>356</v>
      </c>
      <c r="I1" s="41" t="s">
        <v>357</v>
      </c>
      <c r="J1" s="41" t="s">
        <v>358</v>
      </c>
      <c r="K1" s="41" t="s">
        <v>359</v>
      </c>
      <c r="L1" s="41" t="s">
        <v>354</v>
      </c>
      <c r="M1" s="64"/>
      <c r="N1" s="7" t="s">
        <v>74</v>
      </c>
      <c r="O1" s="7" t="s">
        <v>72</v>
      </c>
      <c r="P1" s="7" t="s">
        <v>73</v>
      </c>
      <c r="R1" s="63" t="s">
        <v>395</v>
      </c>
      <c r="S1" s="74" t="s">
        <v>360</v>
      </c>
      <c r="T1" s="74" t="s">
        <v>361</v>
      </c>
      <c r="U1" s="74" t="s">
        <v>362</v>
      </c>
      <c r="V1" s="74" t="s">
        <v>363</v>
      </c>
      <c r="W1" s="74" t="s">
        <v>364</v>
      </c>
      <c r="X1" s="74" t="s">
        <v>365</v>
      </c>
      <c r="Y1" s="8" t="s">
        <v>366</v>
      </c>
      <c r="Z1" s="8" t="s">
        <v>367</v>
      </c>
      <c r="AA1" s="8" t="s">
        <v>368</v>
      </c>
      <c r="AB1" s="8" t="s">
        <v>369</v>
      </c>
      <c r="AC1" s="8" t="s">
        <v>370</v>
      </c>
      <c r="AD1" s="9" t="s">
        <v>371</v>
      </c>
      <c r="AE1" s="9" t="s">
        <v>372</v>
      </c>
      <c r="AF1" s="9" t="s">
        <v>373</v>
      </c>
      <c r="AG1" s="9" t="s">
        <v>374</v>
      </c>
      <c r="AH1" s="9" t="s">
        <v>375</v>
      </c>
      <c r="AI1" s="9" t="s">
        <v>376</v>
      </c>
      <c r="AJ1" s="9" t="s">
        <v>377</v>
      </c>
      <c r="AK1" s="9" t="s">
        <v>378</v>
      </c>
      <c r="AL1" s="9" t="s">
        <v>379</v>
      </c>
      <c r="AM1" s="9" t="s">
        <v>380</v>
      </c>
      <c r="AN1" s="9" t="s">
        <v>381</v>
      </c>
      <c r="AO1" s="9" t="s">
        <v>382</v>
      </c>
      <c r="AP1" s="9" t="s">
        <v>383</v>
      </c>
      <c r="AQ1" s="9" t="s">
        <v>384</v>
      </c>
      <c r="AR1" s="9" t="s">
        <v>385</v>
      </c>
      <c r="AS1" s="9" t="s">
        <v>386</v>
      </c>
      <c r="AT1" s="9" t="s">
        <v>387</v>
      </c>
      <c r="AU1" s="9" t="s">
        <v>388</v>
      </c>
      <c r="AV1" s="9" t="s">
        <v>389</v>
      </c>
      <c r="AW1" s="9" t="s">
        <v>390</v>
      </c>
      <c r="AX1" s="9" t="s">
        <v>391</v>
      </c>
      <c r="AY1" s="9" t="s">
        <v>392</v>
      </c>
      <c r="AZ1" s="9" t="s">
        <v>393</v>
      </c>
      <c r="BA1" s="9" t="s">
        <v>394</v>
      </c>
      <c r="BC1" s="26" t="s">
        <v>399</v>
      </c>
      <c r="BD1" s="26" t="s">
        <v>400</v>
      </c>
      <c r="BE1" s="26" t="s">
        <v>401</v>
      </c>
      <c r="BF1" s="26" t="s">
        <v>402</v>
      </c>
      <c r="BG1" s="26" t="s">
        <v>403</v>
      </c>
      <c r="BH1" s="26" t="s">
        <v>404</v>
      </c>
      <c r="BI1" s="26" t="s">
        <v>405</v>
      </c>
      <c r="BJ1" s="26" t="s">
        <v>406</v>
      </c>
      <c r="BK1" s="26" t="s">
        <v>407</v>
      </c>
      <c r="BL1" s="26" t="s">
        <v>408</v>
      </c>
      <c r="BM1" s="26" t="s">
        <v>409</v>
      </c>
      <c r="BN1" s="26" t="s">
        <v>410</v>
      </c>
      <c r="BO1" s="26" t="s">
        <v>411</v>
      </c>
      <c r="BP1" s="26" t="s">
        <v>412</v>
      </c>
      <c r="BQ1" s="26" t="s">
        <v>413</v>
      </c>
      <c r="BR1" s="26" t="s">
        <v>414</v>
      </c>
      <c r="BS1" s="26" t="s">
        <v>415</v>
      </c>
      <c r="BT1" s="26" t="s">
        <v>416</v>
      </c>
      <c r="BU1" s="26" t="s">
        <v>417</v>
      </c>
      <c r="BV1" s="26" t="s">
        <v>418</v>
      </c>
      <c r="BW1" s="26" t="s">
        <v>419</v>
      </c>
      <c r="BX1" s="26" t="s">
        <v>420</v>
      </c>
      <c r="BY1" s="26" t="s">
        <v>421</v>
      </c>
      <c r="BZ1" s="26" t="s">
        <v>422</v>
      </c>
      <c r="CA1" s="26" t="s">
        <v>423</v>
      </c>
      <c r="CB1" s="26" t="s">
        <v>424</v>
      </c>
      <c r="CC1" s="26" t="s">
        <v>425</v>
      </c>
      <c r="CD1" s="26" t="s">
        <v>426</v>
      </c>
      <c r="CE1" s="26" t="s">
        <v>427</v>
      </c>
      <c r="CF1" s="26" t="s">
        <v>428</v>
      </c>
      <c r="CG1" s="26" t="s">
        <v>429</v>
      </c>
      <c r="CH1" s="26" t="s">
        <v>430</v>
      </c>
      <c r="CI1" s="26" t="s">
        <v>431</v>
      </c>
      <c r="CJ1" s="26" t="s">
        <v>432</v>
      </c>
      <c r="CK1" s="26" t="s">
        <v>433</v>
      </c>
      <c r="CL1" s="26" t="s">
        <v>434</v>
      </c>
      <c r="CN1" s="28" t="s">
        <v>395</v>
      </c>
      <c r="CO1" s="28" t="s">
        <v>435</v>
      </c>
      <c r="CP1" s="28" t="s">
        <v>436</v>
      </c>
      <c r="CQ1" s="28" t="s">
        <v>362</v>
      </c>
      <c r="CR1" s="28" t="s">
        <v>363</v>
      </c>
      <c r="CS1" s="28" t="s">
        <v>364</v>
      </c>
      <c r="CT1" s="28" t="s">
        <v>365</v>
      </c>
      <c r="CU1" s="28" t="s">
        <v>366</v>
      </c>
      <c r="CV1" s="28" t="s">
        <v>367</v>
      </c>
      <c r="CW1" s="28" t="s">
        <v>368</v>
      </c>
      <c r="CX1" s="28" t="s">
        <v>369</v>
      </c>
      <c r="CY1" s="28" t="s">
        <v>370</v>
      </c>
      <c r="CZ1" s="28" t="s">
        <v>371</v>
      </c>
      <c r="DA1" s="28" t="s">
        <v>372</v>
      </c>
      <c r="DB1" s="28" t="s">
        <v>373</v>
      </c>
      <c r="DC1" s="28" t="s">
        <v>374</v>
      </c>
      <c r="DD1" s="28" t="s">
        <v>375</v>
      </c>
      <c r="DE1" s="28" t="s">
        <v>376</v>
      </c>
      <c r="DF1" s="28" t="s">
        <v>377</v>
      </c>
      <c r="DG1" s="29" t="s">
        <v>378</v>
      </c>
      <c r="DH1" s="29" t="s">
        <v>379</v>
      </c>
      <c r="DI1" s="29" t="s">
        <v>380</v>
      </c>
      <c r="DJ1" s="29" t="s">
        <v>381</v>
      </c>
      <c r="DK1" s="29" t="s">
        <v>382</v>
      </c>
      <c r="DL1" s="29" t="s">
        <v>383</v>
      </c>
      <c r="DM1" s="29" t="s">
        <v>384</v>
      </c>
      <c r="DN1" s="29" t="s">
        <v>385</v>
      </c>
      <c r="DO1" s="29" t="s">
        <v>386</v>
      </c>
      <c r="DP1" s="29" t="s">
        <v>387</v>
      </c>
      <c r="DQ1" s="29" t="s">
        <v>388</v>
      </c>
      <c r="DR1" s="29" t="s">
        <v>389</v>
      </c>
      <c r="DS1" s="29" t="s">
        <v>390</v>
      </c>
      <c r="DT1" s="29" t="s">
        <v>391</v>
      </c>
      <c r="DU1" s="29" t="s">
        <v>392</v>
      </c>
      <c r="DV1" s="29" t="s">
        <v>393</v>
      </c>
      <c r="DW1" s="29" t="s">
        <v>394</v>
      </c>
    </row>
    <row r="2" spans="1:127" ht="15.75" x14ac:dyDescent="0.25">
      <c r="C2" s="3">
        <v>9451.4138634014198</v>
      </c>
      <c r="D2" s="3">
        <v>10770.75826352814</v>
      </c>
      <c r="E2" s="3">
        <v>260.75936926107278</v>
      </c>
      <c r="G2" s="41">
        <v>100.42403506695425</v>
      </c>
      <c r="H2" s="41">
        <v>110810.41080465046</v>
      </c>
      <c r="I2" s="41">
        <v>222777.85465783562</v>
      </c>
      <c r="J2" s="41">
        <v>5.8892295999171598</v>
      </c>
      <c r="K2" s="41">
        <v>37417.953581038921</v>
      </c>
      <c r="L2" s="41">
        <v>66565.885274548695</v>
      </c>
      <c r="M2" s="64"/>
      <c r="N2" s="7">
        <v>98.106413787022191</v>
      </c>
      <c r="O2" s="48">
        <v>39364.745623127252</v>
      </c>
      <c r="P2" s="7">
        <v>19741.89858482722</v>
      </c>
      <c r="R2" s="74">
        <v>2.4289357046718858</v>
      </c>
      <c r="S2" s="74"/>
      <c r="T2" s="74">
        <v>0.10001938503194061</v>
      </c>
      <c r="U2" s="74">
        <v>0.30411553201184266</v>
      </c>
      <c r="V2" s="74">
        <v>1.7513396263480798</v>
      </c>
      <c r="W2" s="74">
        <v>0.80064696819179471</v>
      </c>
      <c r="X2" s="74">
        <v>2.208010771515764</v>
      </c>
      <c r="Y2" s="8">
        <v>8.023819240008196</v>
      </c>
      <c r="Z2" s="8">
        <v>0.68333042133495547</v>
      </c>
      <c r="AA2" s="8">
        <v>0.14084173669902109</v>
      </c>
      <c r="AB2" s="8">
        <v>0.5252383901677895</v>
      </c>
      <c r="AC2" s="8">
        <v>9.1090991084730852</v>
      </c>
      <c r="AD2" s="8">
        <v>0.36646158755245323</v>
      </c>
      <c r="AE2" s="8">
        <v>2.0826851536426076</v>
      </c>
      <c r="AF2" s="8">
        <v>0.43556121959609145</v>
      </c>
      <c r="AG2" s="8">
        <v>2.5581658303236939E-2</v>
      </c>
      <c r="AH2" s="8">
        <v>0.48078019861999266</v>
      </c>
      <c r="AI2" s="8">
        <v>3.5521955064519516E-2</v>
      </c>
      <c r="AJ2" s="8">
        <v>1.7351631558285385</v>
      </c>
      <c r="AK2" s="8">
        <v>1.1085522912288898E-2</v>
      </c>
      <c r="AL2" s="8">
        <v>9.3860525048878096E-2</v>
      </c>
      <c r="AM2" s="8">
        <v>0.82230910996980355</v>
      </c>
      <c r="AN2" s="8">
        <v>0.20390432918176762</v>
      </c>
      <c r="AO2" s="8"/>
      <c r="AP2" s="8">
        <v>3.0674818524779632</v>
      </c>
      <c r="AQ2" s="8">
        <v>0</v>
      </c>
      <c r="AR2" s="8">
        <v>0</v>
      </c>
      <c r="AS2" s="8">
        <v>9.9593437429178703E-3</v>
      </c>
      <c r="AT2" s="8">
        <v>7.230132595306712E-5</v>
      </c>
      <c r="AU2" s="8">
        <v>0.13841893531263819</v>
      </c>
      <c r="AV2" s="8">
        <v>8.6213306619754816E-4</v>
      </c>
      <c r="AW2" s="8"/>
      <c r="AX2" s="8"/>
      <c r="AY2" s="8">
        <v>21.062478450775298</v>
      </c>
      <c r="AZ2" s="8">
        <v>6.7564310792456325E-2</v>
      </c>
      <c r="BA2" s="8">
        <v>0.49518123081782184</v>
      </c>
      <c r="BC2">
        <v>26542.228234751045</v>
      </c>
      <c r="BE2">
        <v>94.938780255947009</v>
      </c>
      <c r="BF2">
        <v>145334.23396565055</v>
      </c>
      <c r="BG2">
        <v>31097.515328665759</v>
      </c>
      <c r="BH2">
        <v>456.04232057147658</v>
      </c>
      <c r="BI2">
        <v>248.186354812339</v>
      </c>
      <c r="BJ2">
        <v>22111.959205766143</v>
      </c>
      <c r="BK2">
        <v>31119.549692698467</v>
      </c>
      <c r="BL2">
        <v>145.87090236161563</v>
      </c>
      <c r="BM2">
        <v>220.76719484734963</v>
      </c>
      <c r="BN2">
        <v>395409.45574120333</v>
      </c>
      <c r="BO2">
        <v>34245.907848712995</v>
      </c>
      <c r="BP2">
        <v>143808.99486227368</v>
      </c>
      <c r="BQ2">
        <v>8597.4992954647769</v>
      </c>
      <c r="BR2">
        <v>522.77133844649927</v>
      </c>
      <c r="BS2">
        <v>346.69723229250968</v>
      </c>
      <c r="BT2">
        <v>286.89543590496896</v>
      </c>
      <c r="BU2">
        <v>44578.240629778404</v>
      </c>
      <c r="BV2">
        <v>99.243579115586499</v>
      </c>
      <c r="BW2">
        <v>1095.0661053242611</v>
      </c>
      <c r="BX2">
        <v>524794.90066972328</v>
      </c>
      <c r="BY2">
        <v>1504.0031265043731</v>
      </c>
      <c r="CA2">
        <v>263563.65182293166</v>
      </c>
      <c r="CB2">
        <v>0</v>
      </c>
      <c r="CC2">
        <v>0</v>
      </c>
      <c r="CD2">
        <v>161.82016022335694</v>
      </c>
      <c r="CE2">
        <v>0.5065541301908083</v>
      </c>
      <c r="CF2">
        <v>7883.6027937999461</v>
      </c>
      <c r="CG2">
        <v>1.515250707874958</v>
      </c>
      <c r="CJ2">
        <v>5225040.0797845796</v>
      </c>
      <c r="CK2">
        <v>13.580709721252951</v>
      </c>
      <c r="CL2">
        <v>207.38320004852608</v>
      </c>
      <c r="CN2">
        <v>576904665.91300476</v>
      </c>
      <c r="CP2">
        <v>23973771.895417303</v>
      </c>
      <c r="CQ2">
        <v>807978922.23394585</v>
      </c>
      <c r="CR2">
        <v>351572178.53612286</v>
      </c>
      <c r="CS2">
        <v>66540828.300041601</v>
      </c>
      <c r="CT2">
        <v>262200682.69675407</v>
      </c>
      <c r="CU2">
        <v>1100453891.7540951</v>
      </c>
      <c r="CV2">
        <v>176584232.47314441</v>
      </c>
      <c r="CW2">
        <v>73673590.10069415</v>
      </c>
      <c r="CX2">
        <v>178945287.18101943</v>
      </c>
      <c r="CY2">
        <v>400649207.22734696</v>
      </c>
      <c r="CZ2">
        <v>53726017.970449254</v>
      </c>
      <c r="DA2">
        <v>206796913.58016863</v>
      </c>
      <c r="DB2">
        <v>96996216.711538061</v>
      </c>
      <c r="DC2">
        <v>93826913.377193302</v>
      </c>
      <c r="DD2">
        <v>267388165.18406895</v>
      </c>
      <c r="DE2">
        <v>22333939.761660181</v>
      </c>
      <c r="DF2">
        <v>534506780.50235271</v>
      </c>
      <c r="DG2">
        <v>205372565.99754491</v>
      </c>
      <c r="DH2">
        <v>14166351.929854767</v>
      </c>
      <c r="DI2">
        <v>138056658.4948746</v>
      </c>
      <c r="DJ2">
        <v>36794100.208565742</v>
      </c>
      <c r="DL2">
        <v>142695995.3702192</v>
      </c>
      <c r="DM2">
        <v>605167.54293206555</v>
      </c>
      <c r="DN2">
        <v>635084.33560090698</v>
      </c>
      <c r="DO2">
        <v>3642979.9027276929</v>
      </c>
      <c r="DP2">
        <v>36756995.852631241</v>
      </c>
      <c r="DQ2">
        <v>6843737.5697003249</v>
      </c>
      <c r="DR2">
        <v>9421932.8324733879</v>
      </c>
      <c r="DT2">
        <v>22405120</v>
      </c>
      <c r="DU2">
        <v>54099968</v>
      </c>
      <c r="DV2">
        <v>67426586.984997094</v>
      </c>
      <c r="DW2">
        <v>27548109.226248614</v>
      </c>
    </row>
    <row r="4" spans="1:127" x14ac:dyDescent="0.25">
      <c r="A4" s="19"/>
    </row>
    <row r="5" spans="1:127" ht="16.5" x14ac:dyDescent="0.25">
      <c r="A5" s="20"/>
    </row>
    <row r="6" spans="1:127" ht="16.5" x14ac:dyDescent="0.25">
      <c r="A6" s="20"/>
    </row>
    <row r="7" spans="1:127" ht="16.5" x14ac:dyDescent="0.25">
      <c r="A7" s="20"/>
    </row>
    <row r="8" spans="1:127" ht="16.5" x14ac:dyDescent="0.25">
      <c r="A8" s="20"/>
    </row>
    <row r="9" spans="1:127" x14ac:dyDescent="0.25">
      <c r="A9" s="21"/>
    </row>
    <row r="10" spans="1:127" ht="16.5" x14ac:dyDescent="0.25">
      <c r="A10" s="20"/>
    </row>
    <row r="11" spans="1:127" x14ac:dyDescent="0.25">
      <c r="A11" s="19"/>
    </row>
    <row r="12" spans="1:127" ht="16.5" x14ac:dyDescent="0.25">
      <c r="A12" s="20"/>
    </row>
    <row r="13" spans="1:127" ht="16.5" x14ac:dyDescent="0.25">
      <c r="A13" s="20"/>
    </row>
    <row r="14" spans="1:127" ht="16.5" x14ac:dyDescent="0.25">
      <c r="A14" s="20"/>
    </row>
    <row r="15" spans="1:127" ht="16.5" x14ac:dyDescent="0.25">
      <c r="A15" s="20"/>
    </row>
    <row r="16" spans="1:127" x14ac:dyDescent="0.25">
      <c r="A16" s="21"/>
    </row>
    <row r="17" spans="1:1" ht="16.5" x14ac:dyDescent="0.25">
      <c r="A17" s="20"/>
    </row>
    <row r="18" spans="1:1" x14ac:dyDescent="0.25">
      <c r="A18" s="19"/>
    </row>
    <row r="19" spans="1:1" ht="16.5" x14ac:dyDescent="0.25">
      <c r="A19" s="20"/>
    </row>
    <row r="20" spans="1:1" ht="16.5" x14ac:dyDescent="0.25">
      <c r="A20" s="20"/>
    </row>
    <row r="21" spans="1:1" ht="16.5" x14ac:dyDescent="0.25">
      <c r="A21" s="20"/>
    </row>
    <row r="22" spans="1:1" ht="16.5" x14ac:dyDescent="0.25">
      <c r="A22" s="20"/>
    </row>
    <row r="23" spans="1:1" x14ac:dyDescent="0.25">
      <c r="A23" s="21"/>
    </row>
    <row r="24" spans="1:1" ht="16.5" x14ac:dyDescent="0.25">
      <c r="A24" s="20"/>
    </row>
    <row r="25" spans="1:1" x14ac:dyDescent="0.25">
      <c r="A25" s="19"/>
    </row>
    <row r="26" spans="1:1" ht="16.5" x14ac:dyDescent="0.25">
      <c r="A26" s="20"/>
    </row>
    <row r="27" spans="1:1" ht="16.5" x14ac:dyDescent="0.25">
      <c r="A27" s="20"/>
    </row>
    <row r="28" spans="1:1" ht="16.5" x14ac:dyDescent="0.25">
      <c r="A28" s="20"/>
    </row>
    <row r="29" spans="1:1" ht="16.5" x14ac:dyDescent="0.25">
      <c r="A29" s="20"/>
    </row>
    <row r="30" spans="1:1" x14ac:dyDescent="0.25">
      <c r="A30" s="21"/>
    </row>
    <row r="31" spans="1:1" ht="16.5" x14ac:dyDescent="0.25">
      <c r="A31" s="20"/>
    </row>
    <row r="32" spans="1:1" x14ac:dyDescent="0.25">
      <c r="A32" s="19"/>
    </row>
    <row r="33" spans="1:1" ht="16.5" x14ac:dyDescent="0.25">
      <c r="A33" s="20"/>
    </row>
    <row r="34" spans="1:1" ht="16.5" x14ac:dyDescent="0.25">
      <c r="A34" s="20"/>
    </row>
    <row r="35" spans="1:1" ht="16.5" x14ac:dyDescent="0.25">
      <c r="A35" s="20"/>
    </row>
    <row r="36" spans="1:1" ht="16.5" x14ac:dyDescent="0.25">
      <c r="A36" s="20"/>
    </row>
    <row r="37" spans="1:1" x14ac:dyDescent="0.25">
      <c r="A37" s="21"/>
    </row>
    <row r="38" spans="1:1" ht="16.5" x14ac:dyDescent="0.25">
      <c r="A38" s="20"/>
    </row>
    <row r="39" spans="1:1" x14ac:dyDescent="0.25">
      <c r="A39" s="19"/>
    </row>
    <row r="40" spans="1:1" ht="16.5" x14ac:dyDescent="0.25">
      <c r="A40" s="20"/>
    </row>
    <row r="41" spans="1:1" ht="16.5" x14ac:dyDescent="0.25">
      <c r="A41" s="20"/>
    </row>
    <row r="42" spans="1:1" ht="16.5" x14ac:dyDescent="0.25">
      <c r="A42" s="20"/>
    </row>
    <row r="43" spans="1:1" ht="16.5" x14ac:dyDescent="0.25">
      <c r="A43" s="20"/>
    </row>
    <row r="44" spans="1:1" x14ac:dyDescent="0.25">
      <c r="A44" s="21"/>
    </row>
    <row r="45" spans="1:1" ht="16.5" x14ac:dyDescent="0.25">
      <c r="A45" s="20"/>
    </row>
    <row r="46" spans="1:1" x14ac:dyDescent="0.25">
      <c r="A46" s="19"/>
    </row>
    <row r="47" spans="1:1" ht="16.5" x14ac:dyDescent="0.25">
      <c r="A47" s="20"/>
    </row>
    <row r="48" spans="1:1" ht="16.5" x14ac:dyDescent="0.25">
      <c r="A48" s="20"/>
    </row>
    <row r="49" spans="1:1" ht="16.5" x14ac:dyDescent="0.25">
      <c r="A49" s="20"/>
    </row>
    <row r="50" spans="1:1" ht="16.5" x14ac:dyDescent="0.25">
      <c r="A50" s="20"/>
    </row>
    <row r="51" spans="1:1" x14ac:dyDescent="0.25">
      <c r="A51" s="21"/>
    </row>
    <row r="52" spans="1:1" ht="16.5" x14ac:dyDescent="0.25">
      <c r="A52" s="20"/>
    </row>
    <row r="53" spans="1:1" x14ac:dyDescent="0.25">
      <c r="A53" s="19"/>
    </row>
    <row r="54" spans="1:1" ht="16.5" x14ac:dyDescent="0.25">
      <c r="A54" s="20"/>
    </row>
    <row r="55" spans="1:1" ht="16.5" x14ac:dyDescent="0.25">
      <c r="A55" s="20"/>
    </row>
    <row r="56" spans="1:1" ht="16.5" x14ac:dyDescent="0.25">
      <c r="A56" s="20"/>
    </row>
    <row r="57" spans="1:1" ht="16.5" x14ac:dyDescent="0.25">
      <c r="A57" s="20"/>
    </row>
    <row r="58" spans="1:1" x14ac:dyDescent="0.25">
      <c r="A58" s="21"/>
    </row>
    <row r="59" spans="1:1" ht="16.5" x14ac:dyDescent="0.25">
      <c r="A59" s="20"/>
    </row>
    <row r="60" spans="1:1" x14ac:dyDescent="0.25">
      <c r="A60" s="19"/>
    </row>
    <row r="61" spans="1:1" ht="16.5" x14ac:dyDescent="0.25">
      <c r="A61" s="20"/>
    </row>
    <row r="62" spans="1:1" ht="16.5" x14ac:dyDescent="0.25">
      <c r="A62" s="20"/>
    </row>
    <row r="63" spans="1:1" ht="16.5" x14ac:dyDescent="0.25">
      <c r="A63" s="20"/>
    </row>
    <row r="64" spans="1:1" ht="16.5" x14ac:dyDescent="0.25">
      <c r="A64" s="20"/>
    </row>
    <row r="65" spans="1:1" x14ac:dyDescent="0.25">
      <c r="A65" s="21"/>
    </row>
    <row r="66" spans="1:1" ht="16.5" x14ac:dyDescent="0.25">
      <c r="A66" s="20"/>
    </row>
    <row r="67" spans="1:1" x14ac:dyDescent="0.25">
      <c r="A67" s="19"/>
    </row>
    <row r="68" spans="1:1" ht="16.5" x14ac:dyDescent="0.25">
      <c r="A68" s="20"/>
    </row>
    <row r="69" spans="1:1" ht="16.5" x14ac:dyDescent="0.25">
      <c r="A69" s="20"/>
    </row>
    <row r="70" spans="1:1" ht="16.5" x14ac:dyDescent="0.25">
      <c r="A70" s="20"/>
    </row>
    <row r="71" spans="1:1" ht="16.5" x14ac:dyDescent="0.25">
      <c r="A71" s="20"/>
    </row>
    <row r="72" spans="1:1" x14ac:dyDescent="0.25">
      <c r="A72" s="21"/>
    </row>
    <row r="73" spans="1:1" ht="16.5" x14ac:dyDescent="0.25">
      <c r="A73" s="20"/>
    </row>
    <row r="74" spans="1:1" x14ac:dyDescent="0.25">
      <c r="A74" s="19"/>
    </row>
    <row r="75" spans="1:1" ht="16.5" x14ac:dyDescent="0.25">
      <c r="A75" s="20"/>
    </row>
    <row r="76" spans="1:1" ht="16.5" x14ac:dyDescent="0.25">
      <c r="A76" s="20"/>
    </row>
    <row r="77" spans="1:1" ht="16.5" x14ac:dyDescent="0.25">
      <c r="A77" s="20"/>
    </row>
    <row r="78" spans="1:1" ht="16.5" x14ac:dyDescent="0.25">
      <c r="A78" s="20"/>
    </row>
    <row r="79" spans="1:1" x14ac:dyDescent="0.25">
      <c r="A79" s="21"/>
    </row>
    <row r="80" spans="1:1" ht="16.5" x14ac:dyDescent="0.25">
      <c r="A80" s="20"/>
    </row>
    <row r="81" spans="1:1" x14ac:dyDescent="0.25">
      <c r="A81" s="19"/>
    </row>
    <row r="82" spans="1:1" ht="16.5" x14ac:dyDescent="0.25">
      <c r="A82" s="20"/>
    </row>
    <row r="83" spans="1:1" ht="16.5" x14ac:dyDescent="0.25">
      <c r="A83" s="20"/>
    </row>
    <row r="84" spans="1:1" ht="16.5" x14ac:dyDescent="0.25">
      <c r="A84" s="20"/>
    </row>
    <row r="85" spans="1:1" ht="16.5" x14ac:dyDescent="0.25">
      <c r="A85" s="20"/>
    </row>
    <row r="86" spans="1:1" x14ac:dyDescent="0.25">
      <c r="A86" s="21"/>
    </row>
    <row r="87" spans="1:1" ht="16.5" x14ac:dyDescent="0.25">
      <c r="A87" s="20"/>
    </row>
    <row r="88" spans="1:1" x14ac:dyDescent="0.25">
      <c r="A88" s="19"/>
    </row>
    <row r="89" spans="1:1" ht="16.5" x14ac:dyDescent="0.25">
      <c r="A89" s="20"/>
    </row>
    <row r="90" spans="1:1" ht="16.5" x14ac:dyDescent="0.25">
      <c r="A90" s="20"/>
    </row>
    <row r="91" spans="1:1" ht="16.5" x14ac:dyDescent="0.25">
      <c r="A91" s="20"/>
    </row>
    <row r="92" spans="1:1" ht="16.5" x14ac:dyDescent="0.25">
      <c r="A92" s="20"/>
    </row>
    <row r="93" spans="1:1" x14ac:dyDescent="0.25">
      <c r="A93" s="21"/>
    </row>
    <row r="94" spans="1:1" ht="16.5" x14ac:dyDescent="0.25">
      <c r="A94" s="20"/>
    </row>
    <row r="95" spans="1:1" x14ac:dyDescent="0.25">
      <c r="A95" s="19"/>
    </row>
    <row r="96" spans="1:1" ht="16.5" x14ac:dyDescent="0.25">
      <c r="A96" s="20"/>
    </row>
    <row r="97" spans="1:1" ht="16.5" x14ac:dyDescent="0.25">
      <c r="A97" s="20"/>
    </row>
    <row r="98" spans="1:1" ht="16.5" x14ac:dyDescent="0.25">
      <c r="A98" s="20"/>
    </row>
    <row r="99" spans="1:1" ht="16.5" x14ac:dyDescent="0.25">
      <c r="A99" s="20"/>
    </row>
    <row r="100" spans="1:1" x14ac:dyDescent="0.25">
      <c r="A100" s="21"/>
    </row>
    <row r="101" spans="1:1" ht="16.5" x14ac:dyDescent="0.25">
      <c r="A101" s="20"/>
    </row>
    <row r="102" spans="1:1" x14ac:dyDescent="0.25">
      <c r="A102" s="19"/>
    </row>
    <row r="103" spans="1:1" ht="16.5" x14ac:dyDescent="0.25">
      <c r="A103" s="20"/>
    </row>
    <row r="104" spans="1:1" ht="16.5" x14ac:dyDescent="0.25">
      <c r="A104" s="20"/>
    </row>
    <row r="105" spans="1:1" ht="16.5" x14ac:dyDescent="0.25">
      <c r="A105" s="20"/>
    </row>
    <row r="106" spans="1:1" ht="16.5" x14ac:dyDescent="0.25">
      <c r="A106" s="20"/>
    </row>
    <row r="107" spans="1:1" x14ac:dyDescent="0.25">
      <c r="A107" s="21"/>
    </row>
    <row r="108" spans="1:1" ht="16.5" x14ac:dyDescent="0.25">
      <c r="A108" s="20"/>
    </row>
    <row r="109" spans="1:1" x14ac:dyDescent="0.25">
      <c r="A109" s="19"/>
    </row>
    <row r="110" spans="1:1" ht="16.5" x14ac:dyDescent="0.25">
      <c r="A110" s="20"/>
    </row>
    <row r="111" spans="1:1" ht="16.5" x14ac:dyDescent="0.25">
      <c r="A111" s="20"/>
    </row>
    <row r="112" spans="1:1" ht="16.5" x14ac:dyDescent="0.25">
      <c r="A112" s="20"/>
    </row>
    <row r="113" spans="1:1" ht="16.5" x14ac:dyDescent="0.25">
      <c r="A113" s="20"/>
    </row>
    <row r="114" spans="1:1" x14ac:dyDescent="0.25">
      <c r="A114" s="21"/>
    </row>
    <row r="115" spans="1:1" ht="16.5" x14ac:dyDescent="0.25">
      <c r="A115" s="20"/>
    </row>
    <row r="116" spans="1:1" x14ac:dyDescent="0.25">
      <c r="A116" s="19"/>
    </row>
    <row r="117" spans="1:1" ht="16.5" x14ac:dyDescent="0.25">
      <c r="A117" s="20"/>
    </row>
    <row r="118" spans="1:1" ht="16.5" x14ac:dyDescent="0.25">
      <c r="A118" s="20"/>
    </row>
    <row r="119" spans="1:1" ht="16.5" x14ac:dyDescent="0.25">
      <c r="A119" s="20"/>
    </row>
    <row r="120" spans="1:1" ht="16.5" x14ac:dyDescent="0.25">
      <c r="A120" s="20"/>
    </row>
    <row r="121" spans="1:1" x14ac:dyDescent="0.25">
      <c r="A121" s="21"/>
    </row>
    <row r="122" spans="1:1" ht="16.5" x14ac:dyDescent="0.25">
      <c r="A122" s="20"/>
    </row>
    <row r="123" spans="1:1" x14ac:dyDescent="0.25">
      <c r="A123" s="19"/>
    </row>
    <row r="124" spans="1:1" ht="16.5" x14ac:dyDescent="0.25">
      <c r="A124" s="20"/>
    </row>
    <row r="125" spans="1:1" ht="16.5" x14ac:dyDescent="0.25">
      <c r="A125" s="20"/>
    </row>
    <row r="126" spans="1:1" ht="16.5" x14ac:dyDescent="0.25">
      <c r="A126" s="20"/>
    </row>
    <row r="127" spans="1:1" ht="16.5" x14ac:dyDescent="0.25">
      <c r="A127" s="20"/>
    </row>
    <row r="128" spans="1:1" x14ac:dyDescent="0.25">
      <c r="A128" s="21"/>
    </row>
    <row r="129" spans="1:1" ht="16.5" x14ac:dyDescent="0.25">
      <c r="A129" s="20"/>
    </row>
    <row r="130" spans="1:1" x14ac:dyDescent="0.25">
      <c r="A130" s="19"/>
    </row>
    <row r="131" spans="1:1" ht="16.5" x14ac:dyDescent="0.25">
      <c r="A131" s="20"/>
    </row>
    <row r="132" spans="1:1" ht="16.5" x14ac:dyDescent="0.25">
      <c r="A132" s="20"/>
    </row>
    <row r="133" spans="1:1" ht="16.5" x14ac:dyDescent="0.25">
      <c r="A133" s="20"/>
    </row>
    <row r="134" spans="1:1" ht="16.5" x14ac:dyDescent="0.25">
      <c r="A134" s="20"/>
    </row>
    <row r="135" spans="1:1" x14ac:dyDescent="0.25">
      <c r="A135" s="21"/>
    </row>
    <row r="136" spans="1:1" ht="16.5" x14ac:dyDescent="0.25">
      <c r="A136" s="20"/>
    </row>
    <row r="137" spans="1:1" x14ac:dyDescent="0.25">
      <c r="A137" s="19"/>
    </row>
    <row r="138" spans="1:1" ht="16.5" x14ac:dyDescent="0.25">
      <c r="A138" s="20"/>
    </row>
    <row r="139" spans="1:1" ht="16.5" x14ac:dyDescent="0.25">
      <c r="A139" s="20"/>
    </row>
    <row r="140" spans="1:1" ht="16.5" x14ac:dyDescent="0.25">
      <c r="A140" s="20"/>
    </row>
    <row r="141" spans="1:1" ht="16.5" x14ac:dyDescent="0.25">
      <c r="A141" s="20"/>
    </row>
    <row r="142" spans="1:1" x14ac:dyDescent="0.25">
      <c r="A142" s="21"/>
    </row>
    <row r="143" spans="1:1" ht="16.5" x14ac:dyDescent="0.25">
      <c r="A143" s="20"/>
    </row>
    <row r="144" spans="1:1" x14ac:dyDescent="0.25">
      <c r="A144" s="19"/>
    </row>
    <row r="145" spans="1:1" ht="16.5" x14ac:dyDescent="0.25">
      <c r="A145" s="20"/>
    </row>
    <row r="146" spans="1:1" ht="16.5" x14ac:dyDescent="0.25">
      <c r="A146" s="20"/>
    </row>
    <row r="147" spans="1:1" ht="16.5" x14ac:dyDescent="0.25">
      <c r="A147" s="20"/>
    </row>
    <row r="148" spans="1:1" ht="16.5" x14ac:dyDescent="0.25">
      <c r="A148" s="20"/>
    </row>
    <row r="149" spans="1:1" x14ac:dyDescent="0.25">
      <c r="A149" s="21"/>
    </row>
    <row r="150" spans="1:1" ht="16.5" x14ac:dyDescent="0.25">
      <c r="A150" s="20"/>
    </row>
    <row r="151" spans="1:1" x14ac:dyDescent="0.25">
      <c r="A151" s="19"/>
    </row>
    <row r="152" spans="1:1" ht="16.5" x14ac:dyDescent="0.25">
      <c r="A152" s="20"/>
    </row>
    <row r="153" spans="1:1" ht="16.5" x14ac:dyDescent="0.25">
      <c r="A153" s="20"/>
    </row>
    <row r="154" spans="1:1" ht="16.5" x14ac:dyDescent="0.25">
      <c r="A154" s="20"/>
    </row>
    <row r="155" spans="1:1" ht="16.5" x14ac:dyDescent="0.25">
      <c r="A155" s="20"/>
    </row>
    <row r="156" spans="1:1" x14ac:dyDescent="0.25">
      <c r="A156" s="21"/>
    </row>
    <row r="157" spans="1:1" ht="16.5" x14ac:dyDescent="0.25">
      <c r="A157" s="20"/>
    </row>
    <row r="158" spans="1:1" x14ac:dyDescent="0.25">
      <c r="A158" s="19"/>
    </row>
    <row r="159" spans="1:1" ht="16.5" x14ac:dyDescent="0.25">
      <c r="A159" s="20"/>
    </row>
    <row r="160" spans="1:1" ht="16.5" x14ac:dyDescent="0.25">
      <c r="A160" s="20"/>
    </row>
    <row r="161" spans="1:1" ht="16.5" x14ac:dyDescent="0.25">
      <c r="A161" s="20"/>
    </row>
    <row r="162" spans="1:1" ht="16.5" x14ac:dyDescent="0.25">
      <c r="A162" s="20"/>
    </row>
    <row r="163" spans="1:1" x14ac:dyDescent="0.25">
      <c r="A163" s="21"/>
    </row>
    <row r="164" spans="1:1" ht="16.5" x14ac:dyDescent="0.25">
      <c r="A164" s="20"/>
    </row>
    <row r="165" spans="1:1" x14ac:dyDescent="0.25">
      <c r="A165" s="19"/>
    </row>
    <row r="166" spans="1:1" ht="16.5" x14ac:dyDescent="0.25">
      <c r="A166" s="20"/>
    </row>
    <row r="167" spans="1:1" ht="16.5" x14ac:dyDescent="0.25">
      <c r="A167" s="20"/>
    </row>
    <row r="168" spans="1:1" ht="16.5" x14ac:dyDescent="0.25">
      <c r="A168" s="20"/>
    </row>
    <row r="169" spans="1:1" ht="16.5" x14ac:dyDescent="0.25">
      <c r="A169" s="20"/>
    </row>
    <row r="170" spans="1:1" x14ac:dyDescent="0.25">
      <c r="A170" s="21"/>
    </row>
    <row r="171" spans="1:1" ht="16.5" x14ac:dyDescent="0.25">
      <c r="A171" s="20"/>
    </row>
    <row r="172" spans="1:1" x14ac:dyDescent="0.25">
      <c r="A172" s="19"/>
    </row>
    <row r="173" spans="1:1" ht="16.5" x14ac:dyDescent="0.25">
      <c r="A173" s="20"/>
    </row>
    <row r="174" spans="1:1" ht="16.5" x14ac:dyDescent="0.25">
      <c r="A174" s="20"/>
    </row>
    <row r="175" spans="1:1" ht="16.5" x14ac:dyDescent="0.25">
      <c r="A175" s="20"/>
    </row>
    <row r="176" spans="1:1" ht="16.5" x14ac:dyDescent="0.25">
      <c r="A176" s="20"/>
    </row>
    <row r="177" spans="1:1" x14ac:dyDescent="0.25">
      <c r="A177" s="21"/>
    </row>
    <row r="178" spans="1:1" ht="16.5" x14ac:dyDescent="0.25">
      <c r="A178" s="20"/>
    </row>
    <row r="179" spans="1:1" x14ac:dyDescent="0.25">
      <c r="A179" s="19"/>
    </row>
    <row r="180" spans="1:1" ht="16.5" x14ac:dyDescent="0.25">
      <c r="A180" s="20"/>
    </row>
    <row r="181" spans="1:1" ht="16.5" x14ac:dyDescent="0.25">
      <c r="A181" s="20"/>
    </row>
    <row r="182" spans="1:1" ht="16.5" x14ac:dyDescent="0.25">
      <c r="A182" s="20"/>
    </row>
    <row r="183" spans="1:1" ht="16.5" x14ac:dyDescent="0.25">
      <c r="A183" s="20"/>
    </row>
    <row r="184" spans="1:1" x14ac:dyDescent="0.25">
      <c r="A184" s="21"/>
    </row>
    <row r="185" spans="1:1" ht="16.5" x14ac:dyDescent="0.25">
      <c r="A185" s="20"/>
    </row>
    <row r="186" spans="1:1" x14ac:dyDescent="0.25">
      <c r="A186" s="19"/>
    </row>
    <row r="187" spans="1:1" ht="16.5" x14ac:dyDescent="0.25">
      <c r="A187" s="20"/>
    </row>
    <row r="188" spans="1:1" ht="16.5" x14ac:dyDescent="0.25">
      <c r="A188" s="20"/>
    </row>
    <row r="189" spans="1:1" ht="16.5" x14ac:dyDescent="0.25">
      <c r="A189" s="20"/>
    </row>
    <row r="190" spans="1:1" ht="16.5" x14ac:dyDescent="0.25">
      <c r="A190" s="20"/>
    </row>
    <row r="191" spans="1:1" x14ac:dyDescent="0.25">
      <c r="A191" s="21"/>
    </row>
    <row r="192" spans="1:1" ht="16.5" x14ac:dyDescent="0.25">
      <c r="A192" s="20"/>
    </row>
    <row r="193" spans="1:1" x14ac:dyDescent="0.25">
      <c r="A193" s="19"/>
    </row>
    <row r="194" spans="1:1" ht="16.5" x14ac:dyDescent="0.25">
      <c r="A194" s="20"/>
    </row>
    <row r="195" spans="1:1" ht="16.5" x14ac:dyDescent="0.25">
      <c r="A195" s="20"/>
    </row>
    <row r="196" spans="1:1" ht="16.5" x14ac:dyDescent="0.25">
      <c r="A196" s="20"/>
    </row>
    <row r="197" spans="1:1" ht="16.5" x14ac:dyDescent="0.25">
      <c r="A197" s="20"/>
    </row>
    <row r="198" spans="1:1" x14ac:dyDescent="0.25">
      <c r="A198" s="21"/>
    </row>
    <row r="199" spans="1:1" ht="16.5" x14ac:dyDescent="0.25">
      <c r="A199" s="20"/>
    </row>
    <row r="200" spans="1:1" x14ac:dyDescent="0.25">
      <c r="A200" s="19"/>
    </row>
    <row r="201" spans="1:1" ht="16.5" x14ac:dyDescent="0.25">
      <c r="A201" s="20"/>
    </row>
    <row r="202" spans="1:1" ht="16.5" x14ac:dyDescent="0.25">
      <c r="A202" s="20"/>
    </row>
    <row r="203" spans="1:1" ht="16.5" x14ac:dyDescent="0.25">
      <c r="A203" s="20"/>
    </row>
    <row r="204" spans="1:1" ht="16.5" x14ac:dyDescent="0.25">
      <c r="A204" s="20"/>
    </row>
    <row r="205" spans="1:1" x14ac:dyDescent="0.25">
      <c r="A205" s="21"/>
    </row>
    <row r="206" spans="1:1" ht="16.5" x14ac:dyDescent="0.25">
      <c r="A206" s="20"/>
    </row>
    <row r="207" spans="1:1" x14ac:dyDescent="0.25">
      <c r="A207" s="19"/>
    </row>
    <row r="208" spans="1:1" ht="16.5" x14ac:dyDescent="0.25">
      <c r="A208" s="20"/>
    </row>
    <row r="209" spans="1:1" ht="16.5" x14ac:dyDescent="0.25">
      <c r="A209" s="20"/>
    </row>
    <row r="210" spans="1:1" ht="16.5" x14ac:dyDescent="0.25">
      <c r="A210" s="20"/>
    </row>
    <row r="211" spans="1:1" ht="16.5" x14ac:dyDescent="0.25">
      <c r="A211" s="20"/>
    </row>
    <row r="212" spans="1:1" x14ac:dyDescent="0.25">
      <c r="A212" s="21"/>
    </row>
    <row r="213" spans="1:1" ht="16.5" x14ac:dyDescent="0.25">
      <c r="A213" s="20"/>
    </row>
    <row r="214" spans="1:1" x14ac:dyDescent="0.25">
      <c r="A214" s="19"/>
    </row>
    <row r="215" spans="1:1" ht="16.5" x14ac:dyDescent="0.25">
      <c r="A215" s="20"/>
    </row>
    <row r="216" spans="1:1" ht="16.5" x14ac:dyDescent="0.25">
      <c r="A216" s="20"/>
    </row>
    <row r="217" spans="1:1" ht="16.5" x14ac:dyDescent="0.25">
      <c r="A217" s="20"/>
    </row>
    <row r="218" spans="1:1" ht="16.5" x14ac:dyDescent="0.25">
      <c r="A218" s="20"/>
    </row>
    <row r="219" spans="1:1" x14ac:dyDescent="0.25">
      <c r="A219" s="21"/>
    </row>
    <row r="220" spans="1:1" ht="16.5" x14ac:dyDescent="0.25">
      <c r="A220" s="20"/>
    </row>
    <row r="221" spans="1:1" x14ac:dyDescent="0.25">
      <c r="A221" s="19"/>
    </row>
    <row r="222" spans="1:1" ht="16.5" x14ac:dyDescent="0.25">
      <c r="A222" s="20"/>
    </row>
    <row r="223" spans="1:1" ht="16.5" x14ac:dyDescent="0.25">
      <c r="A223" s="20"/>
    </row>
    <row r="224" spans="1:1" ht="16.5" x14ac:dyDescent="0.25">
      <c r="A224" s="20"/>
    </row>
    <row r="225" spans="1:1" ht="16.5" x14ac:dyDescent="0.25">
      <c r="A225" s="20"/>
    </row>
    <row r="226" spans="1:1" x14ac:dyDescent="0.25">
      <c r="A226" s="21"/>
    </row>
    <row r="227" spans="1:1" ht="16.5" x14ac:dyDescent="0.25">
      <c r="A227" s="20"/>
    </row>
    <row r="228" spans="1:1" x14ac:dyDescent="0.25">
      <c r="A228" s="19"/>
    </row>
    <row r="229" spans="1:1" ht="16.5" x14ac:dyDescent="0.25">
      <c r="A229" s="20"/>
    </row>
    <row r="230" spans="1:1" ht="16.5" x14ac:dyDescent="0.25">
      <c r="A230" s="20"/>
    </row>
    <row r="231" spans="1:1" ht="16.5" x14ac:dyDescent="0.25">
      <c r="A231" s="20"/>
    </row>
    <row r="232" spans="1:1" ht="16.5" x14ac:dyDescent="0.25">
      <c r="A232" s="20"/>
    </row>
    <row r="233" spans="1:1" x14ac:dyDescent="0.25">
      <c r="A233" s="21"/>
    </row>
    <row r="234" spans="1:1" ht="16.5" x14ac:dyDescent="0.25">
      <c r="A234" s="20"/>
    </row>
    <row r="235" spans="1:1" x14ac:dyDescent="0.25">
      <c r="A235" s="19"/>
    </row>
    <row r="236" spans="1:1" ht="16.5" x14ac:dyDescent="0.25">
      <c r="A236" s="20"/>
    </row>
    <row r="237" spans="1:1" ht="16.5" x14ac:dyDescent="0.25">
      <c r="A237" s="20"/>
    </row>
    <row r="238" spans="1:1" ht="16.5" x14ac:dyDescent="0.25">
      <c r="A238" s="20"/>
    </row>
    <row r="239" spans="1:1" ht="16.5" x14ac:dyDescent="0.25">
      <c r="A239" s="20"/>
    </row>
    <row r="240" spans="1:1" x14ac:dyDescent="0.25">
      <c r="A240" s="21"/>
    </row>
    <row r="241" spans="1:1" ht="16.5" x14ac:dyDescent="0.25">
      <c r="A241" s="20"/>
    </row>
    <row r="242" spans="1:1" x14ac:dyDescent="0.25">
      <c r="A242" s="19"/>
    </row>
    <row r="243" spans="1:1" ht="16.5" x14ac:dyDescent="0.25">
      <c r="A243" s="20"/>
    </row>
    <row r="244" spans="1:1" ht="16.5" x14ac:dyDescent="0.25">
      <c r="A244" s="20"/>
    </row>
    <row r="245" spans="1:1" ht="16.5" x14ac:dyDescent="0.25">
      <c r="A245" s="20"/>
    </row>
    <row r="246" spans="1:1" ht="16.5" x14ac:dyDescent="0.25">
      <c r="A246" s="20"/>
    </row>
    <row r="247" spans="1:1" x14ac:dyDescent="0.25">
      <c r="A247" s="21"/>
    </row>
    <row r="248" spans="1:1" ht="16.5" x14ac:dyDescent="0.25">
      <c r="A248" s="20"/>
    </row>
    <row r="249" spans="1:1" x14ac:dyDescent="0.25">
      <c r="A249" s="19"/>
    </row>
    <row r="250" spans="1:1" ht="16.5" x14ac:dyDescent="0.25">
      <c r="A250" s="20"/>
    </row>
    <row r="251" spans="1:1" ht="16.5" x14ac:dyDescent="0.25">
      <c r="A251" s="20"/>
    </row>
    <row r="252" spans="1:1" ht="16.5" x14ac:dyDescent="0.25">
      <c r="A252" s="20"/>
    </row>
    <row r="253" spans="1:1" ht="16.5" x14ac:dyDescent="0.25">
      <c r="A253" s="20"/>
    </row>
    <row r="254" spans="1:1" x14ac:dyDescent="0.25">
      <c r="A254" s="21"/>
    </row>
    <row r="255" spans="1:1" ht="16.5" x14ac:dyDescent="0.25">
      <c r="A255" s="20"/>
    </row>
    <row r="256" spans="1:1" x14ac:dyDescent="0.25">
      <c r="A256" s="19"/>
    </row>
    <row r="257" spans="1:1" ht="16.5" x14ac:dyDescent="0.25">
      <c r="A257" s="20"/>
    </row>
    <row r="258" spans="1:1" ht="16.5" x14ac:dyDescent="0.25">
      <c r="A258" s="20"/>
    </row>
    <row r="259" spans="1:1" ht="16.5" x14ac:dyDescent="0.25">
      <c r="A259" s="20"/>
    </row>
    <row r="260" spans="1:1" ht="16.5" x14ac:dyDescent="0.25">
      <c r="A260" s="20"/>
    </row>
    <row r="261" spans="1:1" x14ac:dyDescent="0.25">
      <c r="A261" s="21"/>
    </row>
    <row r="262" spans="1:1" ht="16.5" x14ac:dyDescent="0.25">
      <c r="A262" s="20"/>
    </row>
    <row r="263" spans="1:1" x14ac:dyDescent="0.25">
      <c r="A263" s="19"/>
    </row>
    <row r="264" spans="1:1" ht="16.5" x14ac:dyDescent="0.25">
      <c r="A264" s="20"/>
    </row>
    <row r="265" spans="1:1" ht="16.5" x14ac:dyDescent="0.25">
      <c r="A265" s="20"/>
    </row>
    <row r="266" spans="1:1" ht="16.5" x14ac:dyDescent="0.25">
      <c r="A266" s="20"/>
    </row>
    <row r="267" spans="1:1" ht="16.5" x14ac:dyDescent="0.25">
      <c r="A267" s="20"/>
    </row>
    <row r="268" spans="1:1" x14ac:dyDescent="0.25">
      <c r="A268" s="21"/>
    </row>
    <row r="269" spans="1:1" ht="16.5" x14ac:dyDescent="0.25">
      <c r="A269" s="20"/>
    </row>
    <row r="270" spans="1:1" x14ac:dyDescent="0.25">
      <c r="A270" s="19"/>
    </row>
    <row r="271" spans="1:1" ht="16.5" x14ac:dyDescent="0.25">
      <c r="A271" s="20"/>
    </row>
    <row r="272" spans="1:1" ht="16.5" x14ac:dyDescent="0.25">
      <c r="A272" s="20"/>
    </row>
    <row r="273" spans="1:1" ht="16.5" x14ac:dyDescent="0.25">
      <c r="A273" s="20"/>
    </row>
    <row r="274" spans="1:1" ht="16.5" x14ac:dyDescent="0.25">
      <c r="A274" s="20"/>
    </row>
    <row r="275" spans="1:1" x14ac:dyDescent="0.25">
      <c r="A275" s="21"/>
    </row>
    <row r="276" spans="1:1" ht="16.5" x14ac:dyDescent="0.25">
      <c r="A276" s="20"/>
    </row>
    <row r="277" spans="1:1" x14ac:dyDescent="0.25">
      <c r="A277" s="19"/>
    </row>
    <row r="278" spans="1:1" ht="16.5" x14ac:dyDescent="0.25">
      <c r="A278" s="20"/>
    </row>
    <row r="279" spans="1:1" ht="16.5" x14ac:dyDescent="0.25">
      <c r="A279" s="20"/>
    </row>
    <row r="280" spans="1:1" ht="16.5" x14ac:dyDescent="0.25">
      <c r="A280" s="20"/>
    </row>
    <row r="281" spans="1:1" ht="16.5" x14ac:dyDescent="0.25">
      <c r="A281" s="20"/>
    </row>
    <row r="282" spans="1:1" x14ac:dyDescent="0.25">
      <c r="A282" s="21"/>
    </row>
    <row r="283" spans="1:1" ht="16.5" x14ac:dyDescent="0.25">
      <c r="A283" s="20"/>
    </row>
    <row r="284" spans="1:1" x14ac:dyDescent="0.25">
      <c r="A284" s="19"/>
    </row>
    <row r="285" spans="1:1" ht="16.5" x14ac:dyDescent="0.25">
      <c r="A285" s="20"/>
    </row>
    <row r="286" spans="1:1" ht="16.5" x14ac:dyDescent="0.25">
      <c r="A286" s="20"/>
    </row>
    <row r="287" spans="1:1" ht="16.5" x14ac:dyDescent="0.25">
      <c r="A287" s="20"/>
    </row>
    <row r="288" spans="1:1" ht="16.5" x14ac:dyDescent="0.25">
      <c r="A288" s="20"/>
    </row>
    <row r="289" spans="1:1" x14ac:dyDescent="0.25">
      <c r="A289" s="21"/>
    </row>
    <row r="290" spans="1:1" ht="16.5" x14ac:dyDescent="0.25">
      <c r="A290" s="20"/>
    </row>
    <row r="291" spans="1:1" x14ac:dyDescent="0.25">
      <c r="A291" s="19"/>
    </row>
    <row r="292" spans="1:1" ht="16.5" x14ac:dyDescent="0.25">
      <c r="A292" s="20"/>
    </row>
    <row r="293" spans="1:1" ht="16.5" x14ac:dyDescent="0.25">
      <c r="A293" s="20"/>
    </row>
    <row r="294" spans="1:1" ht="16.5" x14ac:dyDescent="0.25">
      <c r="A294" s="20"/>
    </row>
    <row r="295" spans="1:1" ht="16.5" x14ac:dyDescent="0.25">
      <c r="A295" s="20"/>
    </row>
    <row r="296" spans="1:1" x14ac:dyDescent="0.25">
      <c r="A296" s="21"/>
    </row>
    <row r="297" spans="1:1" ht="16.5" x14ac:dyDescent="0.25">
      <c r="A297" s="20"/>
    </row>
    <row r="298" spans="1:1" x14ac:dyDescent="0.25">
      <c r="A298" s="19"/>
    </row>
    <row r="299" spans="1:1" ht="16.5" x14ac:dyDescent="0.25">
      <c r="A299" s="20"/>
    </row>
    <row r="300" spans="1:1" ht="16.5" x14ac:dyDescent="0.25">
      <c r="A300" s="20"/>
    </row>
    <row r="301" spans="1:1" ht="16.5" x14ac:dyDescent="0.25">
      <c r="A301" s="20"/>
    </row>
    <row r="302" spans="1:1" ht="16.5" x14ac:dyDescent="0.25">
      <c r="A302" s="20"/>
    </row>
    <row r="303" spans="1:1" x14ac:dyDescent="0.25">
      <c r="A303" s="21"/>
    </row>
    <row r="304" spans="1:1" ht="16.5" x14ac:dyDescent="0.25">
      <c r="A304" s="20"/>
    </row>
    <row r="305" spans="1:1" x14ac:dyDescent="0.25">
      <c r="A305" s="19"/>
    </row>
    <row r="306" spans="1:1" ht="16.5" x14ac:dyDescent="0.25">
      <c r="A306" s="20"/>
    </row>
    <row r="307" spans="1:1" ht="16.5" x14ac:dyDescent="0.25">
      <c r="A307" s="20"/>
    </row>
    <row r="308" spans="1:1" ht="16.5" x14ac:dyDescent="0.25">
      <c r="A308" s="20"/>
    </row>
    <row r="309" spans="1:1" ht="16.5" x14ac:dyDescent="0.25">
      <c r="A309" s="20"/>
    </row>
    <row r="310" spans="1:1" ht="16.5" x14ac:dyDescent="0.25">
      <c r="A310" s="20"/>
    </row>
    <row r="311" spans="1:1" x14ac:dyDescent="0.25">
      <c r="A311" s="21"/>
    </row>
    <row r="312" spans="1:1" ht="16.5" x14ac:dyDescent="0.25">
      <c r="A312" s="20"/>
    </row>
    <row r="313" spans="1:1" x14ac:dyDescent="0.25">
      <c r="A313" s="19"/>
    </row>
    <row r="314" spans="1:1" ht="16.5" x14ac:dyDescent="0.25">
      <c r="A314" s="20"/>
    </row>
    <row r="315" spans="1:1" ht="16.5" x14ac:dyDescent="0.25">
      <c r="A315" s="20"/>
    </row>
    <row r="316" spans="1:1" ht="16.5" x14ac:dyDescent="0.25">
      <c r="A316" s="20"/>
    </row>
    <row r="317" spans="1:1" ht="16.5" x14ac:dyDescent="0.25">
      <c r="A317" s="20"/>
    </row>
    <row r="318" spans="1:1" x14ac:dyDescent="0.25">
      <c r="A318" s="21"/>
    </row>
    <row r="319" spans="1:1" ht="16.5" x14ac:dyDescent="0.25">
      <c r="A319" s="20"/>
    </row>
    <row r="320" spans="1:1" x14ac:dyDescent="0.25">
      <c r="A320" s="19"/>
    </row>
    <row r="321" spans="1:1" ht="16.5" x14ac:dyDescent="0.25">
      <c r="A321" s="20"/>
    </row>
    <row r="322" spans="1:1" ht="16.5" x14ac:dyDescent="0.25">
      <c r="A322" s="20"/>
    </row>
    <row r="323" spans="1:1" ht="16.5" x14ac:dyDescent="0.25">
      <c r="A323" s="20"/>
    </row>
    <row r="324" spans="1:1" ht="16.5" x14ac:dyDescent="0.25">
      <c r="A324" s="20"/>
    </row>
    <row r="325" spans="1:1" x14ac:dyDescent="0.25">
      <c r="A325" s="21"/>
    </row>
    <row r="326" spans="1:1" ht="16.5" x14ac:dyDescent="0.25">
      <c r="A326" s="20"/>
    </row>
    <row r="327" spans="1:1" x14ac:dyDescent="0.25">
      <c r="A327" s="19"/>
    </row>
    <row r="328" spans="1:1" ht="16.5" x14ac:dyDescent="0.25">
      <c r="A328" s="20"/>
    </row>
    <row r="329" spans="1:1" ht="16.5" x14ac:dyDescent="0.25">
      <c r="A329" s="20"/>
    </row>
    <row r="330" spans="1:1" ht="16.5" x14ac:dyDescent="0.25">
      <c r="A330" s="20"/>
    </row>
    <row r="331" spans="1:1" ht="16.5" x14ac:dyDescent="0.25">
      <c r="A331" s="20"/>
    </row>
    <row r="332" spans="1:1" x14ac:dyDescent="0.25">
      <c r="A332" s="21"/>
    </row>
    <row r="333" spans="1:1" ht="16.5" x14ac:dyDescent="0.25">
      <c r="A333" s="20"/>
    </row>
    <row r="334" spans="1:1" x14ac:dyDescent="0.25">
      <c r="A334" s="19"/>
    </row>
    <row r="335" spans="1:1" ht="16.5" x14ac:dyDescent="0.25">
      <c r="A335" s="20"/>
    </row>
    <row r="336" spans="1:1" ht="16.5" x14ac:dyDescent="0.25">
      <c r="A336" s="20"/>
    </row>
    <row r="337" spans="1:1" ht="16.5" x14ac:dyDescent="0.25">
      <c r="A337" s="20"/>
    </row>
    <row r="338" spans="1:1" ht="16.5" x14ac:dyDescent="0.25">
      <c r="A338" s="20"/>
    </row>
    <row r="339" spans="1:1" x14ac:dyDescent="0.25">
      <c r="A339" s="21"/>
    </row>
    <row r="340" spans="1:1" ht="16.5" x14ac:dyDescent="0.25">
      <c r="A340" s="20"/>
    </row>
    <row r="341" spans="1:1" x14ac:dyDescent="0.25">
      <c r="A341" s="19"/>
    </row>
    <row r="342" spans="1:1" ht="16.5" x14ac:dyDescent="0.25">
      <c r="A342" s="20"/>
    </row>
    <row r="343" spans="1:1" ht="16.5" x14ac:dyDescent="0.25">
      <c r="A343" s="20"/>
    </row>
    <row r="344" spans="1:1" ht="16.5" x14ac:dyDescent="0.25">
      <c r="A344" s="20"/>
    </row>
    <row r="345" spans="1:1" ht="16.5" x14ac:dyDescent="0.25">
      <c r="A345" s="20"/>
    </row>
    <row r="346" spans="1:1" x14ac:dyDescent="0.25">
      <c r="A346" s="21"/>
    </row>
    <row r="347" spans="1:1" ht="16.5" x14ac:dyDescent="0.25">
      <c r="A347" s="20"/>
    </row>
    <row r="348" spans="1:1" x14ac:dyDescent="0.25">
      <c r="A348" s="19"/>
    </row>
    <row r="349" spans="1:1" ht="16.5" x14ac:dyDescent="0.25">
      <c r="A349" s="20"/>
    </row>
    <row r="350" spans="1:1" ht="16.5" x14ac:dyDescent="0.25">
      <c r="A350" s="20"/>
    </row>
    <row r="351" spans="1:1" ht="16.5" x14ac:dyDescent="0.25">
      <c r="A351" s="20"/>
    </row>
    <row r="352" spans="1:1" ht="16.5" x14ac:dyDescent="0.25">
      <c r="A352" s="20"/>
    </row>
    <row r="353" spans="1:1" x14ac:dyDescent="0.25">
      <c r="A353" s="21"/>
    </row>
    <row r="354" spans="1:1" ht="16.5" x14ac:dyDescent="0.25">
      <c r="A354" s="20"/>
    </row>
    <row r="355" spans="1:1" x14ac:dyDescent="0.25">
      <c r="A355" s="19"/>
    </row>
    <row r="356" spans="1:1" ht="16.5" x14ac:dyDescent="0.25">
      <c r="A356" s="20"/>
    </row>
    <row r="357" spans="1:1" ht="16.5" x14ac:dyDescent="0.25">
      <c r="A357" s="20"/>
    </row>
    <row r="358" spans="1:1" ht="16.5" x14ac:dyDescent="0.25">
      <c r="A358" s="20"/>
    </row>
    <row r="359" spans="1:1" ht="16.5" x14ac:dyDescent="0.25">
      <c r="A359" s="20"/>
    </row>
    <row r="360" spans="1:1" x14ac:dyDescent="0.25">
      <c r="A360" s="21"/>
    </row>
    <row r="361" spans="1:1" ht="16.5" x14ac:dyDescent="0.25">
      <c r="A361" s="20"/>
    </row>
    <row r="362" spans="1:1" x14ac:dyDescent="0.25">
      <c r="A362" s="19"/>
    </row>
    <row r="363" spans="1:1" ht="16.5" x14ac:dyDescent="0.25">
      <c r="A363" s="20"/>
    </row>
    <row r="364" spans="1:1" ht="16.5" x14ac:dyDescent="0.25">
      <c r="A364" s="20"/>
    </row>
    <row r="365" spans="1:1" ht="16.5" x14ac:dyDescent="0.25">
      <c r="A365" s="20"/>
    </row>
    <row r="366" spans="1:1" ht="16.5" x14ac:dyDescent="0.25">
      <c r="A366" s="20"/>
    </row>
    <row r="367" spans="1:1" x14ac:dyDescent="0.25">
      <c r="A367" s="21"/>
    </row>
    <row r="368" spans="1:1" ht="16.5" x14ac:dyDescent="0.25">
      <c r="A368" s="20"/>
    </row>
    <row r="369" spans="1:1" x14ac:dyDescent="0.25">
      <c r="A369" s="19"/>
    </row>
    <row r="370" spans="1:1" ht="16.5" x14ac:dyDescent="0.25">
      <c r="A370" s="20"/>
    </row>
    <row r="371" spans="1:1" ht="16.5" x14ac:dyDescent="0.25">
      <c r="A371" s="20"/>
    </row>
    <row r="372" spans="1:1" ht="16.5" x14ac:dyDescent="0.25">
      <c r="A372" s="20"/>
    </row>
    <row r="373" spans="1:1" ht="16.5" x14ac:dyDescent="0.25">
      <c r="A373" s="20"/>
    </row>
    <row r="374" spans="1:1" x14ac:dyDescent="0.25">
      <c r="A374" s="21"/>
    </row>
    <row r="375" spans="1:1" ht="16.5" x14ac:dyDescent="0.25">
      <c r="A375" s="20"/>
    </row>
    <row r="376" spans="1:1" x14ac:dyDescent="0.25">
      <c r="A376" s="19"/>
    </row>
    <row r="377" spans="1:1" ht="16.5" x14ac:dyDescent="0.25">
      <c r="A377" s="20"/>
    </row>
    <row r="378" spans="1:1" ht="16.5" x14ac:dyDescent="0.25">
      <c r="A378" s="20"/>
    </row>
    <row r="379" spans="1:1" ht="16.5" x14ac:dyDescent="0.25">
      <c r="A379" s="20"/>
    </row>
    <row r="380" spans="1:1" ht="16.5" x14ac:dyDescent="0.25">
      <c r="A380" s="20"/>
    </row>
    <row r="381" spans="1:1" x14ac:dyDescent="0.25">
      <c r="A381" s="21"/>
    </row>
    <row r="382" spans="1:1" ht="16.5" x14ac:dyDescent="0.25">
      <c r="A382" s="20"/>
    </row>
    <row r="383" spans="1:1" x14ac:dyDescent="0.25">
      <c r="A383" s="19"/>
    </row>
    <row r="384" spans="1:1" ht="16.5" x14ac:dyDescent="0.25">
      <c r="A384" s="20"/>
    </row>
    <row r="385" spans="1:1" ht="16.5" x14ac:dyDescent="0.25">
      <c r="A385" s="20"/>
    </row>
    <row r="386" spans="1:1" ht="16.5" x14ac:dyDescent="0.25">
      <c r="A386" s="20"/>
    </row>
    <row r="387" spans="1:1" ht="16.5" x14ac:dyDescent="0.25">
      <c r="A387" s="20"/>
    </row>
    <row r="388" spans="1:1" x14ac:dyDescent="0.25">
      <c r="A388" s="21"/>
    </row>
    <row r="389" spans="1:1" ht="16.5" x14ac:dyDescent="0.25">
      <c r="A389" s="20"/>
    </row>
    <row r="390" spans="1:1" x14ac:dyDescent="0.25">
      <c r="A390" s="19"/>
    </row>
    <row r="391" spans="1:1" ht="16.5" x14ac:dyDescent="0.25">
      <c r="A391" s="20"/>
    </row>
    <row r="392" spans="1:1" ht="16.5" x14ac:dyDescent="0.25">
      <c r="A392" s="20"/>
    </row>
    <row r="393" spans="1:1" ht="16.5" x14ac:dyDescent="0.25">
      <c r="A393" s="20"/>
    </row>
    <row r="394" spans="1:1" ht="16.5" x14ac:dyDescent="0.25">
      <c r="A394" s="20"/>
    </row>
    <row r="395" spans="1:1" x14ac:dyDescent="0.25">
      <c r="A395" s="21"/>
    </row>
    <row r="396" spans="1:1" ht="16.5" x14ac:dyDescent="0.25">
      <c r="A396" s="20"/>
    </row>
    <row r="397" spans="1:1" x14ac:dyDescent="0.25">
      <c r="A397" s="19"/>
    </row>
    <row r="398" spans="1:1" ht="16.5" x14ac:dyDescent="0.25">
      <c r="A398" s="20"/>
    </row>
    <row r="399" spans="1:1" ht="16.5" x14ac:dyDescent="0.25">
      <c r="A399" s="20"/>
    </row>
    <row r="400" spans="1:1" ht="16.5" x14ac:dyDescent="0.25">
      <c r="A400" s="20"/>
    </row>
    <row r="401" spans="1:1" ht="16.5" x14ac:dyDescent="0.25">
      <c r="A401" s="20"/>
    </row>
    <row r="402" spans="1:1" x14ac:dyDescent="0.25">
      <c r="A402" s="21"/>
    </row>
    <row r="403" spans="1:1" ht="16.5" x14ac:dyDescent="0.25">
      <c r="A403" s="20"/>
    </row>
    <row r="404" spans="1:1" x14ac:dyDescent="0.25">
      <c r="A404" s="19"/>
    </row>
    <row r="405" spans="1:1" ht="16.5" x14ac:dyDescent="0.25">
      <c r="A405" s="20"/>
    </row>
    <row r="406" spans="1:1" ht="16.5" x14ac:dyDescent="0.25">
      <c r="A406" s="20"/>
    </row>
    <row r="407" spans="1:1" ht="16.5" x14ac:dyDescent="0.25">
      <c r="A407" s="20"/>
    </row>
    <row r="408" spans="1:1" ht="16.5" x14ac:dyDescent="0.25">
      <c r="A408" s="20"/>
    </row>
    <row r="409" spans="1:1" x14ac:dyDescent="0.25">
      <c r="A409" s="21"/>
    </row>
    <row r="410" spans="1:1" ht="16.5" x14ac:dyDescent="0.25">
      <c r="A410" s="20"/>
    </row>
    <row r="411" spans="1:1" x14ac:dyDescent="0.25">
      <c r="A411" s="19"/>
    </row>
    <row r="412" spans="1:1" ht="16.5" x14ac:dyDescent="0.25">
      <c r="A412" s="20"/>
    </row>
    <row r="413" spans="1:1" ht="16.5" x14ac:dyDescent="0.25">
      <c r="A413" s="20"/>
    </row>
    <row r="414" spans="1:1" ht="16.5" x14ac:dyDescent="0.25">
      <c r="A414" s="20"/>
    </row>
    <row r="415" spans="1:1" ht="16.5" x14ac:dyDescent="0.25">
      <c r="A415" s="20"/>
    </row>
    <row r="416" spans="1:1" x14ac:dyDescent="0.25">
      <c r="A416" s="21"/>
    </row>
    <row r="417" spans="1:1" ht="16.5" x14ac:dyDescent="0.25">
      <c r="A417" s="20"/>
    </row>
    <row r="418" spans="1:1" x14ac:dyDescent="0.25">
      <c r="A418" s="19"/>
    </row>
    <row r="419" spans="1:1" ht="16.5" x14ac:dyDescent="0.25">
      <c r="A419" s="20"/>
    </row>
    <row r="420" spans="1:1" ht="16.5" x14ac:dyDescent="0.25">
      <c r="A420" s="20"/>
    </row>
    <row r="421" spans="1:1" ht="16.5" x14ac:dyDescent="0.25">
      <c r="A421" s="20"/>
    </row>
    <row r="422" spans="1:1" ht="16.5" x14ac:dyDescent="0.25">
      <c r="A422" s="20"/>
    </row>
    <row r="423" spans="1:1" x14ac:dyDescent="0.25">
      <c r="A423" s="21"/>
    </row>
    <row r="424" spans="1:1" ht="16.5" x14ac:dyDescent="0.25">
      <c r="A424" s="20"/>
    </row>
    <row r="425" spans="1:1" x14ac:dyDescent="0.25">
      <c r="A425" s="19"/>
    </row>
    <row r="426" spans="1:1" ht="16.5" x14ac:dyDescent="0.25">
      <c r="A426" s="20"/>
    </row>
    <row r="427" spans="1:1" ht="16.5" x14ac:dyDescent="0.25">
      <c r="A427" s="20"/>
    </row>
    <row r="428" spans="1:1" ht="16.5" x14ac:dyDescent="0.25">
      <c r="A428" s="20"/>
    </row>
    <row r="429" spans="1:1" ht="16.5" x14ac:dyDescent="0.25">
      <c r="A429" s="20"/>
    </row>
    <row r="430" spans="1:1" x14ac:dyDescent="0.25">
      <c r="A430" s="21"/>
    </row>
    <row r="431" spans="1:1" ht="16.5" x14ac:dyDescent="0.25">
      <c r="A431" s="20"/>
    </row>
    <row r="432" spans="1:1" x14ac:dyDescent="0.25">
      <c r="A432" s="19"/>
    </row>
    <row r="433" spans="1:1" ht="16.5" x14ac:dyDescent="0.25">
      <c r="A433" s="20"/>
    </row>
    <row r="434" spans="1:1" ht="16.5" x14ac:dyDescent="0.25">
      <c r="A434" s="20"/>
    </row>
    <row r="435" spans="1:1" ht="16.5" x14ac:dyDescent="0.25">
      <c r="A435" s="20"/>
    </row>
    <row r="436" spans="1:1" ht="16.5" x14ac:dyDescent="0.25">
      <c r="A436" s="20"/>
    </row>
    <row r="437" spans="1:1" x14ac:dyDescent="0.25">
      <c r="A437" s="21"/>
    </row>
    <row r="438" spans="1:1" ht="16.5" x14ac:dyDescent="0.25">
      <c r="A438" s="20"/>
    </row>
    <row r="439" spans="1:1" x14ac:dyDescent="0.25">
      <c r="A439" s="19"/>
    </row>
    <row r="440" spans="1:1" ht="16.5" x14ac:dyDescent="0.25">
      <c r="A440" s="20"/>
    </row>
    <row r="441" spans="1:1" ht="16.5" x14ac:dyDescent="0.25">
      <c r="A441" s="20"/>
    </row>
    <row r="442" spans="1:1" ht="16.5" x14ac:dyDescent="0.25">
      <c r="A442" s="20"/>
    </row>
    <row r="443" spans="1:1" ht="16.5" x14ac:dyDescent="0.25">
      <c r="A443" s="20"/>
    </row>
    <row r="444" spans="1:1" x14ac:dyDescent="0.25">
      <c r="A444" s="21"/>
    </row>
    <row r="445" spans="1:1" ht="16.5" x14ac:dyDescent="0.25">
      <c r="A445" s="20"/>
    </row>
    <row r="446" spans="1:1" x14ac:dyDescent="0.25">
      <c r="A446" s="19"/>
    </row>
    <row r="447" spans="1:1" ht="16.5" x14ac:dyDescent="0.25">
      <c r="A447" s="20"/>
    </row>
    <row r="448" spans="1:1" ht="16.5" x14ac:dyDescent="0.25">
      <c r="A448" s="20"/>
    </row>
    <row r="449" spans="1:1" ht="16.5" x14ac:dyDescent="0.25">
      <c r="A449" s="20"/>
    </row>
    <row r="450" spans="1:1" ht="16.5" x14ac:dyDescent="0.25">
      <c r="A450" s="20"/>
    </row>
    <row r="451" spans="1:1" x14ac:dyDescent="0.25">
      <c r="A451" s="21"/>
    </row>
    <row r="452" spans="1:1" ht="16.5" x14ac:dyDescent="0.25">
      <c r="A452" s="20"/>
    </row>
    <row r="453" spans="1:1" x14ac:dyDescent="0.25">
      <c r="A453" s="19"/>
    </row>
    <row r="454" spans="1:1" ht="16.5" x14ac:dyDescent="0.25">
      <c r="A454" s="20"/>
    </row>
    <row r="455" spans="1:1" ht="16.5" x14ac:dyDescent="0.25">
      <c r="A455" s="20"/>
    </row>
    <row r="456" spans="1:1" ht="16.5" x14ac:dyDescent="0.25">
      <c r="A456" s="20"/>
    </row>
    <row r="457" spans="1:1" ht="16.5" x14ac:dyDescent="0.25">
      <c r="A457" s="20"/>
    </row>
    <row r="458" spans="1:1" x14ac:dyDescent="0.25">
      <c r="A458" s="21"/>
    </row>
    <row r="459" spans="1:1" ht="16.5" x14ac:dyDescent="0.25">
      <c r="A459" s="20"/>
    </row>
    <row r="460" spans="1:1" x14ac:dyDescent="0.25">
      <c r="A460" s="19"/>
    </row>
    <row r="461" spans="1:1" ht="16.5" x14ac:dyDescent="0.25">
      <c r="A461" s="20"/>
    </row>
    <row r="462" spans="1:1" ht="16.5" x14ac:dyDescent="0.25">
      <c r="A462" s="20"/>
    </row>
    <row r="463" spans="1:1" ht="16.5" x14ac:dyDescent="0.25">
      <c r="A463" s="20"/>
    </row>
    <row r="464" spans="1:1" ht="16.5" x14ac:dyDescent="0.25">
      <c r="A464" s="20"/>
    </row>
    <row r="465" spans="1:1" x14ac:dyDescent="0.25">
      <c r="A465" s="21"/>
    </row>
    <row r="466" spans="1:1" ht="16.5" x14ac:dyDescent="0.25">
      <c r="A466" s="20"/>
    </row>
    <row r="467" spans="1:1" x14ac:dyDescent="0.25">
      <c r="A467" s="19"/>
    </row>
    <row r="468" spans="1:1" ht="16.5" x14ac:dyDescent="0.25">
      <c r="A468" s="20"/>
    </row>
    <row r="469" spans="1:1" ht="16.5" x14ac:dyDescent="0.25">
      <c r="A469" s="20"/>
    </row>
    <row r="470" spans="1:1" ht="16.5" x14ac:dyDescent="0.25">
      <c r="A470" s="20"/>
    </row>
    <row r="471" spans="1:1" ht="16.5" x14ac:dyDescent="0.25">
      <c r="A471" s="20"/>
    </row>
    <row r="472" spans="1:1" x14ac:dyDescent="0.25">
      <c r="A472" s="21"/>
    </row>
    <row r="473" spans="1:1" ht="16.5" x14ac:dyDescent="0.25">
      <c r="A473" s="20"/>
    </row>
    <row r="474" spans="1:1" x14ac:dyDescent="0.25">
      <c r="A474" s="19"/>
    </row>
    <row r="475" spans="1:1" ht="16.5" x14ac:dyDescent="0.25">
      <c r="A475" s="20"/>
    </row>
    <row r="476" spans="1:1" ht="16.5" x14ac:dyDescent="0.25">
      <c r="A476" s="20"/>
    </row>
    <row r="477" spans="1:1" ht="16.5" x14ac:dyDescent="0.25">
      <c r="A477" s="20"/>
    </row>
    <row r="478" spans="1:1" ht="16.5" x14ac:dyDescent="0.25">
      <c r="A478" s="20"/>
    </row>
    <row r="479" spans="1:1" x14ac:dyDescent="0.25">
      <c r="A479" s="21"/>
    </row>
    <row r="480" spans="1:1" ht="16.5" x14ac:dyDescent="0.25">
      <c r="A480" s="20"/>
    </row>
    <row r="481" spans="1:1" x14ac:dyDescent="0.25">
      <c r="A481" s="19"/>
    </row>
    <row r="482" spans="1:1" ht="16.5" x14ac:dyDescent="0.25">
      <c r="A482" s="20"/>
    </row>
    <row r="483" spans="1:1" ht="16.5" x14ac:dyDescent="0.25">
      <c r="A483" s="20"/>
    </row>
    <row r="484" spans="1:1" ht="16.5" x14ac:dyDescent="0.25">
      <c r="A484" s="20"/>
    </row>
    <row r="485" spans="1:1" ht="16.5" x14ac:dyDescent="0.25">
      <c r="A485" s="20"/>
    </row>
    <row r="486" spans="1:1" x14ac:dyDescent="0.25">
      <c r="A486" s="21"/>
    </row>
    <row r="487" spans="1:1" ht="16.5" x14ac:dyDescent="0.25">
      <c r="A487" s="20"/>
    </row>
    <row r="488" spans="1:1" x14ac:dyDescent="0.25">
      <c r="A488" s="19"/>
    </row>
    <row r="489" spans="1:1" ht="16.5" x14ac:dyDescent="0.25">
      <c r="A489" s="20"/>
    </row>
    <row r="490" spans="1:1" ht="16.5" x14ac:dyDescent="0.25">
      <c r="A490" s="20"/>
    </row>
    <row r="491" spans="1:1" ht="16.5" x14ac:dyDescent="0.25">
      <c r="A491" s="20"/>
    </row>
    <row r="492" spans="1:1" ht="16.5" x14ac:dyDescent="0.25">
      <c r="A492" s="20"/>
    </row>
    <row r="493" spans="1:1" x14ac:dyDescent="0.25">
      <c r="A493" s="21"/>
    </row>
    <row r="494" spans="1:1" ht="16.5" x14ac:dyDescent="0.25">
      <c r="A494" s="20"/>
    </row>
    <row r="495" spans="1:1" x14ac:dyDescent="0.25">
      <c r="A495" s="19"/>
    </row>
    <row r="496" spans="1:1" ht="16.5" x14ac:dyDescent="0.25">
      <c r="A496" s="20"/>
    </row>
    <row r="497" spans="1:1" ht="16.5" x14ac:dyDescent="0.25">
      <c r="A497" s="20"/>
    </row>
    <row r="498" spans="1:1" ht="16.5" x14ac:dyDescent="0.25">
      <c r="A498" s="20"/>
    </row>
    <row r="499" spans="1:1" ht="16.5" x14ac:dyDescent="0.25">
      <c r="A499" s="20"/>
    </row>
    <row r="500" spans="1:1" x14ac:dyDescent="0.25">
      <c r="A500" s="21"/>
    </row>
    <row r="501" spans="1:1" ht="16.5" x14ac:dyDescent="0.25">
      <c r="A501" s="20"/>
    </row>
    <row r="502" spans="1:1" x14ac:dyDescent="0.25">
      <c r="A502" s="19"/>
    </row>
    <row r="503" spans="1:1" ht="16.5" x14ac:dyDescent="0.25">
      <c r="A503" s="20"/>
    </row>
    <row r="504" spans="1:1" ht="16.5" x14ac:dyDescent="0.25">
      <c r="A504" s="20"/>
    </row>
    <row r="505" spans="1:1" ht="16.5" x14ac:dyDescent="0.25">
      <c r="A505" s="20"/>
    </row>
    <row r="506" spans="1:1" ht="16.5" x14ac:dyDescent="0.25">
      <c r="A506" s="20"/>
    </row>
    <row r="507" spans="1:1" x14ac:dyDescent="0.25">
      <c r="A507" s="21"/>
    </row>
    <row r="508" spans="1:1" ht="16.5" x14ac:dyDescent="0.25">
      <c r="A508" s="20"/>
    </row>
    <row r="509" spans="1:1" x14ac:dyDescent="0.25">
      <c r="A509" s="19"/>
    </row>
    <row r="510" spans="1:1" ht="16.5" x14ac:dyDescent="0.25">
      <c r="A510" s="20"/>
    </row>
    <row r="511" spans="1:1" ht="16.5" x14ac:dyDescent="0.25">
      <c r="A511" s="20"/>
    </row>
    <row r="512" spans="1:1" ht="16.5" x14ac:dyDescent="0.25">
      <c r="A512" s="20"/>
    </row>
    <row r="513" spans="1:1" ht="16.5" x14ac:dyDescent="0.25">
      <c r="A513" s="20"/>
    </row>
    <row r="514" spans="1:1" x14ac:dyDescent="0.25">
      <c r="A514" s="21"/>
    </row>
    <row r="515" spans="1:1" ht="16.5" x14ac:dyDescent="0.25">
      <c r="A515" s="20"/>
    </row>
    <row r="516" spans="1:1" x14ac:dyDescent="0.25">
      <c r="A516" s="19"/>
    </row>
    <row r="517" spans="1:1" ht="16.5" x14ac:dyDescent="0.25">
      <c r="A517" s="20"/>
    </row>
    <row r="518" spans="1:1" ht="16.5" x14ac:dyDescent="0.25">
      <c r="A518" s="20"/>
    </row>
    <row r="519" spans="1:1" ht="16.5" x14ac:dyDescent="0.25">
      <c r="A519" s="20"/>
    </row>
    <row r="520" spans="1:1" ht="16.5" x14ac:dyDescent="0.25">
      <c r="A520" s="20"/>
    </row>
    <row r="521" spans="1:1" x14ac:dyDescent="0.25">
      <c r="A521" s="21"/>
    </row>
    <row r="522" spans="1:1" ht="16.5" x14ac:dyDescent="0.25">
      <c r="A522" s="20"/>
    </row>
    <row r="523" spans="1:1" x14ac:dyDescent="0.25">
      <c r="A523" s="19"/>
    </row>
    <row r="524" spans="1:1" ht="16.5" x14ac:dyDescent="0.25">
      <c r="A524" s="20"/>
    </row>
    <row r="525" spans="1:1" ht="16.5" x14ac:dyDescent="0.25">
      <c r="A525" s="20"/>
    </row>
    <row r="526" spans="1:1" ht="16.5" x14ac:dyDescent="0.25">
      <c r="A526" s="20"/>
    </row>
    <row r="527" spans="1:1" ht="16.5" x14ac:dyDescent="0.25">
      <c r="A527" s="20"/>
    </row>
    <row r="528" spans="1:1" x14ac:dyDescent="0.25">
      <c r="A528" s="21"/>
    </row>
    <row r="529" spans="1:1" ht="16.5" x14ac:dyDescent="0.25">
      <c r="A529" s="20"/>
    </row>
    <row r="530" spans="1:1" x14ac:dyDescent="0.25">
      <c r="A530" s="19"/>
    </row>
    <row r="531" spans="1:1" ht="16.5" x14ac:dyDescent="0.25">
      <c r="A531" s="20"/>
    </row>
    <row r="532" spans="1:1" ht="16.5" x14ac:dyDescent="0.25">
      <c r="A532" s="20"/>
    </row>
    <row r="533" spans="1:1" ht="16.5" x14ac:dyDescent="0.25">
      <c r="A533" s="20"/>
    </row>
    <row r="534" spans="1:1" ht="16.5" x14ac:dyDescent="0.25">
      <c r="A534" s="20"/>
    </row>
    <row r="535" spans="1:1" x14ac:dyDescent="0.25">
      <c r="A535" s="21"/>
    </row>
    <row r="536" spans="1:1" ht="16.5" x14ac:dyDescent="0.25">
      <c r="A536" s="20"/>
    </row>
    <row r="537" spans="1:1" x14ac:dyDescent="0.25">
      <c r="A537" s="19"/>
    </row>
    <row r="538" spans="1:1" ht="16.5" x14ac:dyDescent="0.25">
      <c r="A538" s="20"/>
    </row>
    <row r="539" spans="1:1" ht="16.5" x14ac:dyDescent="0.25">
      <c r="A539" s="20"/>
    </row>
    <row r="540" spans="1:1" ht="16.5" x14ac:dyDescent="0.25">
      <c r="A540" s="20"/>
    </row>
    <row r="541" spans="1:1" ht="16.5" x14ac:dyDescent="0.25">
      <c r="A541" s="20"/>
    </row>
    <row r="542" spans="1:1" x14ac:dyDescent="0.25">
      <c r="A542" s="21"/>
    </row>
    <row r="543" spans="1:1" ht="16.5" x14ac:dyDescent="0.25">
      <c r="A543" s="20"/>
    </row>
    <row r="544" spans="1:1" x14ac:dyDescent="0.25">
      <c r="A544" s="19"/>
    </row>
    <row r="545" spans="1:1" ht="16.5" x14ac:dyDescent="0.25">
      <c r="A545" s="20"/>
    </row>
    <row r="546" spans="1:1" ht="16.5" x14ac:dyDescent="0.25">
      <c r="A546" s="20"/>
    </row>
    <row r="547" spans="1:1" ht="16.5" x14ac:dyDescent="0.25">
      <c r="A547" s="20"/>
    </row>
    <row r="548" spans="1:1" ht="16.5" x14ac:dyDescent="0.25">
      <c r="A548" s="20"/>
    </row>
    <row r="549" spans="1:1" x14ac:dyDescent="0.25">
      <c r="A549" s="21"/>
    </row>
    <row r="550" spans="1:1" ht="16.5" x14ac:dyDescent="0.25">
      <c r="A550" s="20"/>
    </row>
    <row r="551" spans="1:1" x14ac:dyDescent="0.25">
      <c r="A551" s="19"/>
    </row>
    <row r="552" spans="1:1" ht="16.5" x14ac:dyDescent="0.25">
      <c r="A552" s="20"/>
    </row>
    <row r="553" spans="1:1" ht="16.5" x14ac:dyDescent="0.25">
      <c r="A553" s="20"/>
    </row>
    <row r="554" spans="1:1" ht="16.5" x14ac:dyDescent="0.25">
      <c r="A554" s="20"/>
    </row>
    <row r="555" spans="1:1" ht="16.5" x14ac:dyDescent="0.25">
      <c r="A555" s="20"/>
    </row>
    <row r="556" spans="1:1" x14ac:dyDescent="0.25">
      <c r="A556" s="21"/>
    </row>
    <row r="557" spans="1:1" ht="16.5" x14ac:dyDescent="0.25">
      <c r="A557" s="20"/>
    </row>
    <row r="558" spans="1:1" x14ac:dyDescent="0.25">
      <c r="A558" s="22"/>
    </row>
    <row r="559" spans="1:1" ht="16.5" x14ac:dyDescent="0.25">
      <c r="A559" s="20"/>
    </row>
    <row r="560" spans="1:1" ht="16.5" x14ac:dyDescent="0.25">
      <c r="A560" s="20"/>
    </row>
    <row r="561" spans="1:1" ht="16.5" x14ac:dyDescent="0.25">
      <c r="A561" s="20"/>
    </row>
    <row r="562" spans="1:1" ht="16.5" x14ac:dyDescent="0.25">
      <c r="A562" s="20"/>
    </row>
    <row r="563" spans="1:1" x14ac:dyDescent="0.25">
      <c r="A563" s="21"/>
    </row>
    <row r="564" spans="1:1" ht="16.5" x14ac:dyDescent="0.25">
      <c r="A564" s="20"/>
    </row>
    <row r="565" spans="1:1" x14ac:dyDescent="0.25">
      <c r="A565" s="19"/>
    </row>
    <row r="566" spans="1:1" ht="16.5" x14ac:dyDescent="0.25">
      <c r="A566" s="20"/>
    </row>
    <row r="567" spans="1:1" ht="16.5" x14ac:dyDescent="0.25">
      <c r="A567" s="20"/>
    </row>
    <row r="568" spans="1:1" ht="16.5" x14ac:dyDescent="0.25">
      <c r="A568" s="20"/>
    </row>
    <row r="569" spans="1:1" ht="16.5" x14ac:dyDescent="0.25">
      <c r="A569" s="20"/>
    </row>
    <row r="570" spans="1:1" x14ac:dyDescent="0.25">
      <c r="A570" s="21"/>
    </row>
    <row r="571" spans="1:1" ht="16.5" x14ac:dyDescent="0.25">
      <c r="A571" s="20"/>
    </row>
    <row r="572" spans="1:1" x14ac:dyDescent="0.25">
      <c r="A572" s="19"/>
    </row>
    <row r="573" spans="1:1" ht="16.5" x14ac:dyDescent="0.25">
      <c r="A573" s="20"/>
    </row>
    <row r="574" spans="1:1" ht="16.5" x14ac:dyDescent="0.25">
      <c r="A574" s="20"/>
    </row>
    <row r="575" spans="1:1" ht="16.5" x14ac:dyDescent="0.25">
      <c r="A575" s="20"/>
    </row>
    <row r="576" spans="1:1" ht="16.5" x14ac:dyDescent="0.25">
      <c r="A576" s="20"/>
    </row>
    <row r="577" spans="1:1" x14ac:dyDescent="0.25">
      <c r="A577" s="21"/>
    </row>
    <row r="578" spans="1:1" ht="16.5" x14ac:dyDescent="0.25">
      <c r="A578" s="20"/>
    </row>
    <row r="579" spans="1:1" x14ac:dyDescent="0.25">
      <c r="A579" s="19"/>
    </row>
    <row r="580" spans="1:1" ht="16.5" x14ac:dyDescent="0.25">
      <c r="A580" s="20"/>
    </row>
    <row r="581" spans="1:1" ht="16.5" x14ac:dyDescent="0.25">
      <c r="A581" s="20"/>
    </row>
    <row r="582" spans="1:1" ht="16.5" x14ac:dyDescent="0.25">
      <c r="A582" s="20"/>
    </row>
    <row r="583" spans="1:1" ht="16.5" x14ac:dyDescent="0.25">
      <c r="A583" s="20"/>
    </row>
    <row r="584" spans="1:1" x14ac:dyDescent="0.25">
      <c r="A584" s="21"/>
    </row>
    <row r="585" spans="1:1" ht="16.5" x14ac:dyDescent="0.25">
      <c r="A585" s="20"/>
    </row>
    <row r="586" spans="1:1" x14ac:dyDescent="0.25">
      <c r="A586" s="19"/>
    </row>
    <row r="587" spans="1:1" ht="16.5" x14ac:dyDescent="0.25">
      <c r="A587" s="20"/>
    </row>
    <row r="588" spans="1:1" ht="16.5" x14ac:dyDescent="0.25">
      <c r="A588" s="20"/>
    </row>
    <row r="589" spans="1:1" ht="16.5" x14ac:dyDescent="0.25">
      <c r="A589" s="20"/>
    </row>
    <row r="590" spans="1:1" ht="16.5" x14ac:dyDescent="0.25">
      <c r="A590" s="20"/>
    </row>
    <row r="591" spans="1:1" x14ac:dyDescent="0.25">
      <c r="A591" s="21"/>
    </row>
    <row r="592" spans="1:1" ht="16.5" x14ac:dyDescent="0.25">
      <c r="A592" s="20"/>
    </row>
    <row r="593" spans="1:1" x14ac:dyDescent="0.25">
      <c r="A593" s="19"/>
    </row>
    <row r="594" spans="1:1" ht="16.5" x14ac:dyDescent="0.25">
      <c r="A594" s="20"/>
    </row>
    <row r="595" spans="1:1" ht="16.5" x14ac:dyDescent="0.25">
      <c r="A595" s="20"/>
    </row>
    <row r="596" spans="1:1" ht="16.5" x14ac:dyDescent="0.25">
      <c r="A596" s="20"/>
    </row>
    <row r="597" spans="1:1" ht="16.5" x14ac:dyDescent="0.25">
      <c r="A597" s="20"/>
    </row>
    <row r="598" spans="1:1" x14ac:dyDescent="0.25">
      <c r="A598" s="21"/>
    </row>
    <row r="599" spans="1:1" ht="16.5" x14ac:dyDescent="0.25">
      <c r="A599" s="20"/>
    </row>
    <row r="600" spans="1:1" x14ac:dyDescent="0.25">
      <c r="A600" s="19"/>
    </row>
    <row r="601" spans="1:1" ht="16.5" x14ac:dyDescent="0.25">
      <c r="A601" s="20"/>
    </row>
    <row r="602" spans="1:1" ht="16.5" x14ac:dyDescent="0.25">
      <c r="A602" s="20"/>
    </row>
    <row r="603" spans="1:1" ht="16.5" x14ac:dyDescent="0.25">
      <c r="A603" s="20"/>
    </row>
    <row r="604" spans="1:1" ht="16.5" x14ac:dyDescent="0.25">
      <c r="A604" s="20"/>
    </row>
    <row r="605" spans="1:1" x14ac:dyDescent="0.25">
      <c r="A605" s="21"/>
    </row>
    <row r="606" spans="1:1" ht="16.5" x14ac:dyDescent="0.25">
      <c r="A606" s="20"/>
    </row>
    <row r="607" spans="1:1" x14ac:dyDescent="0.25">
      <c r="A607" s="19"/>
    </row>
    <row r="608" spans="1:1" ht="16.5" x14ac:dyDescent="0.25">
      <c r="A608" s="20"/>
    </row>
    <row r="609" spans="1:1" ht="16.5" x14ac:dyDescent="0.25">
      <c r="A609" s="20"/>
    </row>
    <row r="610" spans="1:1" ht="16.5" x14ac:dyDescent="0.25">
      <c r="A610" s="20"/>
    </row>
    <row r="611" spans="1:1" ht="16.5" x14ac:dyDescent="0.25">
      <c r="A611" s="20"/>
    </row>
    <row r="612" spans="1:1" x14ac:dyDescent="0.25">
      <c r="A612" s="21"/>
    </row>
    <row r="613" spans="1:1" ht="16.5" x14ac:dyDescent="0.25">
      <c r="A613" s="20"/>
    </row>
    <row r="614" spans="1:1" x14ac:dyDescent="0.25">
      <c r="A614" s="19"/>
    </row>
    <row r="615" spans="1:1" ht="16.5" x14ac:dyDescent="0.25">
      <c r="A615" s="20"/>
    </row>
    <row r="616" spans="1:1" ht="16.5" x14ac:dyDescent="0.25">
      <c r="A616" s="20"/>
    </row>
    <row r="617" spans="1:1" ht="16.5" x14ac:dyDescent="0.25">
      <c r="A617" s="20"/>
    </row>
    <row r="618" spans="1:1" ht="16.5" x14ac:dyDescent="0.25">
      <c r="A618" s="20"/>
    </row>
    <row r="619" spans="1:1" x14ac:dyDescent="0.25">
      <c r="A619" s="21"/>
    </row>
    <row r="620" spans="1:1" ht="16.5" x14ac:dyDescent="0.25">
      <c r="A620" s="20"/>
    </row>
    <row r="621" spans="1:1" x14ac:dyDescent="0.25">
      <c r="A621" s="19"/>
    </row>
    <row r="622" spans="1:1" ht="16.5" x14ac:dyDescent="0.25">
      <c r="A622" s="20"/>
    </row>
    <row r="623" spans="1:1" ht="16.5" x14ac:dyDescent="0.25">
      <c r="A623" s="20"/>
    </row>
    <row r="624" spans="1:1" ht="16.5" x14ac:dyDescent="0.25">
      <c r="A624" s="20"/>
    </row>
    <row r="625" spans="1:1" ht="16.5" x14ac:dyDescent="0.25">
      <c r="A625" s="20"/>
    </row>
    <row r="626" spans="1:1" x14ac:dyDescent="0.25">
      <c r="A626" s="21"/>
    </row>
    <row r="627" spans="1:1" ht="16.5" x14ac:dyDescent="0.25">
      <c r="A627" s="20"/>
    </row>
    <row r="628" spans="1:1" x14ac:dyDescent="0.25">
      <c r="A628" s="19"/>
    </row>
    <row r="629" spans="1:1" ht="16.5" x14ac:dyDescent="0.25">
      <c r="A629" s="20"/>
    </row>
    <row r="630" spans="1:1" ht="16.5" x14ac:dyDescent="0.25">
      <c r="A630" s="20"/>
    </row>
    <row r="631" spans="1:1" ht="16.5" x14ac:dyDescent="0.25">
      <c r="A631" s="20"/>
    </row>
    <row r="632" spans="1:1" ht="16.5" x14ac:dyDescent="0.25">
      <c r="A632" s="20"/>
    </row>
    <row r="633" spans="1:1" x14ac:dyDescent="0.25">
      <c r="A633" s="21"/>
    </row>
    <row r="634" spans="1:1" ht="16.5" x14ac:dyDescent="0.25">
      <c r="A634" s="20"/>
    </row>
    <row r="635" spans="1:1" x14ac:dyDescent="0.25">
      <c r="A635" s="19"/>
    </row>
    <row r="636" spans="1:1" ht="16.5" x14ac:dyDescent="0.25">
      <c r="A636" s="20"/>
    </row>
    <row r="637" spans="1:1" ht="16.5" x14ac:dyDescent="0.25">
      <c r="A637" s="20"/>
    </row>
    <row r="638" spans="1:1" ht="16.5" x14ac:dyDescent="0.25">
      <c r="A638" s="20"/>
    </row>
    <row r="639" spans="1:1" ht="16.5" x14ac:dyDescent="0.25">
      <c r="A639" s="20"/>
    </row>
    <row r="640" spans="1:1" x14ac:dyDescent="0.25">
      <c r="A640" s="21"/>
    </row>
    <row r="641" spans="1:1" ht="16.5" x14ac:dyDescent="0.25">
      <c r="A641" s="20"/>
    </row>
    <row r="642" spans="1:1" x14ac:dyDescent="0.25">
      <c r="A642" s="19"/>
    </row>
    <row r="643" spans="1:1" ht="16.5" x14ac:dyDescent="0.25">
      <c r="A643" s="20"/>
    </row>
    <row r="644" spans="1:1" ht="16.5" x14ac:dyDescent="0.25">
      <c r="A644" s="20"/>
    </row>
    <row r="645" spans="1:1" ht="16.5" x14ac:dyDescent="0.25">
      <c r="A645" s="20"/>
    </row>
    <row r="646" spans="1:1" ht="16.5" x14ac:dyDescent="0.25">
      <c r="A646" s="20"/>
    </row>
    <row r="647" spans="1:1" x14ac:dyDescent="0.25">
      <c r="A647" s="21"/>
    </row>
    <row r="648" spans="1:1" ht="16.5" x14ac:dyDescent="0.25">
      <c r="A648" s="20"/>
    </row>
    <row r="649" spans="1:1" x14ac:dyDescent="0.25">
      <c r="A649" s="19"/>
    </row>
    <row r="650" spans="1:1" ht="16.5" x14ac:dyDescent="0.25">
      <c r="A650" s="20"/>
    </row>
    <row r="651" spans="1:1" ht="16.5" x14ac:dyDescent="0.25">
      <c r="A651" s="20"/>
    </row>
    <row r="652" spans="1:1" ht="16.5" x14ac:dyDescent="0.25">
      <c r="A652" s="20"/>
    </row>
    <row r="653" spans="1:1" ht="16.5" x14ac:dyDescent="0.25">
      <c r="A653" s="20"/>
    </row>
    <row r="654" spans="1:1" x14ac:dyDescent="0.25">
      <c r="A654" s="21"/>
    </row>
    <row r="655" spans="1:1" ht="16.5" x14ac:dyDescent="0.25">
      <c r="A655" s="20"/>
    </row>
    <row r="656" spans="1:1" x14ac:dyDescent="0.25">
      <c r="A656" s="19"/>
    </row>
    <row r="657" spans="1:1" ht="16.5" x14ac:dyDescent="0.25">
      <c r="A657" s="20"/>
    </row>
    <row r="658" spans="1:1" ht="16.5" x14ac:dyDescent="0.25">
      <c r="A658" s="20"/>
    </row>
    <row r="659" spans="1:1" ht="16.5" x14ac:dyDescent="0.25">
      <c r="A659" s="20"/>
    </row>
    <row r="660" spans="1:1" ht="16.5" x14ac:dyDescent="0.25">
      <c r="A660" s="20"/>
    </row>
    <row r="661" spans="1:1" x14ac:dyDescent="0.25">
      <c r="A661" s="21"/>
    </row>
    <row r="662" spans="1:1" ht="16.5" x14ac:dyDescent="0.25">
      <c r="A662" s="20"/>
    </row>
    <row r="663" spans="1:1" x14ac:dyDescent="0.25">
      <c r="A663" s="19"/>
    </row>
    <row r="664" spans="1:1" ht="16.5" x14ac:dyDescent="0.25">
      <c r="A664" s="20"/>
    </row>
    <row r="665" spans="1:1" ht="16.5" x14ac:dyDescent="0.25">
      <c r="A665" s="20"/>
    </row>
    <row r="666" spans="1:1" ht="16.5" x14ac:dyDescent="0.25">
      <c r="A666" s="20"/>
    </row>
    <row r="667" spans="1:1" ht="16.5" x14ac:dyDescent="0.25">
      <c r="A667" s="20"/>
    </row>
    <row r="668" spans="1:1" x14ac:dyDescent="0.25">
      <c r="A668" s="21"/>
    </row>
    <row r="669" spans="1:1" ht="16.5" x14ac:dyDescent="0.25">
      <c r="A669" s="20"/>
    </row>
    <row r="670" spans="1:1" x14ac:dyDescent="0.25">
      <c r="A670" s="19"/>
    </row>
    <row r="671" spans="1:1" ht="16.5" x14ac:dyDescent="0.25">
      <c r="A671" s="20"/>
    </row>
    <row r="672" spans="1:1" ht="16.5" x14ac:dyDescent="0.25">
      <c r="A672" s="20"/>
    </row>
    <row r="673" spans="1:1" ht="16.5" x14ac:dyDescent="0.25">
      <c r="A673" s="20"/>
    </row>
    <row r="674" spans="1:1" ht="16.5" x14ac:dyDescent="0.25">
      <c r="A674" s="20"/>
    </row>
    <row r="675" spans="1:1" x14ac:dyDescent="0.25">
      <c r="A675" s="21"/>
    </row>
    <row r="676" spans="1:1" ht="16.5" x14ac:dyDescent="0.25">
      <c r="A676" s="20"/>
    </row>
    <row r="677" spans="1:1" x14ac:dyDescent="0.25">
      <c r="A677" s="19"/>
    </row>
    <row r="678" spans="1:1" ht="16.5" x14ac:dyDescent="0.25">
      <c r="A678" s="20"/>
    </row>
    <row r="679" spans="1:1" ht="16.5" x14ac:dyDescent="0.25">
      <c r="A679" s="20"/>
    </row>
    <row r="680" spans="1:1" ht="16.5" x14ac:dyDescent="0.25">
      <c r="A680" s="20"/>
    </row>
    <row r="681" spans="1:1" ht="16.5" x14ac:dyDescent="0.25">
      <c r="A681" s="20"/>
    </row>
    <row r="682" spans="1:1" x14ac:dyDescent="0.25">
      <c r="A682" s="21"/>
    </row>
    <row r="683" spans="1:1" ht="16.5" x14ac:dyDescent="0.25">
      <c r="A683" s="20"/>
    </row>
    <row r="684" spans="1:1" x14ac:dyDescent="0.25">
      <c r="A684" s="19"/>
    </row>
    <row r="685" spans="1:1" ht="16.5" x14ac:dyDescent="0.25">
      <c r="A685" s="20"/>
    </row>
    <row r="686" spans="1:1" ht="16.5" x14ac:dyDescent="0.25">
      <c r="A686" s="20"/>
    </row>
    <row r="687" spans="1:1" ht="16.5" x14ac:dyDescent="0.25">
      <c r="A687" s="20"/>
    </row>
    <row r="688" spans="1:1" ht="16.5" x14ac:dyDescent="0.25">
      <c r="A688" s="20"/>
    </row>
    <row r="689" spans="1:1" x14ac:dyDescent="0.25">
      <c r="A689" s="21"/>
    </row>
    <row r="690" spans="1:1" ht="16.5" x14ac:dyDescent="0.25">
      <c r="A690" s="20"/>
    </row>
    <row r="691" spans="1:1" x14ac:dyDescent="0.25">
      <c r="A691" s="19"/>
    </row>
    <row r="692" spans="1:1" ht="16.5" x14ac:dyDescent="0.25">
      <c r="A692" s="20"/>
    </row>
    <row r="693" spans="1:1" ht="16.5" x14ac:dyDescent="0.25">
      <c r="A693" s="20"/>
    </row>
    <row r="694" spans="1:1" ht="16.5" x14ac:dyDescent="0.25">
      <c r="A694" s="20"/>
    </row>
    <row r="695" spans="1:1" ht="16.5" x14ac:dyDescent="0.25">
      <c r="A695" s="20"/>
    </row>
    <row r="696" spans="1:1" x14ac:dyDescent="0.25">
      <c r="A696" s="21"/>
    </row>
    <row r="697" spans="1:1" ht="16.5" x14ac:dyDescent="0.25">
      <c r="A697" s="20"/>
    </row>
    <row r="698" spans="1:1" x14ac:dyDescent="0.25">
      <c r="A698" s="19"/>
    </row>
    <row r="699" spans="1:1" ht="16.5" x14ac:dyDescent="0.25">
      <c r="A699" s="20"/>
    </row>
    <row r="700" spans="1:1" ht="16.5" x14ac:dyDescent="0.25">
      <c r="A700" s="20"/>
    </row>
    <row r="701" spans="1:1" ht="16.5" x14ac:dyDescent="0.25">
      <c r="A701" s="20"/>
    </row>
    <row r="702" spans="1:1" ht="16.5" x14ac:dyDescent="0.25">
      <c r="A702" s="20"/>
    </row>
    <row r="703" spans="1:1" x14ac:dyDescent="0.25">
      <c r="A703" s="21"/>
    </row>
    <row r="704" spans="1:1" ht="16.5" x14ac:dyDescent="0.25">
      <c r="A704" s="20"/>
    </row>
    <row r="705" spans="1:1" x14ac:dyDescent="0.25">
      <c r="A705" s="19"/>
    </row>
    <row r="706" spans="1:1" ht="16.5" x14ac:dyDescent="0.25">
      <c r="A706" s="20"/>
    </row>
    <row r="707" spans="1:1" ht="16.5" x14ac:dyDescent="0.25">
      <c r="A707" s="20"/>
    </row>
    <row r="708" spans="1:1" ht="16.5" x14ac:dyDescent="0.25">
      <c r="A708" s="20"/>
    </row>
    <row r="709" spans="1:1" ht="16.5" x14ac:dyDescent="0.25">
      <c r="A709" s="20"/>
    </row>
    <row r="710" spans="1:1" x14ac:dyDescent="0.25">
      <c r="A710" s="21"/>
    </row>
    <row r="711" spans="1:1" ht="16.5" x14ac:dyDescent="0.25">
      <c r="A711" s="20"/>
    </row>
    <row r="712" spans="1:1" x14ac:dyDescent="0.25">
      <c r="A712" s="19"/>
    </row>
    <row r="713" spans="1:1" ht="16.5" x14ac:dyDescent="0.25">
      <c r="A713" s="20"/>
    </row>
    <row r="714" spans="1:1" ht="16.5" x14ac:dyDescent="0.25">
      <c r="A714" s="20"/>
    </row>
    <row r="715" spans="1:1" ht="16.5" x14ac:dyDescent="0.25">
      <c r="A715" s="20"/>
    </row>
    <row r="716" spans="1:1" ht="16.5" x14ac:dyDescent="0.25">
      <c r="A716" s="20"/>
    </row>
    <row r="717" spans="1:1" x14ac:dyDescent="0.25">
      <c r="A717" s="21"/>
    </row>
    <row r="718" spans="1:1" ht="16.5" x14ac:dyDescent="0.25">
      <c r="A718" s="20"/>
    </row>
    <row r="719" spans="1:1" x14ac:dyDescent="0.25">
      <c r="A719" s="19"/>
    </row>
    <row r="720" spans="1:1" ht="16.5" x14ac:dyDescent="0.25">
      <c r="A720" s="20"/>
    </row>
    <row r="721" spans="1:1" ht="16.5" x14ac:dyDescent="0.25">
      <c r="A721" s="20"/>
    </row>
    <row r="722" spans="1:1" ht="16.5" x14ac:dyDescent="0.25">
      <c r="A722" s="20"/>
    </row>
    <row r="723" spans="1:1" ht="16.5" x14ac:dyDescent="0.25">
      <c r="A723" s="20"/>
    </row>
    <row r="724" spans="1:1" x14ac:dyDescent="0.25">
      <c r="A724" s="21"/>
    </row>
    <row r="725" spans="1:1" ht="16.5" x14ac:dyDescent="0.25">
      <c r="A725" s="20"/>
    </row>
    <row r="726" spans="1:1" x14ac:dyDescent="0.25">
      <c r="A726" s="19"/>
    </row>
    <row r="727" spans="1:1" ht="16.5" x14ac:dyDescent="0.25">
      <c r="A727" s="20"/>
    </row>
    <row r="728" spans="1:1" ht="16.5" x14ac:dyDescent="0.25">
      <c r="A728" s="20"/>
    </row>
    <row r="729" spans="1:1" ht="16.5" x14ac:dyDescent="0.25">
      <c r="A729" s="20"/>
    </row>
    <row r="730" spans="1:1" ht="16.5" x14ac:dyDescent="0.25">
      <c r="A730" s="20"/>
    </row>
    <row r="731" spans="1:1" x14ac:dyDescent="0.25">
      <c r="A731" s="21"/>
    </row>
    <row r="732" spans="1:1" ht="16.5" x14ac:dyDescent="0.25">
      <c r="A732" s="20"/>
    </row>
    <row r="733" spans="1:1" x14ac:dyDescent="0.25">
      <c r="A733" s="19"/>
    </row>
    <row r="734" spans="1:1" ht="16.5" x14ac:dyDescent="0.25">
      <c r="A734" s="20"/>
    </row>
    <row r="735" spans="1:1" ht="16.5" x14ac:dyDescent="0.25">
      <c r="A735" s="20"/>
    </row>
    <row r="736" spans="1:1" ht="16.5" x14ac:dyDescent="0.25">
      <c r="A736" s="20"/>
    </row>
    <row r="737" spans="1:1" ht="16.5" x14ac:dyDescent="0.25">
      <c r="A737" s="20"/>
    </row>
    <row r="738" spans="1:1" x14ac:dyDescent="0.25">
      <c r="A738" s="21"/>
    </row>
    <row r="739" spans="1:1" ht="16.5" x14ac:dyDescent="0.25">
      <c r="A739" s="20"/>
    </row>
    <row r="740" spans="1:1" x14ac:dyDescent="0.25">
      <c r="A740" s="19"/>
    </row>
    <row r="741" spans="1:1" ht="16.5" x14ac:dyDescent="0.25">
      <c r="A741" s="20"/>
    </row>
    <row r="742" spans="1:1" ht="16.5" x14ac:dyDescent="0.25">
      <c r="A742" s="20"/>
    </row>
    <row r="743" spans="1:1" ht="16.5" x14ac:dyDescent="0.25">
      <c r="A743" s="20"/>
    </row>
    <row r="744" spans="1:1" ht="16.5" x14ac:dyDescent="0.25">
      <c r="A744" s="20"/>
    </row>
    <row r="745" spans="1:1" x14ac:dyDescent="0.25">
      <c r="A745" s="21"/>
    </row>
    <row r="746" spans="1:1" ht="16.5" x14ac:dyDescent="0.25">
      <c r="A746" s="20"/>
    </row>
    <row r="747" spans="1:1" x14ac:dyDescent="0.25">
      <c r="A747" s="19"/>
    </row>
    <row r="748" spans="1:1" ht="16.5" x14ac:dyDescent="0.25">
      <c r="A748" s="20"/>
    </row>
    <row r="749" spans="1:1" ht="16.5" x14ac:dyDescent="0.25">
      <c r="A749" s="20"/>
    </row>
    <row r="750" spans="1:1" ht="16.5" x14ac:dyDescent="0.25">
      <c r="A750" s="20"/>
    </row>
    <row r="751" spans="1:1" ht="16.5" x14ac:dyDescent="0.25">
      <c r="A751" s="20"/>
    </row>
    <row r="752" spans="1:1" x14ac:dyDescent="0.25">
      <c r="A752" s="21"/>
    </row>
    <row r="753" spans="1:1" ht="16.5" x14ac:dyDescent="0.25">
      <c r="A753" s="20"/>
    </row>
    <row r="754" spans="1:1" x14ac:dyDescent="0.25">
      <c r="A754" s="19"/>
    </row>
    <row r="755" spans="1:1" ht="16.5" x14ac:dyDescent="0.25">
      <c r="A755" s="20"/>
    </row>
    <row r="756" spans="1:1" ht="16.5" x14ac:dyDescent="0.25">
      <c r="A756" s="20"/>
    </row>
    <row r="757" spans="1:1" ht="16.5" x14ac:dyDescent="0.25">
      <c r="A757" s="20"/>
    </row>
    <row r="758" spans="1:1" ht="16.5" x14ac:dyDescent="0.25">
      <c r="A758" s="20"/>
    </row>
    <row r="759" spans="1:1" x14ac:dyDescent="0.25">
      <c r="A759" s="21"/>
    </row>
    <row r="760" spans="1:1" ht="16.5" x14ac:dyDescent="0.25">
      <c r="A760" s="20"/>
    </row>
    <row r="761" spans="1:1" x14ac:dyDescent="0.25">
      <c r="A761" s="19"/>
    </row>
    <row r="762" spans="1:1" ht="16.5" x14ac:dyDescent="0.25">
      <c r="A762" s="20"/>
    </row>
    <row r="763" spans="1:1" ht="16.5" x14ac:dyDescent="0.25">
      <c r="A763" s="20"/>
    </row>
    <row r="764" spans="1:1" ht="16.5" x14ac:dyDescent="0.25">
      <c r="A764" s="20"/>
    </row>
    <row r="765" spans="1:1" ht="16.5" x14ac:dyDescent="0.25">
      <c r="A765" s="20"/>
    </row>
    <row r="766" spans="1:1" x14ac:dyDescent="0.25">
      <c r="A766" s="21"/>
    </row>
    <row r="767" spans="1:1" ht="16.5" x14ac:dyDescent="0.25">
      <c r="A767" s="20"/>
    </row>
    <row r="768" spans="1:1" x14ac:dyDescent="0.25">
      <c r="A768" s="19"/>
    </row>
    <row r="769" spans="1:1" ht="16.5" x14ac:dyDescent="0.25">
      <c r="A769" s="20"/>
    </row>
    <row r="770" spans="1:1" ht="16.5" x14ac:dyDescent="0.25">
      <c r="A770" s="20"/>
    </row>
    <row r="771" spans="1:1" ht="16.5" x14ac:dyDescent="0.25">
      <c r="A771" s="20"/>
    </row>
    <row r="772" spans="1:1" ht="16.5" x14ac:dyDescent="0.25">
      <c r="A772" s="20"/>
    </row>
    <row r="773" spans="1:1" x14ac:dyDescent="0.25">
      <c r="A773" s="21"/>
    </row>
    <row r="774" spans="1:1" ht="16.5" x14ac:dyDescent="0.25">
      <c r="A774" s="20"/>
    </row>
    <row r="775" spans="1:1" x14ac:dyDescent="0.25">
      <c r="A775" s="19"/>
    </row>
    <row r="776" spans="1:1" ht="16.5" x14ac:dyDescent="0.25">
      <c r="A776" s="20"/>
    </row>
    <row r="777" spans="1:1" ht="16.5" x14ac:dyDescent="0.25">
      <c r="A777" s="20"/>
    </row>
    <row r="778" spans="1:1" ht="16.5" x14ac:dyDescent="0.25">
      <c r="A778" s="20"/>
    </row>
    <row r="779" spans="1:1" ht="16.5" x14ac:dyDescent="0.25">
      <c r="A779" s="20"/>
    </row>
    <row r="780" spans="1:1" x14ac:dyDescent="0.25">
      <c r="A780" s="21"/>
    </row>
    <row r="781" spans="1:1" ht="16.5" x14ac:dyDescent="0.25">
      <c r="A781" s="20"/>
    </row>
    <row r="782" spans="1:1" x14ac:dyDescent="0.25">
      <c r="A782" s="19"/>
    </row>
    <row r="783" spans="1:1" ht="16.5" x14ac:dyDescent="0.25">
      <c r="A783" s="20"/>
    </row>
    <row r="784" spans="1:1" ht="16.5" x14ac:dyDescent="0.25">
      <c r="A784" s="20"/>
    </row>
    <row r="785" spans="1:1" ht="16.5" x14ac:dyDescent="0.25">
      <c r="A785" s="20"/>
    </row>
    <row r="786" spans="1:1" ht="16.5" x14ac:dyDescent="0.25">
      <c r="A786" s="20"/>
    </row>
    <row r="787" spans="1:1" x14ac:dyDescent="0.25">
      <c r="A787" s="21"/>
    </row>
    <row r="788" spans="1:1" ht="16.5" x14ac:dyDescent="0.25">
      <c r="A788" s="20"/>
    </row>
    <row r="789" spans="1:1" x14ac:dyDescent="0.25">
      <c r="A789" s="19"/>
    </row>
    <row r="790" spans="1:1" ht="16.5" x14ac:dyDescent="0.25">
      <c r="A790" s="20"/>
    </row>
    <row r="791" spans="1:1" ht="16.5" x14ac:dyDescent="0.25">
      <c r="A791" s="20"/>
    </row>
    <row r="792" spans="1:1" ht="16.5" x14ac:dyDescent="0.25">
      <c r="A792" s="20"/>
    </row>
    <row r="793" spans="1:1" ht="16.5" x14ac:dyDescent="0.25">
      <c r="A793" s="20"/>
    </row>
    <row r="794" spans="1:1" x14ac:dyDescent="0.25">
      <c r="A794" s="21"/>
    </row>
    <row r="795" spans="1:1" ht="16.5" x14ac:dyDescent="0.25">
      <c r="A795" s="20"/>
    </row>
    <row r="796" spans="1:1" x14ac:dyDescent="0.25">
      <c r="A796" s="19"/>
    </row>
    <row r="797" spans="1:1" ht="16.5" x14ac:dyDescent="0.25">
      <c r="A797" s="20"/>
    </row>
    <row r="798" spans="1:1" ht="16.5" x14ac:dyDescent="0.25">
      <c r="A798" s="20"/>
    </row>
    <row r="799" spans="1:1" ht="16.5" x14ac:dyDescent="0.25">
      <c r="A799" s="20"/>
    </row>
    <row r="800" spans="1:1" ht="16.5" x14ac:dyDescent="0.25">
      <c r="A800" s="20"/>
    </row>
    <row r="801" spans="1:1" x14ac:dyDescent="0.25">
      <c r="A801" s="21"/>
    </row>
    <row r="802" spans="1:1" ht="16.5" x14ac:dyDescent="0.25">
      <c r="A802" s="20"/>
    </row>
    <row r="803" spans="1:1" x14ac:dyDescent="0.25">
      <c r="A803" s="19"/>
    </row>
    <row r="804" spans="1:1" ht="16.5" x14ac:dyDescent="0.25">
      <c r="A804" s="20"/>
    </row>
    <row r="805" spans="1:1" ht="16.5" x14ac:dyDescent="0.25">
      <c r="A805" s="20"/>
    </row>
    <row r="806" spans="1:1" ht="16.5" x14ac:dyDescent="0.25">
      <c r="A806" s="20"/>
    </row>
    <row r="807" spans="1:1" ht="16.5" x14ac:dyDescent="0.25">
      <c r="A807" s="20"/>
    </row>
    <row r="808" spans="1:1" x14ac:dyDescent="0.25">
      <c r="A808" s="21"/>
    </row>
    <row r="809" spans="1:1" ht="16.5" x14ac:dyDescent="0.25">
      <c r="A809" s="20"/>
    </row>
    <row r="810" spans="1:1" x14ac:dyDescent="0.25">
      <c r="A810" s="19"/>
    </row>
    <row r="811" spans="1:1" ht="16.5" x14ac:dyDescent="0.25">
      <c r="A811" s="20"/>
    </row>
    <row r="812" spans="1:1" ht="16.5" x14ac:dyDescent="0.25">
      <c r="A812" s="20"/>
    </row>
    <row r="813" spans="1:1" ht="16.5" x14ac:dyDescent="0.25">
      <c r="A813" s="20"/>
    </row>
    <row r="814" spans="1:1" ht="16.5" x14ac:dyDescent="0.25">
      <c r="A814" s="20"/>
    </row>
    <row r="815" spans="1:1" x14ac:dyDescent="0.25">
      <c r="A815" s="21"/>
    </row>
    <row r="816" spans="1:1" ht="16.5" x14ac:dyDescent="0.25">
      <c r="A816" s="20"/>
    </row>
    <row r="817" spans="1:1" x14ac:dyDescent="0.25">
      <c r="A817" s="19"/>
    </row>
    <row r="818" spans="1:1" ht="16.5" x14ac:dyDescent="0.25">
      <c r="A818" s="20"/>
    </row>
    <row r="819" spans="1:1" ht="16.5" x14ac:dyDescent="0.25">
      <c r="A819" s="20"/>
    </row>
    <row r="820" spans="1:1" ht="16.5" x14ac:dyDescent="0.25">
      <c r="A820" s="20"/>
    </row>
    <row r="821" spans="1:1" ht="16.5" x14ac:dyDescent="0.25">
      <c r="A821" s="20"/>
    </row>
    <row r="822" spans="1:1" x14ac:dyDescent="0.25">
      <c r="A822" s="21"/>
    </row>
    <row r="823" spans="1:1" ht="16.5" x14ac:dyDescent="0.25">
      <c r="A823" s="20"/>
    </row>
    <row r="824" spans="1:1" x14ac:dyDescent="0.25">
      <c r="A824" s="19"/>
    </row>
    <row r="825" spans="1:1" ht="16.5" x14ac:dyDescent="0.25">
      <c r="A825" s="20"/>
    </row>
    <row r="826" spans="1:1" ht="16.5" x14ac:dyDescent="0.25">
      <c r="A826" s="20"/>
    </row>
    <row r="827" spans="1:1" ht="16.5" x14ac:dyDescent="0.25">
      <c r="A827" s="20"/>
    </row>
    <row r="828" spans="1:1" ht="16.5" x14ac:dyDescent="0.25">
      <c r="A828" s="20"/>
    </row>
    <row r="829" spans="1:1" x14ac:dyDescent="0.25">
      <c r="A829" s="21"/>
    </row>
    <row r="830" spans="1:1" ht="16.5" x14ac:dyDescent="0.25">
      <c r="A830" s="20"/>
    </row>
    <row r="831" spans="1:1" x14ac:dyDescent="0.25">
      <c r="A831" s="19"/>
    </row>
    <row r="832" spans="1:1" ht="16.5" x14ac:dyDescent="0.25">
      <c r="A832" s="20"/>
    </row>
    <row r="833" spans="1:1" ht="16.5" x14ac:dyDescent="0.25">
      <c r="A833" s="20"/>
    </row>
    <row r="834" spans="1:1" ht="16.5" x14ac:dyDescent="0.25">
      <c r="A834" s="20"/>
    </row>
    <row r="835" spans="1:1" ht="16.5" x14ac:dyDescent="0.25">
      <c r="A835" s="20"/>
    </row>
    <row r="836" spans="1:1" x14ac:dyDescent="0.25">
      <c r="A836" s="21"/>
    </row>
    <row r="837" spans="1:1" ht="16.5" x14ac:dyDescent="0.25">
      <c r="A837" s="20"/>
    </row>
    <row r="838" spans="1:1" x14ac:dyDescent="0.25">
      <c r="A838" s="19"/>
    </row>
    <row r="839" spans="1:1" ht="16.5" x14ac:dyDescent="0.25">
      <c r="A839" s="20"/>
    </row>
    <row r="840" spans="1:1" ht="16.5" x14ac:dyDescent="0.25">
      <c r="A840" s="20"/>
    </row>
    <row r="841" spans="1:1" ht="16.5" x14ac:dyDescent="0.25">
      <c r="A841" s="20"/>
    </row>
    <row r="842" spans="1:1" ht="16.5" x14ac:dyDescent="0.25">
      <c r="A842" s="20"/>
    </row>
    <row r="843" spans="1:1" x14ac:dyDescent="0.25">
      <c r="A843" s="21"/>
    </row>
    <row r="844" spans="1:1" ht="16.5" x14ac:dyDescent="0.25">
      <c r="A844" s="20"/>
    </row>
    <row r="845" spans="1:1" x14ac:dyDescent="0.25">
      <c r="A845" s="19"/>
    </row>
    <row r="846" spans="1:1" ht="16.5" x14ac:dyDescent="0.25">
      <c r="A846" s="20"/>
    </row>
    <row r="847" spans="1:1" ht="16.5" x14ac:dyDescent="0.25">
      <c r="A847" s="20"/>
    </row>
    <row r="848" spans="1:1" ht="16.5" x14ac:dyDescent="0.25">
      <c r="A848" s="20"/>
    </row>
    <row r="849" spans="1:1" ht="16.5" x14ac:dyDescent="0.25">
      <c r="A849" s="20"/>
    </row>
    <row r="850" spans="1:1" x14ac:dyDescent="0.25">
      <c r="A850" s="21"/>
    </row>
    <row r="851" spans="1:1" ht="16.5" x14ac:dyDescent="0.25">
      <c r="A851" s="20"/>
    </row>
    <row r="852" spans="1:1" x14ac:dyDescent="0.25">
      <c r="A852" s="19"/>
    </row>
    <row r="853" spans="1:1" ht="16.5" x14ac:dyDescent="0.25">
      <c r="A853" s="20"/>
    </row>
    <row r="854" spans="1:1" ht="16.5" x14ac:dyDescent="0.25">
      <c r="A854" s="20"/>
    </row>
    <row r="855" spans="1:1" ht="16.5" x14ac:dyDescent="0.25">
      <c r="A855" s="20"/>
    </row>
    <row r="856" spans="1:1" ht="16.5" x14ac:dyDescent="0.25">
      <c r="A856" s="20"/>
    </row>
    <row r="857" spans="1:1" x14ac:dyDescent="0.25">
      <c r="A857" s="21"/>
    </row>
    <row r="858" spans="1:1" ht="16.5" x14ac:dyDescent="0.25">
      <c r="A858" s="20"/>
    </row>
    <row r="859" spans="1:1" x14ac:dyDescent="0.25">
      <c r="A859" s="19"/>
    </row>
    <row r="860" spans="1:1" ht="16.5" x14ac:dyDescent="0.25">
      <c r="A860" s="20"/>
    </row>
    <row r="861" spans="1:1" ht="16.5" x14ac:dyDescent="0.25">
      <c r="A861" s="20"/>
    </row>
    <row r="862" spans="1:1" ht="16.5" x14ac:dyDescent="0.25">
      <c r="A862" s="20"/>
    </row>
    <row r="863" spans="1:1" ht="16.5" x14ac:dyDescent="0.25">
      <c r="A863" s="20"/>
    </row>
    <row r="864" spans="1:1" x14ac:dyDescent="0.25">
      <c r="A864" s="21"/>
    </row>
    <row r="865" spans="1:1" ht="16.5" x14ac:dyDescent="0.25">
      <c r="A865" s="20"/>
    </row>
    <row r="866" spans="1:1" x14ac:dyDescent="0.25">
      <c r="A866" s="19"/>
    </row>
    <row r="867" spans="1:1" ht="16.5" x14ac:dyDescent="0.25">
      <c r="A867" s="20"/>
    </row>
    <row r="868" spans="1:1" ht="16.5" x14ac:dyDescent="0.25">
      <c r="A868" s="20"/>
    </row>
    <row r="869" spans="1:1" ht="16.5" x14ac:dyDescent="0.25">
      <c r="A869" s="20"/>
    </row>
    <row r="870" spans="1:1" ht="16.5" x14ac:dyDescent="0.25">
      <c r="A870" s="20"/>
    </row>
    <row r="871" spans="1:1" x14ac:dyDescent="0.25">
      <c r="A871" s="21"/>
    </row>
    <row r="872" spans="1:1" ht="16.5" x14ac:dyDescent="0.25">
      <c r="A872" s="20"/>
    </row>
    <row r="873" spans="1:1" x14ac:dyDescent="0.25">
      <c r="A873" s="19"/>
    </row>
    <row r="874" spans="1:1" ht="16.5" x14ac:dyDescent="0.25">
      <c r="A874" s="20"/>
    </row>
    <row r="875" spans="1:1" ht="16.5" x14ac:dyDescent="0.25">
      <c r="A875" s="20"/>
    </row>
    <row r="876" spans="1:1" ht="16.5" x14ac:dyDescent="0.25">
      <c r="A876" s="20"/>
    </row>
    <row r="877" spans="1:1" ht="16.5" x14ac:dyDescent="0.25">
      <c r="A877" s="20"/>
    </row>
    <row r="878" spans="1:1" x14ac:dyDescent="0.25">
      <c r="A878" s="21"/>
    </row>
    <row r="879" spans="1:1" ht="16.5" x14ac:dyDescent="0.25">
      <c r="A879" s="20"/>
    </row>
    <row r="880" spans="1:1" x14ac:dyDescent="0.25">
      <c r="A880" s="19"/>
    </row>
    <row r="881" spans="1:1" ht="16.5" x14ac:dyDescent="0.25">
      <c r="A881" s="20"/>
    </row>
    <row r="882" spans="1:1" ht="16.5" x14ac:dyDescent="0.25">
      <c r="A882" s="20"/>
    </row>
    <row r="883" spans="1:1" ht="16.5" x14ac:dyDescent="0.25">
      <c r="A883" s="20"/>
    </row>
    <row r="884" spans="1:1" ht="16.5" x14ac:dyDescent="0.25">
      <c r="A884" s="20"/>
    </row>
    <row r="885" spans="1:1" x14ac:dyDescent="0.25">
      <c r="A885" s="21"/>
    </row>
    <row r="886" spans="1:1" ht="16.5" x14ac:dyDescent="0.25">
      <c r="A886" s="20"/>
    </row>
    <row r="887" spans="1:1" x14ac:dyDescent="0.25">
      <c r="A887" s="19"/>
    </row>
    <row r="888" spans="1:1" ht="16.5" x14ac:dyDescent="0.25">
      <c r="A888" s="20"/>
    </row>
    <row r="889" spans="1:1" ht="16.5" x14ac:dyDescent="0.25">
      <c r="A889" s="20"/>
    </row>
    <row r="890" spans="1:1" ht="16.5" x14ac:dyDescent="0.25">
      <c r="A890" s="20"/>
    </row>
    <row r="891" spans="1:1" ht="16.5" x14ac:dyDescent="0.25">
      <c r="A891" s="20"/>
    </row>
    <row r="892" spans="1:1" x14ac:dyDescent="0.25">
      <c r="A892" s="21"/>
    </row>
    <row r="893" spans="1:1" ht="16.5" x14ac:dyDescent="0.25">
      <c r="A893" s="20"/>
    </row>
    <row r="894" spans="1:1" x14ac:dyDescent="0.25">
      <c r="A894" s="19"/>
    </row>
    <row r="895" spans="1:1" ht="16.5" x14ac:dyDescent="0.25">
      <c r="A895" s="20"/>
    </row>
    <row r="896" spans="1:1" ht="16.5" x14ac:dyDescent="0.25">
      <c r="A896" s="20"/>
    </row>
    <row r="897" spans="1:1" ht="16.5" x14ac:dyDescent="0.25">
      <c r="A897" s="20"/>
    </row>
    <row r="898" spans="1:1" ht="16.5" x14ac:dyDescent="0.25">
      <c r="A898" s="20"/>
    </row>
    <row r="899" spans="1:1" x14ac:dyDescent="0.25">
      <c r="A899" s="21"/>
    </row>
    <row r="900" spans="1:1" ht="16.5" x14ac:dyDescent="0.25">
      <c r="A900" s="20"/>
    </row>
    <row r="901" spans="1:1" x14ac:dyDescent="0.25">
      <c r="A901" s="19"/>
    </row>
    <row r="902" spans="1:1" ht="16.5" x14ac:dyDescent="0.25">
      <c r="A902" s="20"/>
    </row>
    <row r="903" spans="1:1" ht="16.5" x14ac:dyDescent="0.25">
      <c r="A903" s="20"/>
    </row>
    <row r="904" spans="1:1" ht="16.5" x14ac:dyDescent="0.25">
      <c r="A904" s="20"/>
    </row>
    <row r="905" spans="1:1" ht="16.5" x14ac:dyDescent="0.25">
      <c r="A905" s="20"/>
    </row>
    <row r="906" spans="1:1" x14ac:dyDescent="0.25">
      <c r="A906" s="21"/>
    </row>
    <row r="907" spans="1:1" ht="16.5" x14ac:dyDescent="0.25">
      <c r="A907" s="20"/>
    </row>
    <row r="908" spans="1:1" x14ac:dyDescent="0.25">
      <c r="A908" s="19"/>
    </row>
    <row r="909" spans="1:1" ht="16.5" x14ac:dyDescent="0.25">
      <c r="A909" s="20"/>
    </row>
    <row r="910" spans="1:1" ht="16.5" x14ac:dyDescent="0.25">
      <c r="A910" s="20"/>
    </row>
    <row r="911" spans="1:1" ht="16.5" x14ac:dyDescent="0.25">
      <c r="A911" s="20"/>
    </row>
    <row r="912" spans="1:1" ht="16.5" x14ac:dyDescent="0.25">
      <c r="A912" s="20"/>
    </row>
    <row r="913" spans="1:1" x14ac:dyDescent="0.25">
      <c r="A913" s="21"/>
    </row>
    <row r="914" spans="1:1" ht="16.5" x14ac:dyDescent="0.25">
      <c r="A914" s="20"/>
    </row>
    <row r="915" spans="1:1" x14ac:dyDescent="0.25">
      <c r="A915" s="19"/>
    </row>
    <row r="916" spans="1:1" ht="16.5" x14ac:dyDescent="0.25">
      <c r="A916" s="20"/>
    </row>
    <row r="917" spans="1:1" ht="16.5" x14ac:dyDescent="0.25">
      <c r="A917" s="20"/>
    </row>
    <row r="918" spans="1:1" ht="16.5" x14ac:dyDescent="0.25">
      <c r="A918" s="20"/>
    </row>
    <row r="919" spans="1:1" ht="16.5" x14ac:dyDescent="0.25">
      <c r="A919" s="20"/>
    </row>
    <row r="920" spans="1:1" x14ac:dyDescent="0.25">
      <c r="A920" s="21"/>
    </row>
    <row r="921" spans="1:1" ht="16.5" x14ac:dyDescent="0.25">
      <c r="A921" s="20"/>
    </row>
    <row r="922" spans="1:1" x14ac:dyDescent="0.25">
      <c r="A922" s="19"/>
    </row>
    <row r="923" spans="1:1" ht="16.5" x14ac:dyDescent="0.25">
      <c r="A923" s="20"/>
    </row>
    <row r="924" spans="1:1" ht="16.5" x14ac:dyDescent="0.25">
      <c r="A924" s="20"/>
    </row>
    <row r="925" spans="1:1" ht="16.5" x14ac:dyDescent="0.25">
      <c r="A925" s="20"/>
    </row>
    <row r="926" spans="1:1" ht="16.5" x14ac:dyDescent="0.25">
      <c r="A926" s="20"/>
    </row>
    <row r="927" spans="1:1" x14ac:dyDescent="0.25">
      <c r="A927" s="21"/>
    </row>
    <row r="928" spans="1:1" ht="16.5" x14ac:dyDescent="0.25">
      <c r="A928" s="20"/>
    </row>
    <row r="929" spans="1:1" x14ac:dyDescent="0.25">
      <c r="A929" s="19"/>
    </row>
    <row r="930" spans="1:1" ht="16.5" x14ac:dyDescent="0.25">
      <c r="A930" s="20"/>
    </row>
    <row r="931" spans="1:1" ht="16.5" x14ac:dyDescent="0.25">
      <c r="A931" s="20"/>
    </row>
    <row r="932" spans="1:1" ht="16.5" x14ac:dyDescent="0.25">
      <c r="A932" s="20"/>
    </row>
    <row r="933" spans="1:1" ht="16.5" x14ac:dyDescent="0.25">
      <c r="A933" s="20"/>
    </row>
    <row r="934" spans="1:1" x14ac:dyDescent="0.25">
      <c r="A934" s="21"/>
    </row>
    <row r="935" spans="1:1" ht="16.5" x14ac:dyDescent="0.25">
      <c r="A935" s="20"/>
    </row>
    <row r="936" spans="1:1" x14ac:dyDescent="0.25">
      <c r="A936" s="19"/>
    </row>
    <row r="937" spans="1:1" ht="16.5" x14ac:dyDescent="0.25">
      <c r="A937" s="20"/>
    </row>
    <row r="938" spans="1:1" ht="16.5" x14ac:dyDescent="0.25">
      <c r="A938" s="20"/>
    </row>
    <row r="939" spans="1:1" ht="16.5" x14ac:dyDescent="0.25">
      <c r="A939" s="20"/>
    </row>
    <row r="940" spans="1:1" ht="16.5" x14ac:dyDescent="0.25">
      <c r="A940" s="20"/>
    </row>
    <row r="941" spans="1:1" x14ac:dyDescent="0.25">
      <c r="A941" s="21"/>
    </row>
    <row r="942" spans="1:1" ht="16.5" x14ac:dyDescent="0.25">
      <c r="A942" s="20"/>
    </row>
    <row r="943" spans="1:1" x14ac:dyDescent="0.25">
      <c r="A943" s="19"/>
    </row>
    <row r="944" spans="1:1" ht="16.5" x14ac:dyDescent="0.25">
      <c r="A944" s="20"/>
    </row>
    <row r="945" spans="1:1" ht="16.5" x14ac:dyDescent="0.25">
      <c r="A945" s="20"/>
    </row>
    <row r="946" spans="1:1" ht="16.5" x14ac:dyDescent="0.25">
      <c r="A946" s="20"/>
    </row>
    <row r="947" spans="1:1" ht="16.5" x14ac:dyDescent="0.25">
      <c r="A947" s="20"/>
    </row>
    <row r="948" spans="1:1" x14ac:dyDescent="0.25">
      <c r="A948" s="21"/>
    </row>
    <row r="949" spans="1:1" ht="16.5" x14ac:dyDescent="0.25">
      <c r="A949" s="20"/>
    </row>
    <row r="950" spans="1:1" x14ac:dyDescent="0.25">
      <c r="A950" s="19"/>
    </row>
    <row r="951" spans="1:1" ht="16.5" x14ac:dyDescent="0.25">
      <c r="A951" s="20"/>
    </row>
    <row r="952" spans="1:1" ht="16.5" x14ac:dyDescent="0.25">
      <c r="A952" s="20"/>
    </row>
    <row r="953" spans="1:1" ht="16.5" x14ac:dyDescent="0.25">
      <c r="A953" s="20"/>
    </row>
    <row r="954" spans="1:1" ht="16.5" x14ac:dyDescent="0.25">
      <c r="A954" s="20"/>
    </row>
    <row r="955" spans="1:1" x14ac:dyDescent="0.25">
      <c r="A955" s="21"/>
    </row>
    <row r="956" spans="1:1" ht="16.5" x14ac:dyDescent="0.25">
      <c r="A956" s="20"/>
    </row>
    <row r="957" spans="1:1" x14ac:dyDescent="0.25">
      <c r="A957" s="19"/>
    </row>
    <row r="958" spans="1:1" ht="16.5" x14ac:dyDescent="0.25">
      <c r="A958" s="20"/>
    </row>
    <row r="959" spans="1:1" ht="16.5" x14ac:dyDescent="0.25">
      <c r="A959" s="20"/>
    </row>
    <row r="960" spans="1:1" ht="16.5" x14ac:dyDescent="0.25">
      <c r="A960" s="20"/>
    </row>
    <row r="961" spans="1:1" ht="16.5" x14ac:dyDescent="0.25">
      <c r="A961" s="20"/>
    </row>
    <row r="962" spans="1:1" x14ac:dyDescent="0.25">
      <c r="A962" s="21"/>
    </row>
    <row r="963" spans="1:1" ht="16.5" x14ac:dyDescent="0.25">
      <c r="A963" s="20"/>
    </row>
    <row r="964" spans="1:1" x14ac:dyDescent="0.25">
      <c r="A964" s="19"/>
    </row>
    <row r="965" spans="1:1" ht="16.5" x14ac:dyDescent="0.25">
      <c r="A965" s="20"/>
    </row>
    <row r="966" spans="1:1" ht="16.5" x14ac:dyDescent="0.25">
      <c r="A966" s="20"/>
    </row>
    <row r="967" spans="1:1" ht="16.5" x14ac:dyDescent="0.25">
      <c r="A967" s="20"/>
    </row>
    <row r="968" spans="1:1" ht="16.5" x14ac:dyDescent="0.25">
      <c r="A968" s="20"/>
    </row>
    <row r="969" spans="1:1" x14ac:dyDescent="0.25">
      <c r="A969" s="21"/>
    </row>
    <row r="970" spans="1:1" ht="16.5" x14ac:dyDescent="0.25">
      <c r="A970" s="20"/>
    </row>
    <row r="971" spans="1:1" x14ac:dyDescent="0.25">
      <c r="A971" s="19"/>
    </row>
    <row r="972" spans="1:1" ht="16.5" x14ac:dyDescent="0.25">
      <c r="A972" s="20"/>
    </row>
    <row r="973" spans="1:1" ht="16.5" x14ac:dyDescent="0.25">
      <c r="A973" s="20"/>
    </row>
    <row r="974" spans="1:1" ht="16.5" x14ac:dyDescent="0.25">
      <c r="A974" s="20"/>
    </row>
    <row r="975" spans="1:1" ht="16.5" x14ac:dyDescent="0.25">
      <c r="A975" s="20"/>
    </row>
    <row r="976" spans="1:1" x14ac:dyDescent="0.25">
      <c r="A976" s="21"/>
    </row>
    <row r="977" spans="1:1" ht="16.5" x14ac:dyDescent="0.25">
      <c r="A977" s="20"/>
    </row>
    <row r="978" spans="1:1" x14ac:dyDescent="0.25">
      <c r="A978" s="19"/>
    </row>
    <row r="979" spans="1:1" ht="16.5" x14ac:dyDescent="0.25">
      <c r="A979" s="20"/>
    </row>
    <row r="980" spans="1:1" ht="16.5" x14ac:dyDescent="0.25">
      <c r="A980" s="20"/>
    </row>
    <row r="981" spans="1:1" ht="16.5" x14ac:dyDescent="0.25">
      <c r="A981" s="20"/>
    </row>
    <row r="982" spans="1:1" ht="16.5" x14ac:dyDescent="0.25">
      <c r="A982" s="20"/>
    </row>
    <row r="983" spans="1:1" x14ac:dyDescent="0.25">
      <c r="A983" s="21"/>
    </row>
    <row r="984" spans="1:1" ht="16.5" x14ac:dyDescent="0.25">
      <c r="A984" s="20"/>
    </row>
    <row r="985" spans="1:1" x14ac:dyDescent="0.25">
      <c r="A985" s="19"/>
    </row>
    <row r="986" spans="1:1" ht="16.5" x14ac:dyDescent="0.25">
      <c r="A986" s="20"/>
    </row>
    <row r="987" spans="1:1" ht="16.5" x14ac:dyDescent="0.25">
      <c r="A987" s="20"/>
    </row>
    <row r="988" spans="1:1" ht="16.5" x14ac:dyDescent="0.25">
      <c r="A988" s="20"/>
    </row>
    <row r="989" spans="1:1" ht="16.5" x14ac:dyDescent="0.25">
      <c r="A989" s="20"/>
    </row>
    <row r="990" spans="1:1" x14ac:dyDescent="0.25">
      <c r="A990" s="21"/>
    </row>
    <row r="991" spans="1:1" ht="16.5" x14ac:dyDescent="0.25">
      <c r="A991" s="20"/>
    </row>
    <row r="992" spans="1:1" x14ac:dyDescent="0.25">
      <c r="A992" s="19"/>
    </row>
    <row r="993" spans="1:1" ht="16.5" x14ac:dyDescent="0.25">
      <c r="A993" s="20"/>
    </row>
    <row r="994" spans="1:1" ht="16.5" x14ac:dyDescent="0.25">
      <c r="A994" s="20"/>
    </row>
    <row r="995" spans="1:1" ht="16.5" x14ac:dyDescent="0.25">
      <c r="A995" s="20"/>
    </row>
    <row r="996" spans="1:1" ht="16.5" x14ac:dyDescent="0.25">
      <c r="A996" s="20"/>
    </row>
    <row r="997" spans="1:1" x14ac:dyDescent="0.25">
      <c r="A997" s="21"/>
    </row>
    <row r="998" spans="1:1" ht="16.5" x14ac:dyDescent="0.25">
      <c r="A998" s="20"/>
    </row>
    <row r="999" spans="1:1" x14ac:dyDescent="0.25">
      <c r="A999" s="19"/>
    </row>
    <row r="1000" spans="1:1" ht="16.5" x14ac:dyDescent="0.25">
      <c r="A1000" s="20"/>
    </row>
    <row r="1001" spans="1:1" ht="16.5" x14ac:dyDescent="0.25">
      <c r="A1001" s="20"/>
    </row>
    <row r="1002" spans="1:1" ht="16.5" x14ac:dyDescent="0.25">
      <c r="A1002" s="20"/>
    </row>
    <row r="1003" spans="1:1" ht="16.5" x14ac:dyDescent="0.25">
      <c r="A1003" s="20"/>
    </row>
    <row r="1004" spans="1:1" x14ac:dyDescent="0.25">
      <c r="A1004" s="21"/>
    </row>
    <row r="1005" spans="1:1" ht="16.5" x14ac:dyDescent="0.25">
      <c r="A1005" s="20"/>
    </row>
    <row r="1006" spans="1:1" x14ac:dyDescent="0.25">
      <c r="A1006" s="19"/>
    </row>
    <row r="1007" spans="1:1" ht="16.5" x14ac:dyDescent="0.25">
      <c r="A1007" s="20"/>
    </row>
    <row r="1008" spans="1:1" ht="16.5" x14ac:dyDescent="0.25">
      <c r="A1008" s="20"/>
    </row>
    <row r="1009" spans="1:1" ht="16.5" x14ac:dyDescent="0.25">
      <c r="A1009" s="20"/>
    </row>
    <row r="1010" spans="1:1" ht="16.5" x14ac:dyDescent="0.25">
      <c r="A1010" s="20"/>
    </row>
    <row r="1011" spans="1:1" x14ac:dyDescent="0.25">
      <c r="A1011" s="21"/>
    </row>
    <row r="1012" spans="1:1" ht="16.5" x14ac:dyDescent="0.25">
      <c r="A1012" s="20"/>
    </row>
    <row r="1013" spans="1:1" x14ac:dyDescent="0.25">
      <c r="A1013" s="19"/>
    </row>
    <row r="1014" spans="1:1" ht="16.5" x14ac:dyDescent="0.25">
      <c r="A1014" s="20"/>
    </row>
    <row r="1015" spans="1:1" ht="16.5" x14ac:dyDescent="0.25">
      <c r="A1015" s="20"/>
    </row>
    <row r="1016" spans="1:1" ht="16.5" x14ac:dyDescent="0.25">
      <c r="A1016" s="20"/>
    </row>
    <row r="1017" spans="1:1" ht="16.5" x14ac:dyDescent="0.25">
      <c r="A1017" s="20"/>
    </row>
    <row r="1018" spans="1:1" x14ac:dyDescent="0.25">
      <c r="A1018" s="21"/>
    </row>
    <row r="1019" spans="1:1" ht="16.5" x14ac:dyDescent="0.25">
      <c r="A1019" s="20"/>
    </row>
    <row r="1020" spans="1:1" x14ac:dyDescent="0.25">
      <c r="A1020" s="19"/>
    </row>
    <row r="1021" spans="1:1" ht="16.5" x14ac:dyDescent="0.25">
      <c r="A1021" s="20"/>
    </row>
    <row r="1022" spans="1:1" ht="16.5" x14ac:dyDescent="0.25">
      <c r="A1022" s="20"/>
    </row>
    <row r="1023" spans="1:1" ht="16.5" x14ac:dyDescent="0.25">
      <c r="A1023" s="20"/>
    </row>
    <row r="1024" spans="1:1" ht="16.5" x14ac:dyDescent="0.25">
      <c r="A1024" s="20"/>
    </row>
    <row r="1025" spans="1:1" x14ac:dyDescent="0.25">
      <c r="A1025" s="21"/>
    </row>
    <row r="1026" spans="1:1" ht="16.5" x14ac:dyDescent="0.25">
      <c r="A1026" s="20"/>
    </row>
    <row r="1027" spans="1:1" x14ac:dyDescent="0.25">
      <c r="A1027" s="19"/>
    </row>
    <row r="1028" spans="1:1" ht="16.5" x14ac:dyDescent="0.25">
      <c r="A1028" s="20"/>
    </row>
    <row r="1029" spans="1:1" ht="16.5" x14ac:dyDescent="0.25">
      <c r="A1029" s="20"/>
    </row>
    <row r="1030" spans="1:1" ht="16.5" x14ac:dyDescent="0.25">
      <c r="A1030" s="20"/>
    </row>
    <row r="1031" spans="1:1" ht="16.5" x14ac:dyDescent="0.25">
      <c r="A1031" s="20"/>
    </row>
    <row r="1032" spans="1:1" x14ac:dyDescent="0.25">
      <c r="A1032" s="21"/>
    </row>
    <row r="1033" spans="1:1" ht="16.5" x14ac:dyDescent="0.25">
      <c r="A1033" s="20"/>
    </row>
    <row r="1034" spans="1:1" x14ac:dyDescent="0.25">
      <c r="A1034" s="19"/>
    </row>
    <row r="1035" spans="1:1" ht="16.5" x14ac:dyDescent="0.25">
      <c r="A1035" s="20"/>
    </row>
    <row r="1036" spans="1:1" ht="16.5" x14ac:dyDescent="0.25">
      <c r="A1036" s="20"/>
    </row>
    <row r="1037" spans="1:1" ht="16.5" x14ac:dyDescent="0.25">
      <c r="A1037" s="20"/>
    </row>
    <row r="1038" spans="1:1" ht="16.5" x14ac:dyDescent="0.25">
      <c r="A1038" s="20"/>
    </row>
    <row r="1039" spans="1:1" ht="16.5" x14ac:dyDescent="0.25">
      <c r="A1039" s="20"/>
    </row>
    <row r="1040" spans="1:1" x14ac:dyDescent="0.25">
      <c r="A1040" s="21"/>
    </row>
    <row r="1041" spans="1:1" ht="16.5" x14ac:dyDescent="0.25">
      <c r="A1041" s="20"/>
    </row>
    <row r="1042" spans="1:1" x14ac:dyDescent="0.25">
      <c r="A1042" s="19"/>
    </row>
    <row r="1043" spans="1:1" ht="16.5" x14ac:dyDescent="0.25">
      <c r="A1043" s="20"/>
    </row>
    <row r="1044" spans="1:1" ht="16.5" x14ac:dyDescent="0.25">
      <c r="A1044" s="20"/>
    </row>
    <row r="1045" spans="1:1" ht="16.5" x14ac:dyDescent="0.25">
      <c r="A1045" s="20"/>
    </row>
    <row r="1046" spans="1:1" ht="16.5" x14ac:dyDescent="0.25">
      <c r="A1046" s="20"/>
    </row>
    <row r="1047" spans="1:1" ht="16.5" x14ac:dyDescent="0.25">
      <c r="A1047" s="20"/>
    </row>
    <row r="1048" spans="1:1" x14ac:dyDescent="0.25">
      <c r="A1048" s="21"/>
    </row>
    <row r="1049" spans="1:1" ht="16.5" x14ac:dyDescent="0.25">
      <c r="A1049" s="20"/>
    </row>
    <row r="1050" spans="1:1" x14ac:dyDescent="0.25">
      <c r="A1050" s="19"/>
    </row>
    <row r="1051" spans="1:1" ht="16.5" x14ac:dyDescent="0.25">
      <c r="A1051" s="20"/>
    </row>
    <row r="1052" spans="1:1" ht="16.5" x14ac:dyDescent="0.25">
      <c r="A1052" s="20"/>
    </row>
    <row r="1053" spans="1:1" ht="16.5" x14ac:dyDescent="0.25">
      <c r="A1053" s="20"/>
    </row>
    <row r="1054" spans="1:1" ht="16.5" x14ac:dyDescent="0.25">
      <c r="A1054" s="20"/>
    </row>
    <row r="1055" spans="1:1" ht="16.5" x14ac:dyDescent="0.25">
      <c r="A1055" s="20"/>
    </row>
    <row r="1056" spans="1:1" x14ac:dyDescent="0.25">
      <c r="A1056" s="21"/>
    </row>
    <row r="1057" spans="1:1" ht="16.5" x14ac:dyDescent="0.25">
      <c r="A1057" s="20"/>
    </row>
    <row r="1058" spans="1:1" x14ac:dyDescent="0.25">
      <c r="A1058" s="19"/>
    </row>
    <row r="1059" spans="1:1" ht="16.5" x14ac:dyDescent="0.25">
      <c r="A1059" s="20"/>
    </row>
    <row r="1060" spans="1:1" ht="16.5" x14ac:dyDescent="0.25">
      <c r="A1060" s="20"/>
    </row>
    <row r="1061" spans="1:1" ht="16.5" x14ac:dyDescent="0.25">
      <c r="A1061" s="20"/>
    </row>
    <row r="1062" spans="1:1" ht="16.5" x14ac:dyDescent="0.25">
      <c r="A1062" s="20"/>
    </row>
    <row r="1063" spans="1:1" x14ac:dyDescent="0.25">
      <c r="A1063" s="21"/>
    </row>
    <row r="1064" spans="1:1" ht="16.5" x14ac:dyDescent="0.25">
      <c r="A1064" s="20"/>
    </row>
    <row r="1065" spans="1:1" x14ac:dyDescent="0.25">
      <c r="A1065" s="19"/>
    </row>
    <row r="1066" spans="1:1" ht="16.5" x14ac:dyDescent="0.25">
      <c r="A1066" s="20"/>
    </row>
    <row r="1067" spans="1:1" ht="16.5" x14ac:dyDescent="0.25">
      <c r="A1067" s="20"/>
    </row>
    <row r="1068" spans="1:1" ht="16.5" x14ac:dyDescent="0.25">
      <c r="A1068" s="20"/>
    </row>
    <row r="1069" spans="1:1" ht="16.5" x14ac:dyDescent="0.25">
      <c r="A1069" s="20"/>
    </row>
    <row r="1070" spans="1:1" x14ac:dyDescent="0.25">
      <c r="A1070" s="21"/>
    </row>
    <row r="1071" spans="1:1" ht="16.5" x14ac:dyDescent="0.25">
      <c r="A1071" s="20"/>
    </row>
    <row r="1072" spans="1:1" x14ac:dyDescent="0.25">
      <c r="A1072" s="19"/>
    </row>
    <row r="1073" spans="1:1" ht="16.5" x14ac:dyDescent="0.25">
      <c r="A1073" s="20"/>
    </row>
    <row r="1074" spans="1:1" ht="16.5" x14ac:dyDescent="0.25">
      <c r="A1074" s="20"/>
    </row>
    <row r="1075" spans="1:1" ht="16.5" x14ac:dyDescent="0.25">
      <c r="A1075" s="20"/>
    </row>
    <row r="1076" spans="1:1" ht="16.5" x14ac:dyDescent="0.25">
      <c r="A1076" s="20"/>
    </row>
    <row r="1077" spans="1:1" x14ac:dyDescent="0.25">
      <c r="A1077" s="21"/>
    </row>
    <row r="1078" spans="1:1" ht="16.5" x14ac:dyDescent="0.25">
      <c r="A1078" s="20"/>
    </row>
    <row r="1079" spans="1:1" x14ac:dyDescent="0.25">
      <c r="A1079" s="19"/>
    </row>
    <row r="1080" spans="1:1" ht="16.5" x14ac:dyDescent="0.25">
      <c r="A1080" s="20"/>
    </row>
    <row r="1081" spans="1:1" ht="16.5" x14ac:dyDescent="0.25">
      <c r="A1081" s="20"/>
    </row>
    <row r="1082" spans="1:1" ht="16.5" x14ac:dyDescent="0.25">
      <c r="A1082" s="20"/>
    </row>
    <row r="1083" spans="1:1" ht="16.5" x14ac:dyDescent="0.25">
      <c r="A1083" s="20"/>
    </row>
    <row r="1084" spans="1:1" x14ac:dyDescent="0.25">
      <c r="A1084" s="21"/>
    </row>
    <row r="1085" spans="1:1" ht="16.5" x14ac:dyDescent="0.25">
      <c r="A1085" s="20"/>
    </row>
    <row r="1086" spans="1:1" x14ac:dyDescent="0.25">
      <c r="A1086" s="19"/>
    </row>
    <row r="1087" spans="1:1" ht="16.5" x14ac:dyDescent="0.25">
      <c r="A1087" s="20"/>
    </row>
    <row r="1088" spans="1:1" ht="16.5" x14ac:dyDescent="0.25">
      <c r="A1088" s="20"/>
    </row>
    <row r="1089" spans="1:1" ht="16.5" x14ac:dyDescent="0.25">
      <c r="A1089" s="20"/>
    </row>
    <row r="1090" spans="1:1" ht="16.5" x14ac:dyDescent="0.25">
      <c r="A1090" s="20"/>
    </row>
    <row r="1091" spans="1:1" x14ac:dyDescent="0.25">
      <c r="A1091" s="21"/>
    </row>
    <row r="1092" spans="1:1" ht="16.5" x14ac:dyDescent="0.25">
      <c r="A1092" s="20"/>
    </row>
    <row r="1093" spans="1:1" x14ac:dyDescent="0.25">
      <c r="A1093" s="19"/>
    </row>
    <row r="1094" spans="1:1" ht="16.5" x14ac:dyDescent="0.25">
      <c r="A1094" s="20"/>
    </row>
    <row r="1095" spans="1:1" ht="16.5" x14ac:dyDescent="0.25">
      <c r="A1095" s="20"/>
    </row>
    <row r="1096" spans="1:1" ht="16.5" x14ac:dyDescent="0.25">
      <c r="A1096" s="20"/>
    </row>
    <row r="1097" spans="1:1" ht="16.5" x14ac:dyDescent="0.25">
      <c r="A1097" s="20"/>
    </row>
    <row r="1098" spans="1:1" x14ac:dyDescent="0.25">
      <c r="A1098" s="21"/>
    </row>
    <row r="1099" spans="1:1" ht="16.5" x14ac:dyDescent="0.25">
      <c r="A1099" s="20"/>
    </row>
    <row r="1100" spans="1:1" x14ac:dyDescent="0.25">
      <c r="A1100" s="19"/>
    </row>
    <row r="1101" spans="1:1" ht="16.5" x14ac:dyDescent="0.25">
      <c r="A1101" s="20"/>
    </row>
    <row r="1102" spans="1:1" ht="16.5" x14ac:dyDescent="0.25">
      <c r="A1102" s="20"/>
    </row>
    <row r="1103" spans="1:1" ht="16.5" x14ac:dyDescent="0.25">
      <c r="A1103" s="20"/>
    </row>
    <row r="1104" spans="1:1" ht="16.5" x14ac:dyDescent="0.25">
      <c r="A1104" s="20"/>
    </row>
    <row r="1105" spans="1:1" x14ac:dyDescent="0.25">
      <c r="A1105" s="21"/>
    </row>
    <row r="1106" spans="1:1" ht="16.5" x14ac:dyDescent="0.25">
      <c r="A1106" s="20"/>
    </row>
    <row r="1107" spans="1:1" x14ac:dyDescent="0.25">
      <c r="A1107" s="19"/>
    </row>
    <row r="1108" spans="1:1" ht="16.5" x14ac:dyDescent="0.25">
      <c r="A1108" s="20"/>
    </row>
    <row r="1109" spans="1:1" ht="16.5" x14ac:dyDescent="0.25">
      <c r="A1109" s="20"/>
    </row>
    <row r="1110" spans="1:1" ht="16.5" x14ac:dyDescent="0.25">
      <c r="A1110" s="20"/>
    </row>
    <row r="1111" spans="1:1" ht="16.5" x14ac:dyDescent="0.25">
      <c r="A1111" s="20"/>
    </row>
    <row r="1112" spans="1:1" x14ac:dyDescent="0.25">
      <c r="A1112" s="21"/>
    </row>
    <row r="1113" spans="1:1" ht="16.5" x14ac:dyDescent="0.25">
      <c r="A1113" s="20"/>
    </row>
    <row r="1114" spans="1:1" x14ac:dyDescent="0.25">
      <c r="A1114" s="19"/>
    </row>
    <row r="1115" spans="1:1" ht="16.5" x14ac:dyDescent="0.25">
      <c r="A1115" s="20"/>
    </row>
    <row r="1116" spans="1:1" ht="16.5" x14ac:dyDescent="0.25">
      <c r="A1116" s="20"/>
    </row>
    <row r="1117" spans="1:1" ht="16.5" x14ac:dyDescent="0.25">
      <c r="A1117" s="20"/>
    </row>
    <row r="1118" spans="1:1" ht="16.5" x14ac:dyDescent="0.25">
      <c r="A1118" s="20"/>
    </row>
    <row r="1119" spans="1:1" x14ac:dyDescent="0.25">
      <c r="A1119" s="21"/>
    </row>
    <row r="1120" spans="1:1" ht="16.5" x14ac:dyDescent="0.25">
      <c r="A1120" s="20"/>
    </row>
    <row r="1121" spans="1:1" x14ac:dyDescent="0.25">
      <c r="A1121" s="19"/>
    </row>
    <row r="1122" spans="1:1" ht="16.5" x14ac:dyDescent="0.25">
      <c r="A1122" s="20"/>
    </row>
    <row r="1123" spans="1:1" ht="16.5" x14ac:dyDescent="0.25">
      <c r="A1123" s="20"/>
    </row>
    <row r="1124" spans="1:1" ht="16.5" x14ac:dyDescent="0.25">
      <c r="A1124" s="20"/>
    </row>
    <row r="1125" spans="1:1" ht="16.5" x14ac:dyDescent="0.25">
      <c r="A1125" s="20"/>
    </row>
    <row r="1126" spans="1:1" x14ac:dyDescent="0.25">
      <c r="A1126" s="21"/>
    </row>
    <row r="1127" spans="1:1" ht="16.5" x14ac:dyDescent="0.25">
      <c r="A1127" s="20"/>
    </row>
    <row r="1128" spans="1:1" x14ac:dyDescent="0.25">
      <c r="A1128" s="19"/>
    </row>
    <row r="1129" spans="1:1" ht="16.5" x14ac:dyDescent="0.25">
      <c r="A1129" s="20"/>
    </row>
    <row r="1130" spans="1:1" ht="16.5" x14ac:dyDescent="0.25">
      <c r="A1130" s="20"/>
    </row>
    <row r="1131" spans="1:1" ht="16.5" x14ac:dyDescent="0.25">
      <c r="A1131" s="20"/>
    </row>
    <row r="1132" spans="1:1" ht="16.5" x14ac:dyDescent="0.25">
      <c r="A1132" s="20"/>
    </row>
    <row r="1133" spans="1:1" x14ac:dyDescent="0.25">
      <c r="A1133" s="21"/>
    </row>
    <row r="1134" spans="1:1" ht="16.5" x14ac:dyDescent="0.25">
      <c r="A1134" s="20"/>
    </row>
    <row r="1135" spans="1:1" x14ac:dyDescent="0.25">
      <c r="A1135" s="19"/>
    </row>
    <row r="1136" spans="1:1" ht="16.5" x14ac:dyDescent="0.25">
      <c r="A1136" s="20"/>
    </row>
    <row r="1137" spans="1:1" ht="16.5" x14ac:dyDescent="0.25">
      <c r="A1137" s="20"/>
    </row>
    <row r="1138" spans="1:1" ht="16.5" x14ac:dyDescent="0.25">
      <c r="A1138" s="20"/>
    </row>
    <row r="1139" spans="1:1" ht="16.5" x14ac:dyDescent="0.25">
      <c r="A1139" s="20"/>
    </row>
    <row r="1140" spans="1:1" x14ac:dyDescent="0.25">
      <c r="A1140" s="21"/>
    </row>
    <row r="1141" spans="1:1" ht="16.5" x14ac:dyDescent="0.25">
      <c r="A1141" s="20"/>
    </row>
    <row r="1142" spans="1:1" x14ac:dyDescent="0.25">
      <c r="A1142" s="19"/>
    </row>
    <row r="1143" spans="1:1" ht="16.5" x14ac:dyDescent="0.25">
      <c r="A1143" s="20"/>
    </row>
    <row r="1144" spans="1:1" ht="16.5" x14ac:dyDescent="0.25">
      <c r="A1144" s="20"/>
    </row>
    <row r="1145" spans="1:1" ht="16.5" x14ac:dyDescent="0.25">
      <c r="A1145" s="20"/>
    </row>
    <row r="1146" spans="1:1" ht="16.5" x14ac:dyDescent="0.25">
      <c r="A1146" s="20"/>
    </row>
    <row r="1147" spans="1:1" x14ac:dyDescent="0.25">
      <c r="A1147" s="21"/>
    </row>
    <row r="1148" spans="1:1" ht="16.5" x14ac:dyDescent="0.25">
      <c r="A1148" s="20"/>
    </row>
    <row r="1149" spans="1:1" x14ac:dyDescent="0.25">
      <c r="A1149" s="19"/>
    </row>
    <row r="1150" spans="1:1" ht="16.5" x14ac:dyDescent="0.25">
      <c r="A1150" s="20"/>
    </row>
    <row r="1151" spans="1:1" ht="16.5" x14ac:dyDescent="0.25">
      <c r="A1151" s="20"/>
    </row>
    <row r="1152" spans="1:1" ht="16.5" x14ac:dyDescent="0.25">
      <c r="A1152" s="20"/>
    </row>
    <row r="1153" spans="1:1" ht="16.5" x14ac:dyDescent="0.25">
      <c r="A1153" s="20"/>
    </row>
    <row r="1154" spans="1:1" x14ac:dyDescent="0.25">
      <c r="A1154" s="21"/>
    </row>
    <row r="1155" spans="1:1" ht="16.5" x14ac:dyDescent="0.25">
      <c r="A1155" s="20"/>
    </row>
    <row r="1156" spans="1:1" x14ac:dyDescent="0.25">
      <c r="A1156" s="19"/>
    </row>
    <row r="1157" spans="1:1" ht="16.5" x14ac:dyDescent="0.25">
      <c r="A1157" s="20"/>
    </row>
    <row r="1158" spans="1:1" ht="16.5" x14ac:dyDescent="0.25">
      <c r="A1158" s="20"/>
    </row>
    <row r="1159" spans="1:1" ht="16.5" x14ac:dyDescent="0.25">
      <c r="A1159" s="20"/>
    </row>
    <row r="1160" spans="1:1" ht="16.5" x14ac:dyDescent="0.25">
      <c r="A1160" s="20"/>
    </row>
    <row r="1161" spans="1:1" x14ac:dyDescent="0.25">
      <c r="A1161" s="21"/>
    </row>
    <row r="1162" spans="1:1" ht="16.5" x14ac:dyDescent="0.25">
      <c r="A1162" s="20"/>
    </row>
    <row r="1163" spans="1:1" x14ac:dyDescent="0.25">
      <c r="A1163" s="19"/>
    </row>
    <row r="1164" spans="1:1" ht="16.5" x14ac:dyDescent="0.25">
      <c r="A1164" s="20"/>
    </row>
    <row r="1165" spans="1:1" ht="16.5" x14ac:dyDescent="0.25">
      <c r="A1165" s="20"/>
    </row>
    <row r="1166" spans="1:1" ht="16.5" x14ac:dyDescent="0.25">
      <c r="A1166" s="20"/>
    </row>
    <row r="1167" spans="1:1" ht="16.5" x14ac:dyDescent="0.25">
      <c r="A1167" s="20"/>
    </row>
    <row r="1168" spans="1:1" x14ac:dyDescent="0.25">
      <c r="A1168" s="21"/>
    </row>
    <row r="1169" spans="1:1" ht="16.5" x14ac:dyDescent="0.25">
      <c r="A1169" s="20"/>
    </row>
    <row r="1170" spans="1:1" x14ac:dyDescent="0.25">
      <c r="A1170" s="19"/>
    </row>
    <row r="1171" spans="1:1" ht="16.5" x14ac:dyDescent="0.25">
      <c r="A1171" s="20"/>
    </row>
    <row r="1172" spans="1:1" ht="16.5" x14ac:dyDescent="0.25">
      <c r="A1172" s="20"/>
    </row>
    <row r="1173" spans="1:1" ht="16.5" x14ac:dyDescent="0.25">
      <c r="A1173" s="20"/>
    </row>
    <row r="1174" spans="1:1" ht="16.5" x14ac:dyDescent="0.25">
      <c r="A1174" s="20"/>
    </row>
    <row r="1175" spans="1:1" x14ac:dyDescent="0.25">
      <c r="A1175" s="21"/>
    </row>
    <row r="1176" spans="1:1" ht="16.5" x14ac:dyDescent="0.25">
      <c r="A1176" s="20"/>
    </row>
    <row r="1177" spans="1:1" x14ac:dyDescent="0.25">
      <c r="A1177" s="19"/>
    </row>
    <row r="1178" spans="1:1" ht="16.5" x14ac:dyDescent="0.25">
      <c r="A1178" s="20"/>
    </row>
    <row r="1179" spans="1:1" ht="16.5" x14ac:dyDescent="0.25">
      <c r="A1179" s="20"/>
    </row>
    <row r="1180" spans="1:1" ht="16.5" x14ac:dyDescent="0.25">
      <c r="A1180" s="20"/>
    </row>
    <row r="1181" spans="1:1" ht="16.5" x14ac:dyDescent="0.25">
      <c r="A1181" s="20"/>
    </row>
    <row r="1182" spans="1:1" x14ac:dyDescent="0.25">
      <c r="A1182" s="21"/>
    </row>
    <row r="1183" spans="1:1" ht="16.5" x14ac:dyDescent="0.25">
      <c r="A1183" s="20"/>
    </row>
    <row r="1184" spans="1:1" x14ac:dyDescent="0.25">
      <c r="A1184" s="19"/>
    </row>
    <row r="1185" spans="1:1" ht="16.5" x14ac:dyDescent="0.25">
      <c r="A1185" s="20"/>
    </row>
    <row r="1186" spans="1:1" ht="16.5" x14ac:dyDescent="0.25">
      <c r="A1186" s="20"/>
    </row>
    <row r="1187" spans="1:1" ht="16.5" x14ac:dyDescent="0.25">
      <c r="A1187" s="20"/>
    </row>
    <row r="1188" spans="1:1" ht="16.5" x14ac:dyDescent="0.25">
      <c r="A1188" s="20"/>
    </row>
    <row r="1189" spans="1:1" x14ac:dyDescent="0.25">
      <c r="A1189" s="21"/>
    </row>
    <row r="1190" spans="1:1" ht="16.5" x14ac:dyDescent="0.25">
      <c r="A1190" s="20"/>
    </row>
    <row r="1191" spans="1:1" x14ac:dyDescent="0.25">
      <c r="A1191" s="19"/>
    </row>
    <row r="1192" spans="1:1" ht="16.5" x14ac:dyDescent="0.25">
      <c r="A1192" s="20"/>
    </row>
    <row r="1193" spans="1:1" ht="16.5" x14ac:dyDescent="0.25">
      <c r="A1193" s="20"/>
    </row>
    <row r="1194" spans="1:1" ht="16.5" x14ac:dyDescent="0.25">
      <c r="A1194" s="20"/>
    </row>
    <row r="1195" spans="1:1" ht="16.5" x14ac:dyDescent="0.25">
      <c r="A1195" s="20"/>
    </row>
    <row r="1196" spans="1:1" x14ac:dyDescent="0.25">
      <c r="A1196" s="21"/>
    </row>
    <row r="1197" spans="1:1" ht="16.5" x14ac:dyDescent="0.25">
      <c r="A1197" s="20"/>
    </row>
    <row r="1198" spans="1:1" x14ac:dyDescent="0.25">
      <c r="A1198" s="19"/>
    </row>
    <row r="1199" spans="1:1" ht="16.5" x14ac:dyDescent="0.25">
      <c r="A1199" s="20"/>
    </row>
    <row r="1200" spans="1:1" ht="16.5" x14ac:dyDescent="0.25">
      <c r="A1200" s="20"/>
    </row>
    <row r="1201" spans="1:1" ht="16.5" x14ac:dyDescent="0.25">
      <c r="A1201" s="20"/>
    </row>
    <row r="1202" spans="1:1" ht="16.5" x14ac:dyDescent="0.25">
      <c r="A1202" s="20"/>
    </row>
    <row r="1203" spans="1:1" x14ac:dyDescent="0.25">
      <c r="A1203" s="21"/>
    </row>
    <row r="1204" spans="1:1" ht="16.5" x14ac:dyDescent="0.25">
      <c r="A1204" s="20"/>
    </row>
    <row r="1205" spans="1:1" x14ac:dyDescent="0.25">
      <c r="A1205" s="19"/>
    </row>
    <row r="1206" spans="1:1" ht="16.5" x14ac:dyDescent="0.25">
      <c r="A1206" s="20"/>
    </row>
    <row r="1207" spans="1:1" ht="16.5" x14ac:dyDescent="0.25">
      <c r="A1207" s="20"/>
    </row>
    <row r="1208" spans="1:1" ht="16.5" x14ac:dyDescent="0.25">
      <c r="A1208" s="20"/>
    </row>
    <row r="1209" spans="1:1" ht="16.5" x14ac:dyDescent="0.25">
      <c r="A1209" s="20"/>
    </row>
    <row r="1210" spans="1:1" x14ac:dyDescent="0.25">
      <c r="A1210" s="21"/>
    </row>
    <row r="1211" spans="1:1" ht="16.5" x14ac:dyDescent="0.25">
      <c r="A1211" s="20"/>
    </row>
    <row r="1212" spans="1:1" x14ac:dyDescent="0.25">
      <c r="A1212" s="19"/>
    </row>
    <row r="1213" spans="1:1" ht="16.5" x14ac:dyDescent="0.25">
      <c r="A1213" s="20"/>
    </row>
    <row r="1214" spans="1:1" ht="16.5" x14ac:dyDescent="0.25">
      <c r="A1214" s="20"/>
    </row>
    <row r="1215" spans="1:1" ht="16.5" x14ac:dyDescent="0.25">
      <c r="A1215" s="20"/>
    </row>
    <row r="1216" spans="1:1" ht="16.5" x14ac:dyDescent="0.25">
      <c r="A1216" s="20"/>
    </row>
    <row r="1217" spans="1:1" x14ac:dyDescent="0.25">
      <c r="A1217" s="21"/>
    </row>
    <row r="1218" spans="1:1" ht="16.5" x14ac:dyDescent="0.25">
      <c r="A1218" s="20"/>
    </row>
    <row r="1219" spans="1:1" x14ac:dyDescent="0.25">
      <c r="A1219" s="19"/>
    </row>
    <row r="1220" spans="1:1" ht="16.5" x14ac:dyDescent="0.25">
      <c r="A1220" s="20"/>
    </row>
    <row r="1221" spans="1:1" ht="16.5" x14ac:dyDescent="0.25">
      <c r="A1221" s="20"/>
    </row>
    <row r="1222" spans="1:1" ht="16.5" x14ac:dyDescent="0.25">
      <c r="A1222" s="20"/>
    </row>
    <row r="1223" spans="1:1" ht="16.5" x14ac:dyDescent="0.25">
      <c r="A1223" s="20"/>
    </row>
    <row r="1224" spans="1:1" x14ac:dyDescent="0.25">
      <c r="A1224" s="21"/>
    </row>
    <row r="1225" spans="1:1" ht="16.5" x14ac:dyDescent="0.25">
      <c r="A1225" s="20"/>
    </row>
    <row r="1226" spans="1:1" x14ac:dyDescent="0.25">
      <c r="A1226" s="19"/>
    </row>
    <row r="1227" spans="1:1" ht="16.5" x14ac:dyDescent="0.25">
      <c r="A1227" s="20"/>
    </row>
    <row r="1228" spans="1:1" ht="16.5" x14ac:dyDescent="0.25">
      <c r="A1228" s="20"/>
    </row>
    <row r="1229" spans="1:1" ht="16.5" x14ac:dyDescent="0.25">
      <c r="A1229" s="20"/>
    </row>
    <row r="1230" spans="1:1" ht="16.5" x14ac:dyDescent="0.25">
      <c r="A1230" s="20"/>
    </row>
    <row r="1231" spans="1:1" x14ac:dyDescent="0.25">
      <c r="A1231" s="21"/>
    </row>
    <row r="1232" spans="1:1" ht="16.5" x14ac:dyDescent="0.25">
      <c r="A1232" s="20"/>
    </row>
    <row r="1233" spans="1:1" x14ac:dyDescent="0.25">
      <c r="A1233" s="19"/>
    </row>
    <row r="1234" spans="1:1" ht="16.5" x14ac:dyDescent="0.25">
      <c r="A1234" s="20"/>
    </row>
    <row r="1235" spans="1:1" ht="16.5" x14ac:dyDescent="0.25">
      <c r="A1235" s="20"/>
    </row>
    <row r="1236" spans="1:1" ht="16.5" x14ac:dyDescent="0.25">
      <c r="A1236" s="20"/>
    </row>
    <row r="1237" spans="1:1" ht="16.5" x14ac:dyDescent="0.25">
      <c r="A1237" s="20"/>
    </row>
    <row r="1238" spans="1:1" x14ac:dyDescent="0.25">
      <c r="A1238" s="21"/>
    </row>
    <row r="1239" spans="1:1" ht="16.5" x14ac:dyDescent="0.25">
      <c r="A1239" s="20"/>
    </row>
    <row r="1240" spans="1:1" x14ac:dyDescent="0.25">
      <c r="A1240" s="19"/>
    </row>
    <row r="1241" spans="1:1" ht="16.5" x14ac:dyDescent="0.25">
      <c r="A1241" s="20"/>
    </row>
    <row r="1242" spans="1:1" ht="16.5" x14ac:dyDescent="0.25">
      <c r="A1242" s="20"/>
    </row>
    <row r="1243" spans="1:1" ht="16.5" x14ac:dyDescent="0.25">
      <c r="A1243" s="20"/>
    </row>
    <row r="1244" spans="1:1" ht="16.5" x14ac:dyDescent="0.25">
      <c r="A1244" s="20"/>
    </row>
    <row r="1245" spans="1:1" x14ac:dyDescent="0.25">
      <c r="A1245" s="21"/>
    </row>
    <row r="1246" spans="1:1" ht="16.5" x14ac:dyDescent="0.25">
      <c r="A1246" s="20"/>
    </row>
    <row r="1247" spans="1:1" x14ac:dyDescent="0.25">
      <c r="A1247" s="19"/>
    </row>
    <row r="1248" spans="1:1" ht="16.5" x14ac:dyDescent="0.25">
      <c r="A1248" s="20"/>
    </row>
    <row r="1249" spans="1:1" ht="16.5" x14ac:dyDescent="0.25">
      <c r="A1249" s="20"/>
    </row>
    <row r="1250" spans="1:1" ht="16.5" x14ac:dyDescent="0.25">
      <c r="A1250" s="20"/>
    </row>
    <row r="1251" spans="1:1" ht="16.5" x14ac:dyDescent="0.25">
      <c r="A1251" s="20"/>
    </row>
    <row r="1252" spans="1:1" x14ac:dyDescent="0.25">
      <c r="A1252" s="21"/>
    </row>
    <row r="1253" spans="1:1" ht="16.5" x14ac:dyDescent="0.25">
      <c r="A1253" s="20"/>
    </row>
    <row r="1254" spans="1:1" x14ac:dyDescent="0.25">
      <c r="A1254" s="19"/>
    </row>
    <row r="1255" spans="1:1" ht="16.5" x14ac:dyDescent="0.25">
      <c r="A1255" s="20"/>
    </row>
    <row r="1256" spans="1:1" ht="16.5" x14ac:dyDescent="0.25">
      <c r="A1256" s="20"/>
    </row>
    <row r="1257" spans="1:1" ht="16.5" x14ac:dyDescent="0.25">
      <c r="A1257" s="20"/>
    </row>
    <row r="1258" spans="1:1" ht="16.5" x14ac:dyDescent="0.25">
      <c r="A1258" s="20"/>
    </row>
    <row r="1259" spans="1:1" x14ac:dyDescent="0.25">
      <c r="A1259" s="21"/>
    </row>
    <row r="1260" spans="1:1" ht="16.5" x14ac:dyDescent="0.25">
      <c r="A1260" s="20"/>
    </row>
    <row r="1261" spans="1:1" x14ac:dyDescent="0.25">
      <c r="A1261" s="19"/>
    </row>
    <row r="1262" spans="1:1" ht="16.5" x14ac:dyDescent="0.25">
      <c r="A1262" s="20"/>
    </row>
    <row r="1263" spans="1:1" ht="16.5" x14ac:dyDescent="0.25">
      <c r="A1263" s="20"/>
    </row>
    <row r="1264" spans="1:1" ht="16.5" x14ac:dyDescent="0.25">
      <c r="A1264" s="20"/>
    </row>
    <row r="1265" spans="1:1" ht="16.5" x14ac:dyDescent="0.25">
      <c r="A1265" s="20"/>
    </row>
    <row r="1266" spans="1:1" x14ac:dyDescent="0.25">
      <c r="A1266" s="21"/>
    </row>
    <row r="1267" spans="1:1" ht="16.5" x14ac:dyDescent="0.25">
      <c r="A1267" s="20"/>
    </row>
    <row r="1268" spans="1:1" x14ac:dyDescent="0.25">
      <c r="A1268" s="19"/>
    </row>
    <row r="1269" spans="1:1" ht="16.5" x14ac:dyDescent="0.25">
      <c r="A1269" s="20"/>
    </row>
    <row r="1270" spans="1:1" ht="16.5" x14ac:dyDescent="0.25">
      <c r="A1270" s="20"/>
    </row>
    <row r="1271" spans="1:1" ht="16.5" x14ac:dyDescent="0.25">
      <c r="A1271" s="20"/>
    </row>
    <row r="1272" spans="1:1" ht="16.5" x14ac:dyDescent="0.25">
      <c r="A1272" s="20"/>
    </row>
    <row r="1273" spans="1:1" x14ac:dyDescent="0.25">
      <c r="A1273" s="21"/>
    </row>
    <row r="1274" spans="1:1" ht="16.5" x14ac:dyDescent="0.25">
      <c r="A1274" s="20"/>
    </row>
    <row r="1275" spans="1:1" x14ac:dyDescent="0.25">
      <c r="A1275" s="19"/>
    </row>
    <row r="1276" spans="1:1" ht="16.5" x14ac:dyDescent="0.25">
      <c r="A1276" s="20"/>
    </row>
    <row r="1277" spans="1:1" ht="16.5" x14ac:dyDescent="0.25">
      <c r="A1277" s="20"/>
    </row>
    <row r="1278" spans="1:1" ht="16.5" x14ac:dyDescent="0.25">
      <c r="A1278" s="20"/>
    </row>
    <row r="1279" spans="1:1" ht="16.5" x14ac:dyDescent="0.25">
      <c r="A1279" s="20"/>
    </row>
    <row r="1280" spans="1:1" x14ac:dyDescent="0.25">
      <c r="A1280" s="21"/>
    </row>
    <row r="1281" spans="1:1" ht="16.5" x14ac:dyDescent="0.25">
      <c r="A1281" s="20"/>
    </row>
    <row r="1282" spans="1:1" x14ac:dyDescent="0.25">
      <c r="A1282" s="19"/>
    </row>
    <row r="1283" spans="1:1" ht="16.5" x14ac:dyDescent="0.25">
      <c r="A1283" s="20"/>
    </row>
    <row r="1284" spans="1:1" ht="16.5" x14ac:dyDescent="0.25">
      <c r="A1284" s="20"/>
    </row>
    <row r="1285" spans="1:1" ht="16.5" x14ac:dyDescent="0.25">
      <c r="A1285" s="20"/>
    </row>
    <row r="1286" spans="1:1" ht="16.5" x14ac:dyDescent="0.25">
      <c r="A1286" s="20"/>
    </row>
    <row r="1287" spans="1:1" ht="16.5" x14ac:dyDescent="0.25">
      <c r="A1287" s="20"/>
    </row>
    <row r="1288" spans="1:1" x14ac:dyDescent="0.25">
      <c r="A1288" s="21"/>
    </row>
    <row r="1289" spans="1:1" ht="16.5" x14ac:dyDescent="0.25">
      <c r="A1289" s="20"/>
    </row>
    <row r="1290" spans="1:1" x14ac:dyDescent="0.25">
      <c r="A1290" s="19"/>
    </row>
    <row r="1291" spans="1:1" ht="16.5" x14ac:dyDescent="0.25">
      <c r="A1291" s="20"/>
    </row>
    <row r="1292" spans="1:1" ht="16.5" x14ac:dyDescent="0.25">
      <c r="A1292" s="20"/>
    </row>
    <row r="1293" spans="1:1" ht="16.5" x14ac:dyDescent="0.25">
      <c r="A1293" s="20"/>
    </row>
    <row r="1294" spans="1:1" ht="16.5" x14ac:dyDescent="0.25">
      <c r="A1294" s="20"/>
    </row>
    <row r="1295" spans="1:1" x14ac:dyDescent="0.25">
      <c r="A1295" s="21"/>
    </row>
    <row r="1296" spans="1:1" ht="16.5" x14ac:dyDescent="0.25">
      <c r="A1296" s="20"/>
    </row>
    <row r="1297" spans="1:1" x14ac:dyDescent="0.25">
      <c r="A1297" s="19"/>
    </row>
    <row r="1298" spans="1:1" ht="16.5" x14ac:dyDescent="0.25">
      <c r="A1298" s="20"/>
    </row>
    <row r="1299" spans="1:1" ht="16.5" x14ac:dyDescent="0.25">
      <c r="A1299" s="20"/>
    </row>
    <row r="1300" spans="1:1" ht="16.5" x14ac:dyDescent="0.25">
      <c r="A1300" s="20"/>
    </row>
    <row r="1301" spans="1:1" ht="16.5" x14ac:dyDescent="0.25">
      <c r="A1301" s="20"/>
    </row>
    <row r="1302" spans="1:1" x14ac:dyDescent="0.25">
      <c r="A1302" s="21"/>
    </row>
    <row r="1303" spans="1:1" ht="16.5" x14ac:dyDescent="0.25">
      <c r="A1303" s="20"/>
    </row>
    <row r="1304" spans="1:1" x14ac:dyDescent="0.25">
      <c r="A1304" s="19"/>
    </row>
    <row r="1305" spans="1:1" ht="16.5" x14ac:dyDescent="0.25">
      <c r="A1305" s="20"/>
    </row>
    <row r="1306" spans="1:1" ht="16.5" x14ac:dyDescent="0.25">
      <c r="A1306" s="20"/>
    </row>
    <row r="1307" spans="1:1" ht="16.5" x14ac:dyDescent="0.25">
      <c r="A1307" s="20"/>
    </row>
    <row r="1308" spans="1:1" ht="16.5" x14ac:dyDescent="0.25">
      <c r="A1308" s="20"/>
    </row>
    <row r="1309" spans="1:1" x14ac:dyDescent="0.25">
      <c r="A1309" s="21"/>
    </row>
    <row r="1310" spans="1:1" ht="16.5" x14ac:dyDescent="0.25">
      <c r="A1310" s="20"/>
    </row>
    <row r="1311" spans="1:1" x14ac:dyDescent="0.25">
      <c r="A1311" s="19"/>
    </row>
    <row r="1312" spans="1:1" ht="16.5" x14ac:dyDescent="0.25">
      <c r="A1312" s="20"/>
    </row>
    <row r="1313" spans="1:1" ht="16.5" x14ac:dyDescent="0.25">
      <c r="A1313" s="20"/>
    </row>
    <row r="1314" spans="1:1" ht="16.5" x14ac:dyDescent="0.25">
      <c r="A1314" s="20"/>
    </row>
    <row r="1315" spans="1:1" ht="16.5" x14ac:dyDescent="0.25">
      <c r="A1315" s="20"/>
    </row>
    <row r="1316" spans="1:1" x14ac:dyDescent="0.25">
      <c r="A1316" s="21"/>
    </row>
    <row r="1317" spans="1:1" ht="16.5" x14ac:dyDescent="0.25">
      <c r="A1317" s="20"/>
    </row>
    <row r="1318" spans="1:1" x14ac:dyDescent="0.25">
      <c r="A1318" s="19"/>
    </row>
    <row r="1319" spans="1:1" ht="16.5" x14ac:dyDescent="0.25">
      <c r="A1319" s="20"/>
    </row>
    <row r="1320" spans="1:1" ht="16.5" x14ac:dyDescent="0.25">
      <c r="A1320" s="20"/>
    </row>
    <row r="1321" spans="1:1" ht="16.5" x14ac:dyDescent="0.25">
      <c r="A1321" s="20"/>
    </row>
    <row r="1322" spans="1:1" ht="16.5" x14ac:dyDescent="0.25">
      <c r="A1322" s="20"/>
    </row>
    <row r="1323" spans="1:1" x14ac:dyDescent="0.25">
      <c r="A1323" s="21"/>
    </row>
    <row r="1324" spans="1:1" ht="16.5" x14ac:dyDescent="0.25">
      <c r="A1324" s="20"/>
    </row>
    <row r="1325" spans="1:1" x14ac:dyDescent="0.25">
      <c r="A1325" s="19"/>
    </row>
    <row r="1326" spans="1:1" ht="16.5" x14ac:dyDescent="0.25">
      <c r="A1326" s="20"/>
    </row>
    <row r="1327" spans="1:1" ht="16.5" x14ac:dyDescent="0.25">
      <c r="A1327" s="20"/>
    </row>
    <row r="1328" spans="1:1" ht="16.5" x14ac:dyDescent="0.25">
      <c r="A1328" s="20"/>
    </row>
    <row r="1329" spans="1:1" ht="16.5" x14ac:dyDescent="0.25">
      <c r="A1329" s="20"/>
    </row>
    <row r="1330" spans="1:1" x14ac:dyDescent="0.25">
      <c r="A1330" s="21"/>
    </row>
    <row r="1331" spans="1:1" ht="16.5" x14ac:dyDescent="0.25">
      <c r="A1331" s="20"/>
    </row>
    <row r="1332" spans="1:1" x14ac:dyDescent="0.25">
      <c r="A1332" s="19"/>
    </row>
    <row r="1333" spans="1:1" ht="16.5" x14ac:dyDescent="0.25">
      <c r="A1333" s="20"/>
    </row>
    <row r="1334" spans="1:1" ht="16.5" x14ac:dyDescent="0.25">
      <c r="A1334" s="20"/>
    </row>
    <row r="1335" spans="1:1" ht="16.5" x14ac:dyDescent="0.25">
      <c r="A1335" s="20"/>
    </row>
    <row r="1336" spans="1:1" ht="16.5" x14ac:dyDescent="0.25">
      <c r="A1336" s="20"/>
    </row>
    <row r="1337" spans="1:1" x14ac:dyDescent="0.25">
      <c r="A1337" s="21"/>
    </row>
    <row r="1338" spans="1:1" ht="16.5" x14ac:dyDescent="0.25">
      <c r="A1338" s="20"/>
    </row>
    <row r="1339" spans="1:1" x14ac:dyDescent="0.25">
      <c r="A1339" s="19"/>
    </row>
    <row r="1340" spans="1:1" ht="16.5" x14ac:dyDescent="0.25">
      <c r="A1340" s="20"/>
    </row>
    <row r="1341" spans="1:1" ht="16.5" x14ac:dyDescent="0.25">
      <c r="A1341" s="20"/>
    </row>
    <row r="1342" spans="1:1" ht="16.5" x14ac:dyDescent="0.25">
      <c r="A1342" s="20"/>
    </row>
    <row r="1343" spans="1:1" ht="16.5" x14ac:dyDescent="0.25">
      <c r="A1343" s="20"/>
    </row>
    <row r="1344" spans="1:1" x14ac:dyDescent="0.25">
      <c r="A1344" s="21"/>
    </row>
    <row r="1345" spans="1:1" ht="16.5" x14ac:dyDescent="0.25">
      <c r="A1345" s="20"/>
    </row>
    <row r="1346" spans="1:1" x14ac:dyDescent="0.25">
      <c r="A1346" s="19"/>
    </row>
    <row r="1347" spans="1:1" ht="16.5" x14ac:dyDescent="0.25">
      <c r="A1347" s="20"/>
    </row>
    <row r="1348" spans="1:1" ht="16.5" x14ac:dyDescent="0.25">
      <c r="A1348" s="20"/>
    </row>
    <row r="1349" spans="1:1" ht="16.5" x14ac:dyDescent="0.25">
      <c r="A1349" s="20"/>
    </row>
    <row r="1350" spans="1:1" ht="16.5" x14ac:dyDescent="0.25">
      <c r="A1350" s="20"/>
    </row>
    <row r="1351" spans="1:1" x14ac:dyDescent="0.25">
      <c r="A1351" s="21"/>
    </row>
    <row r="1352" spans="1:1" ht="16.5" x14ac:dyDescent="0.25">
      <c r="A1352" s="20"/>
    </row>
    <row r="1353" spans="1:1" x14ac:dyDescent="0.25">
      <c r="A1353" s="19"/>
    </row>
    <row r="1354" spans="1:1" ht="16.5" x14ac:dyDescent="0.25">
      <c r="A1354" s="20"/>
    </row>
    <row r="1355" spans="1:1" ht="16.5" x14ac:dyDescent="0.25">
      <c r="A1355" s="20"/>
    </row>
    <row r="1356" spans="1:1" ht="16.5" x14ac:dyDescent="0.25">
      <c r="A1356" s="20"/>
    </row>
    <row r="1357" spans="1:1" ht="16.5" x14ac:dyDescent="0.25">
      <c r="A1357" s="20"/>
    </row>
    <row r="1358" spans="1:1" x14ac:dyDescent="0.25">
      <c r="A1358" s="21"/>
    </row>
    <row r="1359" spans="1:1" ht="16.5" x14ac:dyDescent="0.25">
      <c r="A1359" s="20"/>
    </row>
    <row r="1360" spans="1:1" x14ac:dyDescent="0.25">
      <c r="A1360" s="19"/>
    </row>
    <row r="1361" spans="1:1" ht="16.5" x14ac:dyDescent="0.25">
      <c r="A1361" s="20"/>
    </row>
    <row r="1362" spans="1:1" ht="16.5" x14ac:dyDescent="0.25">
      <c r="A1362" s="20"/>
    </row>
    <row r="1363" spans="1:1" ht="16.5" x14ac:dyDescent="0.25">
      <c r="A1363" s="20"/>
    </row>
    <row r="1364" spans="1:1" ht="16.5" x14ac:dyDescent="0.25">
      <c r="A1364" s="20"/>
    </row>
    <row r="1365" spans="1:1" x14ac:dyDescent="0.25">
      <c r="A1365" s="21"/>
    </row>
    <row r="1366" spans="1:1" ht="16.5" x14ac:dyDescent="0.25">
      <c r="A1366" s="20"/>
    </row>
    <row r="1367" spans="1:1" x14ac:dyDescent="0.25">
      <c r="A1367" s="19"/>
    </row>
    <row r="1368" spans="1:1" ht="16.5" x14ac:dyDescent="0.25">
      <c r="A1368" s="20"/>
    </row>
    <row r="1369" spans="1:1" ht="16.5" x14ac:dyDescent="0.25">
      <c r="A1369" s="20"/>
    </row>
    <row r="1370" spans="1:1" ht="16.5" x14ac:dyDescent="0.25">
      <c r="A1370" s="20"/>
    </row>
    <row r="1371" spans="1:1" ht="16.5" x14ac:dyDescent="0.25">
      <c r="A1371" s="20"/>
    </row>
    <row r="1372" spans="1:1" x14ac:dyDescent="0.25">
      <c r="A1372" s="21"/>
    </row>
    <row r="1373" spans="1:1" ht="16.5" x14ac:dyDescent="0.25">
      <c r="A1373" s="20"/>
    </row>
    <row r="1374" spans="1:1" x14ac:dyDescent="0.25">
      <c r="A1374" s="19"/>
    </row>
    <row r="1375" spans="1:1" ht="16.5" x14ac:dyDescent="0.25">
      <c r="A1375" s="20"/>
    </row>
    <row r="1376" spans="1:1" ht="16.5" x14ac:dyDescent="0.25">
      <c r="A1376" s="20"/>
    </row>
    <row r="1377" spans="1:1" ht="16.5" x14ac:dyDescent="0.25">
      <c r="A1377" s="20"/>
    </row>
    <row r="1378" spans="1:1" ht="16.5" x14ac:dyDescent="0.25">
      <c r="A1378" s="20"/>
    </row>
    <row r="1379" spans="1:1" x14ac:dyDescent="0.25">
      <c r="A1379" s="21"/>
    </row>
    <row r="1380" spans="1:1" ht="16.5" x14ac:dyDescent="0.25">
      <c r="A1380" s="20"/>
    </row>
    <row r="1381" spans="1:1" x14ac:dyDescent="0.25">
      <c r="A1381" s="19"/>
    </row>
    <row r="1382" spans="1:1" ht="16.5" x14ac:dyDescent="0.25">
      <c r="A1382" s="20"/>
    </row>
    <row r="1383" spans="1:1" ht="16.5" x14ac:dyDescent="0.25">
      <c r="A1383" s="20"/>
    </row>
    <row r="1384" spans="1:1" ht="16.5" x14ac:dyDescent="0.25">
      <c r="A1384" s="20"/>
    </row>
    <row r="1385" spans="1:1" ht="16.5" x14ac:dyDescent="0.25">
      <c r="A1385" s="20"/>
    </row>
    <row r="1386" spans="1:1" x14ac:dyDescent="0.25">
      <c r="A1386" s="21"/>
    </row>
    <row r="1387" spans="1:1" ht="16.5" x14ac:dyDescent="0.25">
      <c r="A1387" s="20"/>
    </row>
    <row r="1388" spans="1:1" x14ac:dyDescent="0.25">
      <c r="A1388" s="19"/>
    </row>
    <row r="1389" spans="1:1" ht="16.5" x14ac:dyDescent="0.25">
      <c r="A1389" s="20"/>
    </row>
    <row r="1390" spans="1:1" ht="16.5" x14ac:dyDescent="0.25">
      <c r="A1390" s="20"/>
    </row>
    <row r="1391" spans="1:1" ht="16.5" x14ac:dyDescent="0.25">
      <c r="A1391" s="20"/>
    </row>
    <row r="1392" spans="1:1" ht="16.5" x14ac:dyDescent="0.25">
      <c r="A1392" s="20"/>
    </row>
    <row r="1393" spans="1:1" x14ac:dyDescent="0.25">
      <c r="A1393" s="21"/>
    </row>
    <row r="1394" spans="1:1" ht="16.5" x14ac:dyDescent="0.25">
      <c r="A1394" s="20"/>
    </row>
    <row r="1395" spans="1:1" x14ac:dyDescent="0.25">
      <c r="A1395" s="19"/>
    </row>
    <row r="1396" spans="1:1" ht="16.5" x14ac:dyDescent="0.25">
      <c r="A1396" s="20"/>
    </row>
    <row r="1397" spans="1:1" ht="16.5" x14ac:dyDescent="0.25">
      <c r="A1397" s="20"/>
    </row>
    <row r="1398" spans="1:1" ht="16.5" x14ac:dyDescent="0.25">
      <c r="A1398" s="20"/>
    </row>
    <row r="1399" spans="1:1" ht="16.5" x14ac:dyDescent="0.25">
      <c r="A1399" s="20"/>
    </row>
    <row r="1400" spans="1:1" x14ac:dyDescent="0.25">
      <c r="A1400" s="21"/>
    </row>
    <row r="1401" spans="1:1" ht="16.5" x14ac:dyDescent="0.25">
      <c r="A1401" s="20"/>
    </row>
    <row r="1402" spans="1:1" x14ac:dyDescent="0.25">
      <c r="A1402" s="19"/>
    </row>
    <row r="1403" spans="1:1" ht="16.5" x14ac:dyDescent="0.25">
      <c r="A1403" s="20"/>
    </row>
    <row r="1404" spans="1:1" ht="16.5" x14ac:dyDescent="0.25">
      <c r="A1404" s="20"/>
    </row>
    <row r="1405" spans="1:1" ht="16.5" x14ac:dyDescent="0.25">
      <c r="A1405" s="20"/>
    </row>
    <row r="1406" spans="1:1" ht="16.5" x14ac:dyDescent="0.25">
      <c r="A1406" s="20"/>
    </row>
    <row r="1407" spans="1:1" x14ac:dyDescent="0.25">
      <c r="A1407" s="21"/>
    </row>
    <row r="1408" spans="1:1" ht="16.5" x14ac:dyDescent="0.25">
      <c r="A1408" s="20"/>
    </row>
    <row r="1409" spans="1:1" x14ac:dyDescent="0.25">
      <c r="A1409" s="19"/>
    </row>
    <row r="1410" spans="1:1" ht="16.5" x14ac:dyDescent="0.25">
      <c r="A1410" s="20"/>
    </row>
    <row r="1411" spans="1:1" ht="16.5" x14ac:dyDescent="0.25">
      <c r="A1411" s="20"/>
    </row>
    <row r="1412" spans="1:1" ht="16.5" x14ac:dyDescent="0.25">
      <c r="A1412" s="20"/>
    </row>
    <row r="1413" spans="1:1" ht="16.5" x14ac:dyDescent="0.25">
      <c r="A1413" s="20"/>
    </row>
    <row r="1414" spans="1:1" x14ac:dyDescent="0.25">
      <c r="A1414" s="21"/>
    </row>
    <row r="1415" spans="1:1" ht="16.5" x14ac:dyDescent="0.25">
      <c r="A1415" s="20"/>
    </row>
    <row r="1416" spans="1:1" x14ac:dyDescent="0.25">
      <c r="A1416" s="19"/>
    </row>
    <row r="1417" spans="1:1" ht="16.5" x14ac:dyDescent="0.25">
      <c r="A1417" s="20"/>
    </row>
    <row r="1418" spans="1:1" ht="16.5" x14ac:dyDescent="0.25">
      <c r="A1418" s="20"/>
    </row>
    <row r="1419" spans="1:1" ht="16.5" x14ac:dyDescent="0.25">
      <c r="A1419" s="20"/>
    </row>
    <row r="1420" spans="1:1" ht="16.5" x14ac:dyDescent="0.25">
      <c r="A1420" s="20"/>
    </row>
    <row r="1421" spans="1:1" x14ac:dyDescent="0.25">
      <c r="A1421" s="21"/>
    </row>
    <row r="1422" spans="1:1" ht="16.5" x14ac:dyDescent="0.25">
      <c r="A1422" s="20"/>
    </row>
    <row r="1423" spans="1:1" x14ac:dyDescent="0.25">
      <c r="A1423" s="19"/>
    </row>
    <row r="1424" spans="1:1" ht="16.5" x14ac:dyDescent="0.25">
      <c r="A1424" s="20"/>
    </row>
    <row r="1425" spans="1:1" ht="16.5" x14ac:dyDescent="0.25">
      <c r="A1425" s="20"/>
    </row>
    <row r="1426" spans="1:1" ht="16.5" x14ac:dyDescent="0.25">
      <c r="A1426" s="20"/>
    </row>
    <row r="1427" spans="1:1" ht="16.5" x14ac:dyDescent="0.25">
      <c r="A1427" s="20"/>
    </row>
    <row r="1428" spans="1:1" x14ac:dyDescent="0.25">
      <c r="A1428" s="21"/>
    </row>
    <row r="1429" spans="1:1" ht="16.5" x14ac:dyDescent="0.25">
      <c r="A1429" s="20"/>
    </row>
    <row r="1430" spans="1:1" x14ac:dyDescent="0.25">
      <c r="A1430" s="19"/>
    </row>
    <row r="1431" spans="1:1" ht="16.5" x14ac:dyDescent="0.25">
      <c r="A1431" s="20"/>
    </row>
    <row r="1432" spans="1:1" ht="16.5" x14ac:dyDescent="0.25">
      <c r="A1432" s="20"/>
    </row>
    <row r="1433" spans="1:1" ht="16.5" x14ac:dyDescent="0.25">
      <c r="A1433" s="20"/>
    </row>
    <row r="1434" spans="1:1" ht="16.5" x14ac:dyDescent="0.25">
      <c r="A1434" s="20"/>
    </row>
    <row r="1435" spans="1:1" x14ac:dyDescent="0.25">
      <c r="A1435" s="21"/>
    </row>
    <row r="1436" spans="1:1" ht="16.5" x14ac:dyDescent="0.25">
      <c r="A1436" s="20"/>
    </row>
    <row r="1437" spans="1:1" x14ac:dyDescent="0.25">
      <c r="A1437" s="19"/>
    </row>
    <row r="1438" spans="1:1" ht="16.5" x14ac:dyDescent="0.25">
      <c r="A1438" s="20"/>
    </row>
    <row r="1439" spans="1:1" ht="16.5" x14ac:dyDescent="0.25">
      <c r="A1439" s="20"/>
    </row>
    <row r="1440" spans="1:1" ht="16.5" x14ac:dyDescent="0.25">
      <c r="A1440" s="20"/>
    </row>
    <row r="1441" spans="1:1" ht="16.5" x14ac:dyDescent="0.25">
      <c r="A1441" s="20"/>
    </row>
    <row r="1442" spans="1:1" x14ac:dyDescent="0.25">
      <c r="A1442" s="21"/>
    </row>
    <row r="1443" spans="1:1" ht="16.5" x14ac:dyDescent="0.25">
      <c r="A1443" s="20"/>
    </row>
    <row r="1444" spans="1:1" x14ac:dyDescent="0.25">
      <c r="A1444" s="19"/>
    </row>
    <row r="1445" spans="1:1" ht="16.5" x14ac:dyDescent="0.25">
      <c r="A1445" s="20"/>
    </row>
    <row r="1446" spans="1:1" ht="16.5" x14ac:dyDescent="0.25">
      <c r="A1446" s="20"/>
    </row>
    <row r="1447" spans="1:1" ht="16.5" x14ac:dyDescent="0.25">
      <c r="A1447" s="20"/>
    </row>
    <row r="1448" spans="1:1" ht="16.5" x14ac:dyDescent="0.25">
      <c r="A1448" s="20"/>
    </row>
    <row r="1449" spans="1:1" x14ac:dyDescent="0.25">
      <c r="A1449" s="21"/>
    </row>
    <row r="1450" spans="1:1" ht="16.5" x14ac:dyDescent="0.25">
      <c r="A1450" s="20"/>
    </row>
    <row r="1451" spans="1:1" x14ac:dyDescent="0.25">
      <c r="A1451" s="19"/>
    </row>
    <row r="1452" spans="1:1" ht="16.5" x14ac:dyDescent="0.25">
      <c r="A1452" s="20"/>
    </row>
    <row r="1453" spans="1:1" ht="16.5" x14ac:dyDescent="0.25">
      <c r="A1453" s="20"/>
    </row>
    <row r="1454" spans="1:1" ht="16.5" x14ac:dyDescent="0.25">
      <c r="A1454" s="20"/>
    </row>
    <row r="1455" spans="1:1" ht="16.5" x14ac:dyDescent="0.25">
      <c r="A1455" s="20"/>
    </row>
    <row r="1456" spans="1:1" x14ac:dyDescent="0.25">
      <c r="A1456" s="21"/>
    </row>
    <row r="1457" spans="1:1" ht="16.5" x14ac:dyDescent="0.25">
      <c r="A1457" s="20"/>
    </row>
    <row r="1458" spans="1:1" x14ac:dyDescent="0.25">
      <c r="A1458" s="19"/>
    </row>
    <row r="1459" spans="1:1" ht="16.5" x14ac:dyDescent="0.25">
      <c r="A1459" s="20"/>
    </row>
    <row r="1460" spans="1:1" ht="16.5" x14ac:dyDescent="0.25">
      <c r="A1460" s="20"/>
    </row>
    <row r="1461" spans="1:1" ht="16.5" x14ac:dyDescent="0.25">
      <c r="A1461" s="20"/>
    </row>
    <row r="1462" spans="1:1" ht="16.5" x14ac:dyDescent="0.25">
      <c r="A1462" s="20"/>
    </row>
    <row r="1463" spans="1:1" x14ac:dyDescent="0.25">
      <c r="A1463" s="21"/>
    </row>
    <row r="1464" spans="1:1" ht="16.5" x14ac:dyDescent="0.25">
      <c r="A1464" s="20"/>
    </row>
    <row r="1465" spans="1:1" x14ac:dyDescent="0.25">
      <c r="A1465" s="19"/>
    </row>
    <row r="1466" spans="1:1" ht="16.5" x14ac:dyDescent="0.25">
      <c r="A1466" s="20"/>
    </row>
    <row r="1467" spans="1:1" ht="16.5" x14ac:dyDescent="0.25">
      <c r="A1467" s="20"/>
    </row>
    <row r="1468" spans="1:1" ht="16.5" x14ac:dyDescent="0.25">
      <c r="A1468" s="20"/>
    </row>
    <row r="1469" spans="1:1" ht="16.5" x14ac:dyDescent="0.25">
      <c r="A1469" s="20"/>
    </row>
    <row r="1470" spans="1:1" x14ac:dyDescent="0.25">
      <c r="A1470" s="21"/>
    </row>
    <row r="1471" spans="1:1" ht="16.5" x14ac:dyDescent="0.25">
      <c r="A1471" s="20"/>
    </row>
    <row r="1472" spans="1:1" x14ac:dyDescent="0.25">
      <c r="A1472" s="19"/>
    </row>
    <row r="1473" spans="1:1" ht="16.5" x14ac:dyDescent="0.25">
      <c r="A1473" s="20"/>
    </row>
    <row r="1474" spans="1:1" ht="16.5" x14ac:dyDescent="0.25">
      <c r="A1474" s="20"/>
    </row>
    <row r="1475" spans="1:1" ht="16.5" x14ac:dyDescent="0.25">
      <c r="A1475" s="20"/>
    </row>
    <row r="1476" spans="1:1" ht="16.5" x14ac:dyDescent="0.25">
      <c r="A1476" s="20"/>
    </row>
    <row r="1477" spans="1:1" x14ac:dyDescent="0.25">
      <c r="A1477" s="21"/>
    </row>
    <row r="1478" spans="1:1" ht="16.5" x14ac:dyDescent="0.25">
      <c r="A1478" s="20"/>
    </row>
    <row r="1479" spans="1:1" x14ac:dyDescent="0.25">
      <c r="A1479" s="19"/>
    </row>
    <row r="1480" spans="1:1" ht="16.5" x14ac:dyDescent="0.25">
      <c r="A1480" s="20"/>
    </row>
    <row r="1481" spans="1:1" ht="16.5" x14ac:dyDescent="0.25">
      <c r="A1481" s="20"/>
    </row>
    <row r="1482" spans="1:1" ht="16.5" x14ac:dyDescent="0.25">
      <c r="A1482" s="20"/>
    </row>
    <row r="1483" spans="1:1" ht="16.5" x14ac:dyDescent="0.25">
      <c r="A1483" s="20"/>
    </row>
    <row r="1484" spans="1:1" x14ac:dyDescent="0.25">
      <c r="A1484" s="21"/>
    </row>
    <row r="1485" spans="1:1" ht="16.5" x14ac:dyDescent="0.25">
      <c r="A1485" s="20"/>
    </row>
    <row r="1486" spans="1:1" x14ac:dyDescent="0.25">
      <c r="A1486" s="19"/>
    </row>
    <row r="1487" spans="1:1" ht="16.5" x14ac:dyDescent="0.25">
      <c r="A1487" s="20"/>
    </row>
    <row r="1488" spans="1:1" ht="16.5" x14ac:dyDescent="0.25">
      <c r="A1488" s="20"/>
    </row>
    <row r="1489" spans="1:1" ht="16.5" x14ac:dyDescent="0.25">
      <c r="A1489" s="20"/>
    </row>
    <row r="1490" spans="1:1" ht="16.5" x14ac:dyDescent="0.25">
      <c r="A1490" s="20"/>
    </row>
    <row r="1491" spans="1:1" x14ac:dyDescent="0.25">
      <c r="A1491" s="21"/>
    </row>
    <row r="1492" spans="1:1" ht="16.5" x14ac:dyDescent="0.25">
      <c r="A1492" s="20"/>
    </row>
    <row r="1493" spans="1:1" x14ac:dyDescent="0.25">
      <c r="A1493" s="19"/>
    </row>
    <row r="1494" spans="1:1" ht="16.5" x14ac:dyDescent="0.25">
      <c r="A1494" s="20"/>
    </row>
    <row r="1495" spans="1:1" ht="16.5" x14ac:dyDescent="0.25">
      <c r="A1495" s="20"/>
    </row>
    <row r="1496" spans="1:1" ht="16.5" x14ac:dyDescent="0.25">
      <c r="A1496" s="20"/>
    </row>
    <row r="1497" spans="1:1" ht="16.5" x14ac:dyDescent="0.25">
      <c r="A1497" s="20"/>
    </row>
    <row r="1498" spans="1:1" x14ac:dyDescent="0.25">
      <c r="A1498" s="21"/>
    </row>
    <row r="1499" spans="1:1" ht="16.5" x14ac:dyDescent="0.25">
      <c r="A1499" s="20"/>
    </row>
    <row r="1500" spans="1:1" x14ac:dyDescent="0.25">
      <c r="A1500" s="19"/>
    </row>
    <row r="1501" spans="1:1" ht="16.5" x14ac:dyDescent="0.25">
      <c r="A1501" s="20"/>
    </row>
    <row r="1502" spans="1:1" ht="16.5" x14ac:dyDescent="0.25">
      <c r="A1502" s="20"/>
    </row>
    <row r="1503" spans="1:1" ht="16.5" x14ac:dyDescent="0.25">
      <c r="A1503" s="20"/>
    </row>
    <row r="1504" spans="1:1" ht="16.5" x14ac:dyDescent="0.25">
      <c r="A1504" s="20"/>
    </row>
    <row r="1505" spans="1:1" x14ac:dyDescent="0.25">
      <c r="A1505" s="21"/>
    </row>
    <row r="1506" spans="1:1" ht="16.5" x14ac:dyDescent="0.25">
      <c r="A1506" s="20"/>
    </row>
    <row r="1507" spans="1:1" x14ac:dyDescent="0.25">
      <c r="A1507" s="19"/>
    </row>
    <row r="1508" spans="1:1" ht="16.5" x14ac:dyDescent="0.25">
      <c r="A1508" s="20"/>
    </row>
    <row r="1509" spans="1:1" ht="16.5" x14ac:dyDescent="0.25">
      <c r="A1509" s="20"/>
    </row>
    <row r="1510" spans="1:1" ht="16.5" x14ac:dyDescent="0.25">
      <c r="A1510" s="20"/>
    </row>
    <row r="1511" spans="1:1" ht="16.5" x14ac:dyDescent="0.25">
      <c r="A1511" s="20"/>
    </row>
    <row r="1512" spans="1:1" x14ac:dyDescent="0.25">
      <c r="A1512" s="21"/>
    </row>
    <row r="1513" spans="1:1" ht="16.5" x14ac:dyDescent="0.25">
      <c r="A1513" s="20"/>
    </row>
    <row r="1514" spans="1:1" x14ac:dyDescent="0.25">
      <c r="A1514" s="19"/>
    </row>
    <row r="1515" spans="1:1" ht="16.5" x14ac:dyDescent="0.25">
      <c r="A1515" s="20"/>
    </row>
    <row r="1516" spans="1:1" ht="16.5" x14ac:dyDescent="0.25">
      <c r="A1516" s="20"/>
    </row>
    <row r="1517" spans="1:1" ht="16.5" x14ac:dyDescent="0.25">
      <c r="A1517" s="20"/>
    </row>
    <row r="1518" spans="1:1" ht="16.5" x14ac:dyDescent="0.25">
      <c r="A1518" s="20"/>
    </row>
    <row r="1519" spans="1:1" x14ac:dyDescent="0.25">
      <c r="A1519" s="21"/>
    </row>
    <row r="1520" spans="1:1" ht="16.5" x14ac:dyDescent="0.25">
      <c r="A1520" s="20"/>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50712-A50D-49C1-8354-E44CBF640F11}">
  <dimension ref="A3:EG37"/>
  <sheetViews>
    <sheetView topLeftCell="T1" zoomScale="55" zoomScaleNormal="55" workbookViewId="0">
      <selection activeCell="AC36" sqref="AC36:AE37"/>
    </sheetView>
  </sheetViews>
  <sheetFormatPr defaultRowHeight="15" x14ac:dyDescent="0.25"/>
  <sheetData>
    <row r="3" spans="1:137" x14ac:dyDescent="0.25">
      <c r="A3" t="s">
        <v>853</v>
      </c>
    </row>
    <row r="4" spans="1:137" x14ac:dyDescent="0.25">
      <c r="A4" s="3" t="s">
        <v>52</v>
      </c>
      <c r="B4" s="3" t="s">
        <v>53</v>
      </c>
      <c r="C4" s="3" t="s">
        <v>54</v>
      </c>
      <c r="D4" s="6" t="s">
        <v>55</v>
      </c>
      <c r="E4" s="6" t="s">
        <v>56</v>
      </c>
      <c r="F4" s="6" t="s">
        <v>57</v>
      </c>
      <c r="G4" s="41" t="s">
        <v>58</v>
      </c>
      <c r="H4" s="41" t="s">
        <v>59</v>
      </c>
      <c r="I4" s="41" t="s">
        <v>352</v>
      </c>
      <c r="J4" s="6" t="s">
        <v>60</v>
      </c>
      <c r="K4" s="41" t="s">
        <v>224</v>
      </c>
      <c r="L4" s="6" t="s">
        <v>61</v>
      </c>
      <c r="M4" s="6" t="s">
        <v>62</v>
      </c>
      <c r="N4" s="6" t="s">
        <v>63</v>
      </c>
      <c r="O4" s="6" t="s">
        <v>64</v>
      </c>
      <c r="P4" s="6" t="s">
        <v>65</v>
      </c>
      <c r="Q4" s="41" t="s">
        <v>66</v>
      </c>
      <c r="R4" s="6" t="s">
        <v>67</v>
      </c>
      <c r="S4" s="6" t="s">
        <v>68</v>
      </c>
      <c r="T4" s="6" t="s">
        <v>228</v>
      </c>
      <c r="U4" s="7" t="s">
        <v>74</v>
      </c>
      <c r="V4" s="7" t="s">
        <v>72</v>
      </c>
      <c r="W4" s="7" t="s">
        <v>73</v>
      </c>
      <c r="X4" s="8" t="s">
        <v>227</v>
      </c>
      <c r="Y4" s="8" t="s">
        <v>181</v>
      </c>
      <c r="Z4" s="8" t="s">
        <v>180</v>
      </c>
      <c r="AA4" s="8" t="s">
        <v>75</v>
      </c>
      <c r="AB4" s="8" t="s">
        <v>76</v>
      </c>
      <c r="AC4" s="8" t="s">
        <v>77</v>
      </c>
      <c r="AD4" s="8" t="s">
        <v>78</v>
      </c>
      <c r="AE4" s="8" t="s">
        <v>79</v>
      </c>
      <c r="AF4" s="8" t="s">
        <v>80</v>
      </c>
      <c r="AG4" s="8" t="s">
        <v>81</v>
      </c>
      <c r="AH4" s="8" t="s">
        <v>82</v>
      </c>
      <c r="AI4" s="8" t="s">
        <v>83</v>
      </c>
      <c r="AJ4" s="9" t="s">
        <v>84</v>
      </c>
      <c r="AK4" s="9" t="s">
        <v>85</v>
      </c>
      <c r="AL4" s="9" t="s">
        <v>86</v>
      </c>
      <c r="AM4" s="9" t="s">
        <v>87</v>
      </c>
      <c r="AN4" s="9" t="s">
        <v>88</v>
      </c>
      <c r="AO4" s="9" t="s">
        <v>89</v>
      </c>
      <c r="AP4" s="9" t="s">
        <v>90</v>
      </c>
      <c r="AQ4" s="9" t="s">
        <v>91</v>
      </c>
      <c r="AR4" s="9" t="s">
        <v>92</v>
      </c>
      <c r="AS4" s="9" t="s">
        <v>93</v>
      </c>
      <c r="AT4" s="9" t="s">
        <v>94</v>
      </c>
      <c r="AU4" s="9" t="s">
        <v>95</v>
      </c>
      <c r="AV4" s="9" t="s">
        <v>96</v>
      </c>
      <c r="AW4" s="9" t="s">
        <v>97</v>
      </c>
      <c r="AX4" s="9" t="s">
        <v>98</v>
      </c>
      <c r="AY4" s="9" t="s">
        <v>99</v>
      </c>
      <c r="AZ4" s="9" t="s">
        <v>100</v>
      </c>
      <c r="BA4" s="9" t="s">
        <v>101</v>
      </c>
      <c r="BB4" s="9" t="s">
        <v>102</v>
      </c>
      <c r="BC4" s="9" t="s">
        <v>103</v>
      </c>
      <c r="BD4" s="9" t="s">
        <v>104</v>
      </c>
      <c r="BE4" s="9" t="s">
        <v>105</v>
      </c>
      <c r="BF4" s="9" t="s">
        <v>106</v>
      </c>
      <c r="BG4" s="9" t="s">
        <v>107</v>
      </c>
      <c r="BH4" s="26" t="s">
        <v>108</v>
      </c>
      <c r="BI4" s="26" t="s">
        <v>109</v>
      </c>
      <c r="BJ4" s="26" t="s">
        <v>110</v>
      </c>
      <c r="BK4" s="26" t="s">
        <v>111</v>
      </c>
      <c r="BL4" s="26" t="s">
        <v>112</v>
      </c>
      <c r="BM4" s="26" t="s">
        <v>113</v>
      </c>
      <c r="BN4" s="26" t="s">
        <v>114</v>
      </c>
      <c r="BO4" s="26" t="s">
        <v>115</v>
      </c>
      <c r="BP4" s="26" t="s">
        <v>116</v>
      </c>
      <c r="BQ4" s="26" t="s">
        <v>117</v>
      </c>
      <c r="BR4" s="26" t="s">
        <v>118</v>
      </c>
      <c r="BS4" s="26" t="s">
        <v>119</v>
      </c>
      <c r="BT4" s="26" t="s">
        <v>120</v>
      </c>
      <c r="BU4" s="26" t="s">
        <v>121</v>
      </c>
      <c r="BV4" s="26" t="s">
        <v>122</v>
      </c>
      <c r="BW4" s="26" t="s">
        <v>123</v>
      </c>
      <c r="BX4" s="26" t="s">
        <v>124</v>
      </c>
      <c r="BY4" s="26" t="s">
        <v>125</v>
      </c>
      <c r="BZ4" s="26" t="s">
        <v>126</v>
      </c>
      <c r="CA4" s="26" t="s">
        <v>127</v>
      </c>
      <c r="CB4" s="26" t="s">
        <v>128</v>
      </c>
      <c r="CC4" s="26" t="s">
        <v>129</v>
      </c>
      <c r="CD4" s="26" t="s">
        <v>130</v>
      </c>
      <c r="CE4" s="26" t="s">
        <v>131</v>
      </c>
      <c r="CF4" s="26" t="s">
        <v>132</v>
      </c>
      <c r="CG4" s="26" t="s">
        <v>133</v>
      </c>
      <c r="CH4" s="26" t="s">
        <v>134</v>
      </c>
      <c r="CI4" s="26" t="s">
        <v>135</v>
      </c>
      <c r="CJ4" s="26" t="s">
        <v>136</v>
      </c>
      <c r="CK4" s="26" t="s">
        <v>137</v>
      </c>
      <c r="CL4" s="26" t="s">
        <v>138</v>
      </c>
      <c r="CM4" s="26" t="s">
        <v>139</v>
      </c>
      <c r="CN4" s="26" t="s">
        <v>140</v>
      </c>
      <c r="CO4" s="26" t="s">
        <v>141</v>
      </c>
      <c r="CP4" s="26" t="s">
        <v>142</v>
      </c>
      <c r="CQ4" s="26" t="s">
        <v>143</v>
      </c>
      <c r="CR4" s="28" t="s">
        <v>144</v>
      </c>
      <c r="CS4" s="28" t="s">
        <v>145</v>
      </c>
      <c r="CT4" s="28" t="s">
        <v>146</v>
      </c>
      <c r="CU4" s="28" t="s">
        <v>147</v>
      </c>
      <c r="CV4" s="28" t="s">
        <v>148</v>
      </c>
      <c r="CW4" s="28" t="s">
        <v>149</v>
      </c>
      <c r="CX4" s="28" t="s">
        <v>150</v>
      </c>
      <c r="CY4" s="28" t="s">
        <v>151</v>
      </c>
      <c r="CZ4" s="28" t="s">
        <v>152</v>
      </c>
      <c r="DA4" s="28" t="s">
        <v>153</v>
      </c>
      <c r="DB4" s="28" t="s">
        <v>154</v>
      </c>
      <c r="DC4" s="28" t="s">
        <v>155</v>
      </c>
      <c r="DD4" s="28" t="s">
        <v>156</v>
      </c>
      <c r="DE4" s="28" t="s">
        <v>157</v>
      </c>
      <c r="DF4" s="28" t="s">
        <v>158</v>
      </c>
      <c r="DG4" s="28" t="s">
        <v>159</v>
      </c>
      <c r="DH4" s="28" t="s">
        <v>160</v>
      </c>
      <c r="DI4" s="28" t="s">
        <v>161</v>
      </c>
      <c r="DJ4" s="28" t="s">
        <v>162</v>
      </c>
      <c r="DK4" s="29" t="s">
        <v>163</v>
      </c>
      <c r="DL4" s="29" t="s">
        <v>164</v>
      </c>
      <c r="DM4" s="29" t="s">
        <v>165</v>
      </c>
      <c r="DN4" s="29" t="s">
        <v>166</v>
      </c>
      <c r="DO4" s="29" t="s">
        <v>167</v>
      </c>
      <c r="DP4" s="29" t="s">
        <v>168</v>
      </c>
      <c r="DQ4" s="29" t="s">
        <v>169</v>
      </c>
      <c r="DR4" s="29" t="s">
        <v>170</v>
      </c>
      <c r="DS4" s="29" t="s">
        <v>171</v>
      </c>
      <c r="DT4" s="29" t="s">
        <v>172</v>
      </c>
      <c r="DU4" s="29" t="s">
        <v>173</v>
      </c>
      <c r="DV4" s="29" t="s">
        <v>174</v>
      </c>
      <c r="DW4" s="29" t="s">
        <v>175</v>
      </c>
      <c r="DX4" s="29" t="s">
        <v>176</v>
      </c>
      <c r="DY4" s="29" t="s">
        <v>177</v>
      </c>
      <c r="DZ4" s="29" t="s">
        <v>178</v>
      </c>
      <c r="EA4" s="29" t="s">
        <v>179</v>
      </c>
      <c r="EB4" s="31" t="s">
        <v>41</v>
      </c>
      <c r="EC4" s="31" t="s">
        <v>42</v>
      </c>
      <c r="ED4" s="31" t="s">
        <v>43</v>
      </c>
      <c r="EE4" s="11" t="s">
        <v>69</v>
      </c>
      <c r="EF4" s="11" t="s">
        <v>70</v>
      </c>
      <c r="EG4" s="11"/>
    </row>
    <row r="5" spans="1:137" x14ac:dyDescent="0.25">
      <c r="A5">
        <v>5889.1801287037451</v>
      </c>
      <c r="B5">
        <v>8249.8301064039078</v>
      </c>
      <c r="C5">
        <v>239.25621668021051</v>
      </c>
      <c r="G5">
        <v>2.1281690205418964</v>
      </c>
      <c r="H5">
        <v>12614.159844709064</v>
      </c>
      <c r="K5">
        <v>62498.126378419591</v>
      </c>
      <c r="Q5">
        <v>31643.604794036561</v>
      </c>
      <c r="T5">
        <v>199774.80738544281</v>
      </c>
      <c r="U5">
        <v>98.179635393269351</v>
      </c>
      <c r="V5">
        <v>39151.532550482436</v>
      </c>
      <c r="W5">
        <v>19037.792400521059</v>
      </c>
      <c r="X5">
        <v>5.4164154156656448</v>
      </c>
      <c r="Z5">
        <v>0.11925432719952371</v>
      </c>
      <c r="AA5">
        <v>0.71892746535702745</v>
      </c>
      <c r="AB5">
        <v>4.1529199195809756</v>
      </c>
      <c r="AC5">
        <v>0.52587290995967695</v>
      </c>
      <c r="AE5">
        <v>17.431717857364731</v>
      </c>
      <c r="AF5">
        <v>3.1596621052736409</v>
      </c>
      <c r="AG5">
        <v>0.19278491661475941</v>
      </c>
      <c r="AH5">
        <v>0.88162746953677762</v>
      </c>
      <c r="AI5">
        <v>11.626084590728441</v>
      </c>
      <c r="AJ5">
        <v>0.12421443456593065</v>
      </c>
      <c r="AK5">
        <v>1.461036483027857</v>
      </c>
      <c r="AL5">
        <v>0.32626845942127053</v>
      </c>
      <c r="AM5">
        <v>4.1573453957016324E-2</v>
      </c>
      <c r="AN5">
        <v>0.65237161086112383</v>
      </c>
      <c r="AO5">
        <v>4.1389683292646286E-2</v>
      </c>
      <c r="AP5">
        <v>3.798891911469052</v>
      </c>
      <c r="AV5">
        <v>1.102460334443546</v>
      </c>
      <c r="BF5">
        <v>8.7745638805641415E-2</v>
      </c>
      <c r="BG5">
        <v>0.57837337792934351</v>
      </c>
      <c r="BH5">
        <v>74131.889498034798</v>
      </c>
      <c r="BJ5">
        <v>90.296448079521454</v>
      </c>
      <c r="BK5">
        <v>16248.596032421823</v>
      </c>
      <c r="BL5">
        <v>16400.502193651264</v>
      </c>
      <c r="BM5">
        <v>149.56052481465917</v>
      </c>
    </row>
    <row r="8" spans="1:137" x14ac:dyDescent="0.25">
      <c r="A8" t="s">
        <v>191</v>
      </c>
    </row>
    <row r="9" spans="1:137" x14ac:dyDescent="0.25">
      <c r="A9" s="3" t="s">
        <v>52</v>
      </c>
      <c r="B9" s="3" t="s">
        <v>53</v>
      </c>
      <c r="C9" s="3" t="s">
        <v>54</v>
      </c>
      <c r="D9" s="6" t="s">
        <v>55</v>
      </c>
      <c r="E9" s="6" t="s">
        <v>56</v>
      </c>
      <c r="F9" s="6" t="s">
        <v>57</v>
      </c>
      <c r="G9" s="41" t="s">
        <v>58</v>
      </c>
      <c r="H9" s="41" t="s">
        <v>59</v>
      </c>
      <c r="I9" s="41" t="s">
        <v>352</v>
      </c>
      <c r="J9" s="6" t="s">
        <v>60</v>
      </c>
      <c r="K9" s="41" t="s">
        <v>224</v>
      </c>
      <c r="L9" s="6" t="s">
        <v>61</v>
      </c>
      <c r="M9" s="6" t="s">
        <v>62</v>
      </c>
      <c r="N9" s="6" t="s">
        <v>63</v>
      </c>
      <c r="O9" s="6" t="s">
        <v>64</v>
      </c>
      <c r="P9" s="6" t="s">
        <v>65</v>
      </c>
      <c r="Q9" s="41" t="s">
        <v>66</v>
      </c>
      <c r="R9" s="6" t="s">
        <v>67</v>
      </c>
      <c r="S9" s="6" t="s">
        <v>68</v>
      </c>
      <c r="T9" s="6" t="s">
        <v>228</v>
      </c>
      <c r="U9" s="7" t="s">
        <v>74</v>
      </c>
      <c r="V9" s="7" t="s">
        <v>72</v>
      </c>
      <c r="W9" s="7" t="s">
        <v>73</v>
      </c>
      <c r="X9" s="8" t="s">
        <v>227</v>
      </c>
      <c r="Y9" s="8" t="s">
        <v>181</v>
      </c>
      <c r="Z9" s="8" t="s">
        <v>180</v>
      </c>
      <c r="AA9" s="8" t="s">
        <v>75</v>
      </c>
      <c r="AB9" s="8" t="s">
        <v>76</v>
      </c>
      <c r="AC9" s="8" t="s">
        <v>77</v>
      </c>
      <c r="AD9" s="8" t="s">
        <v>78</v>
      </c>
      <c r="AE9" s="8" t="s">
        <v>79</v>
      </c>
      <c r="AF9" s="8" t="s">
        <v>80</v>
      </c>
      <c r="AG9" s="8" t="s">
        <v>81</v>
      </c>
      <c r="AH9" s="8" t="s">
        <v>82</v>
      </c>
      <c r="AI9" s="8" t="s">
        <v>83</v>
      </c>
      <c r="AJ9" s="9" t="s">
        <v>84</v>
      </c>
      <c r="AK9" s="9" t="s">
        <v>85</v>
      </c>
      <c r="AL9" s="9" t="s">
        <v>86</v>
      </c>
      <c r="AM9" s="9" t="s">
        <v>87</v>
      </c>
      <c r="AN9" s="9" t="s">
        <v>88</v>
      </c>
      <c r="AO9" s="9" t="s">
        <v>89</v>
      </c>
      <c r="AP9" s="9" t="s">
        <v>90</v>
      </c>
      <c r="AQ9" s="9" t="s">
        <v>91</v>
      </c>
      <c r="AR9" s="9" t="s">
        <v>92</v>
      </c>
      <c r="AS9" s="9" t="s">
        <v>93</v>
      </c>
      <c r="AT9" s="9" t="s">
        <v>94</v>
      </c>
      <c r="AU9" s="9" t="s">
        <v>95</v>
      </c>
      <c r="AV9" s="9" t="s">
        <v>96</v>
      </c>
      <c r="AW9" s="9" t="s">
        <v>97</v>
      </c>
      <c r="AX9" s="9" t="s">
        <v>98</v>
      </c>
      <c r="AY9" s="9" t="s">
        <v>99</v>
      </c>
      <c r="AZ9" s="9" t="s">
        <v>100</v>
      </c>
      <c r="BA9" s="9" t="s">
        <v>101</v>
      </c>
      <c r="BB9" s="9" t="s">
        <v>102</v>
      </c>
      <c r="BC9" s="9" t="s">
        <v>103</v>
      </c>
      <c r="BD9" s="9" t="s">
        <v>104</v>
      </c>
      <c r="BE9" s="9" t="s">
        <v>105</v>
      </c>
      <c r="BF9" s="9" t="s">
        <v>106</v>
      </c>
      <c r="BG9" s="9" t="s">
        <v>107</v>
      </c>
      <c r="BH9" s="26" t="s">
        <v>108</v>
      </c>
      <c r="BI9" s="26" t="s">
        <v>109</v>
      </c>
      <c r="BJ9" s="26" t="s">
        <v>110</v>
      </c>
      <c r="BK9" s="26" t="s">
        <v>111</v>
      </c>
      <c r="BL9" s="26" t="s">
        <v>112</v>
      </c>
      <c r="BM9" s="26" t="s">
        <v>113</v>
      </c>
      <c r="BN9" s="26" t="s">
        <v>114</v>
      </c>
      <c r="BO9" s="26" t="s">
        <v>115</v>
      </c>
      <c r="BP9" s="26" t="s">
        <v>116</v>
      </c>
      <c r="BQ9" s="26" t="s">
        <v>117</v>
      </c>
      <c r="BR9" s="26" t="s">
        <v>118</v>
      </c>
      <c r="BS9" s="26" t="s">
        <v>119</v>
      </c>
      <c r="BT9" s="26" t="s">
        <v>120</v>
      </c>
      <c r="BU9" s="26" t="s">
        <v>121</v>
      </c>
      <c r="BV9" s="26" t="s">
        <v>122</v>
      </c>
      <c r="BW9" s="26" t="s">
        <v>123</v>
      </c>
      <c r="BX9" s="26" t="s">
        <v>124</v>
      </c>
      <c r="BY9" s="26" t="s">
        <v>125</v>
      </c>
      <c r="BZ9" s="26" t="s">
        <v>126</v>
      </c>
      <c r="CA9" s="26" t="s">
        <v>127</v>
      </c>
      <c r="CB9" s="26" t="s">
        <v>128</v>
      </c>
      <c r="CC9" s="26" t="s">
        <v>129</v>
      </c>
      <c r="CD9" s="26" t="s">
        <v>130</v>
      </c>
      <c r="CE9" s="26" t="s">
        <v>131</v>
      </c>
      <c r="CF9" s="26" t="s">
        <v>132</v>
      </c>
      <c r="CG9" s="26" t="s">
        <v>133</v>
      </c>
      <c r="CH9" s="26" t="s">
        <v>134</v>
      </c>
      <c r="CI9" s="26" t="s">
        <v>135</v>
      </c>
      <c r="CJ9" s="26" t="s">
        <v>136</v>
      </c>
      <c r="CK9" s="26" t="s">
        <v>137</v>
      </c>
      <c r="CL9" s="26" t="s">
        <v>138</v>
      </c>
      <c r="CM9" s="26" t="s">
        <v>139</v>
      </c>
      <c r="CN9" s="26" t="s">
        <v>140</v>
      </c>
      <c r="CO9" s="26" t="s">
        <v>141</v>
      </c>
      <c r="CP9" s="26" t="s">
        <v>142</v>
      </c>
      <c r="CQ9" s="26" t="s">
        <v>143</v>
      </c>
      <c r="CR9" s="28" t="s">
        <v>144</v>
      </c>
      <c r="CS9" s="28" t="s">
        <v>145</v>
      </c>
      <c r="CT9" s="28" t="s">
        <v>146</v>
      </c>
      <c r="CU9" s="28" t="s">
        <v>147</v>
      </c>
      <c r="CV9" s="28" t="s">
        <v>148</v>
      </c>
      <c r="CW9" s="28" t="s">
        <v>149</v>
      </c>
      <c r="CX9" s="28" t="s">
        <v>150</v>
      </c>
      <c r="CY9" s="28" t="s">
        <v>151</v>
      </c>
      <c r="CZ9" s="28" t="s">
        <v>152</v>
      </c>
      <c r="DA9" s="28" t="s">
        <v>153</v>
      </c>
      <c r="DB9" s="28" t="s">
        <v>154</v>
      </c>
      <c r="DC9" s="28" t="s">
        <v>155</v>
      </c>
      <c r="DD9" s="28" t="s">
        <v>156</v>
      </c>
      <c r="DE9" s="28" t="s">
        <v>157</v>
      </c>
      <c r="DF9" s="28" t="s">
        <v>158</v>
      </c>
      <c r="DG9" s="28" t="s">
        <v>159</v>
      </c>
      <c r="DH9" s="28" t="s">
        <v>160</v>
      </c>
      <c r="DI9" s="28" t="s">
        <v>161</v>
      </c>
      <c r="DJ9" s="28" t="s">
        <v>162</v>
      </c>
      <c r="DK9" s="29" t="s">
        <v>163</v>
      </c>
      <c r="DL9" s="29" t="s">
        <v>164</v>
      </c>
      <c r="DM9" s="29" t="s">
        <v>165</v>
      </c>
      <c r="DN9" s="29" t="s">
        <v>166</v>
      </c>
      <c r="DO9" s="29" t="s">
        <v>167</v>
      </c>
      <c r="DP9" s="29" t="s">
        <v>168</v>
      </c>
      <c r="DQ9" s="29" t="s">
        <v>169</v>
      </c>
      <c r="DR9" s="29" t="s">
        <v>170</v>
      </c>
      <c r="DS9" s="29" t="s">
        <v>171</v>
      </c>
      <c r="DT9" s="29" t="s">
        <v>172</v>
      </c>
      <c r="DU9" s="29" t="s">
        <v>173</v>
      </c>
      <c r="DV9" s="29" t="s">
        <v>174</v>
      </c>
      <c r="DW9" s="29" t="s">
        <v>175</v>
      </c>
      <c r="DX9" s="29" t="s">
        <v>176</v>
      </c>
      <c r="DY9" s="29" t="s">
        <v>177</v>
      </c>
      <c r="DZ9" s="29" t="s">
        <v>178</v>
      </c>
      <c r="EA9" s="29" t="s">
        <v>179</v>
      </c>
      <c r="EB9" s="31" t="s">
        <v>41</v>
      </c>
      <c r="EC9" s="31" t="s">
        <v>42</v>
      </c>
      <c r="ED9" s="31" t="s">
        <v>43</v>
      </c>
      <c r="EE9" s="11" t="s">
        <v>69</v>
      </c>
      <c r="EF9" s="11" t="s">
        <v>70</v>
      </c>
      <c r="EG9" s="11"/>
    </row>
    <row r="12" spans="1:137" x14ac:dyDescent="0.25">
      <c r="A12" t="s">
        <v>855</v>
      </c>
    </row>
    <row r="13" spans="1:137" x14ac:dyDescent="0.25">
      <c r="A13" s="3" t="s">
        <v>52</v>
      </c>
      <c r="B13" s="3" t="s">
        <v>53</v>
      </c>
      <c r="C13" s="3" t="s">
        <v>54</v>
      </c>
      <c r="D13" s="6" t="s">
        <v>55</v>
      </c>
      <c r="E13" s="6" t="s">
        <v>56</v>
      </c>
      <c r="F13" s="6" t="s">
        <v>57</v>
      </c>
      <c r="G13" s="41" t="s">
        <v>58</v>
      </c>
      <c r="H13" s="41" t="s">
        <v>59</v>
      </c>
      <c r="I13" s="41" t="s">
        <v>352</v>
      </c>
      <c r="J13" s="6" t="s">
        <v>60</v>
      </c>
      <c r="K13" s="41" t="s">
        <v>224</v>
      </c>
      <c r="L13" s="6" t="s">
        <v>61</v>
      </c>
      <c r="M13" s="6" t="s">
        <v>62</v>
      </c>
      <c r="N13" s="6" t="s">
        <v>63</v>
      </c>
      <c r="O13" s="6" t="s">
        <v>64</v>
      </c>
      <c r="P13" s="6" t="s">
        <v>65</v>
      </c>
      <c r="Q13" s="41" t="s">
        <v>66</v>
      </c>
      <c r="R13" s="6" t="s">
        <v>67</v>
      </c>
      <c r="S13" s="6" t="s">
        <v>68</v>
      </c>
      <c r="T13" s="6" t="s">
        <v>228</v>
      </c>
      <c r="U13" s="7" t="s">
        <v>74</v>
      </c>
      <c r="V13" s="7" t="s">
        <v>72</v>
      </c>
      <c r="W13" s="7" t="s">
        <v>73</v>
      </c>
      <c r="X13" s="8" t="s">
        <v>227</v>
      </c>
      <c r="Y13" s="8" t="s">
        <v>181</v>
      </c>
      <c r="Z13" s="8" t="s">
        <v>180</v>
      </c>
      <c r="AA13" s="8" t="s">
        <v>75</v>
      </c>
      <c r="AB13" s="8" t="s">
        <v>76</v>
      </c>
      <c r="AC13" s="8" t="s">
        <v>77</v>
      </c>
      <c r="AD13" s="8" t="s">
        <v>78</v>
      </c>
      <c r="AE13" s="8" t="s">
        <v>79</v>
      </c>
      <c r="AF13" s="8" t="s">
        <v>80</v>
      </c>
      <c r="AG13" s="8" t="s">
        <v>81</v>
      </c>
      <c r="AH13" s="8" t="s">
        <v>82</v>
      </c>
      <c r="AI13" s="8" t="s">
        <v>83</v>
      </c>
      <c r="AJ13" s="9" t="s">
        <v>84</v>
      </c>
      <c r="AK13" s="9" t="s">
        <v>85</v>
      </c>
      <c r="AL13" s="9" t="s">
        <v>86</v>
      </c>
      <c r="AM13" s="9" t="s">
        <v>87</v>
      </c>
      <c r="AN13" s="9" t="s">
        <v>88</v>
      </c>
      <c r="AO13" s="9" t="s">
        <v>89</v>
      </c>
      <c r="AP13" s="9" t="s">
        <v>90</v>
      </c>
      <c r="AQ13" s="9" t="s">
        <v>91</v>
      </c>
      <c r="AR13" s="9" t="s">
        <v>92</v>
      </c>
      <c r="AS13" s="9" t="s">
        <v>93</v>
      </c>
      <c r="AT13" s="9" t="s">
        <v>94</v>
      </c>
      <c r="AU13" s="9" t="s">
        <v>95</v>
      </c>
      <c r="AV13" s="9" t="s">
        <v>96</v>
      </c>
      <c r="AW13" s="9" t="s">
        <v>97</v>
      </c>
      <c r="AX13" s="9" t="s">
        <v>98</v>
      </c>
      <c r="AY13" s="9" t="s">
        <v>99</v>
      </c>
      <c r="AZ13" s="9" t="s">
        <v>100</v>
      </c>
      <c r="BA13" s="9" t="s">
        <v>101</v>
      </c>
      <c r="BB13" s="9" t="s">
        <v>102</v>
      </c>
      <c r="BC13" s="9" t="s">
        <v>103</v>
      </c>
      <c r="BD13" s="9" t="s">
        <v>104</v>
      </c>
      <c r="BE13" s="9" t="s">
        <v>105</v>
      </c>
      <c r="BF13" s="9" t="s">
        <v>106</v>
      </c>
      <c r="BG13" s="9" t="s">
        <v>107</v>
      </c>
      <c r="BH13" s="26" t="s">
        <v>108</v>
      </c>
      <c r="BI13" s="26" t="s">
        <v>109</v>
      </c>
      <c r="BJ13" s="26" t="s">
        <v>110</v>
      </c>
      <c r="BK13" s="26" t="s">
        <v>111</v>
      </c>
      <c r="BL13" s="26" t="s">
        <v>112</v>
      </c>
      <c r="BM13" s="26" t="s">
        <v>113</v>
      </c>
      <c r="BN13" s="26" t="s">
        <v>114</v>
      </c>
      <c r="BO13" s="26" t="s">
        <v>115</v>
      </c>
      <c r="BP13" s="26" t="s">
        <v>116</v>
      </c>
      <c r="BQ13" s="26" t="s">
        <v>117</v>
      </c>
      <c r="BR13" s="26" t="s">
        <v>118</v>
      </c>
      <c r="BS13" s="26" t="s">
        <v>119</v>
      </c>
      <c r="BT13" s="26" t="s">
        <v>120</v>
      </c>
      <c r="BU13" s="26" t="s">
        <v>121</v>
      </c>
      <c r="BV13" s="26" t="s">
        <v>122</v>
      </c>
      <c r="BW13" s="26" t="s">
        <v>123</v>
      </c>
      <c r="BX13" s="26" t="s">
        <v>124</v>
      </c>
      <c r="BY13" s="26" t="s">
        <v>125</v>
      </c>
      <c r="BZ13" s="26" t="s">
        <v>126</v>
      </c>
      <c r="CA13" s="26" t="s">
        <v>127</v>
      </c>
      <c r="CB13" s="26" t="s">
        <v>128</v>
      </c>
      <c r="CC13" s="26" t="s">
        <v>129</v>
      </c>
      <c r="CD13" s="26" t="s">
        <v>130</v>
      </c>
      <c r="CE13" s="26" t="s">
        <v>131</v>
      </c>
      <c r="CF13" s="26" t="s">
        <v>132</v>
      </c>
      <c r="CG13" s="26" t="s">
        <v>133</v>
      </c>
      <c r="CH13" s="26" t="s">
        <v>134</v>
      </c>
      <c r="CI13" s="26" t="s">
        <v>135</v>
      </c>
      <c r="CJ13" s="26" t="s">
        <v>136</v>
      </c>
      <c r="CK13" s="26" t="s">
        <v>137</v>
      </c>
      <c r="CL13" s="26" t="s">
        <v>138</v>
      </c>
      <c r="CM13" s="26" t="s">
        <v>139</v>
      </c>
      <c r="CN13" s="26" t="s">
        <v>140</v>
      </c>
      <c r="CO13" s="26" t="s">
        <v>141</v>
      </c>
      <c r="CP13" s="26" t="s">
        <v>142</v>
      </c>
      <c r="CQ13" s="26" t="s">
        <v>143</v>
      </c>
      <c r="CR13" s="28" t="s">
        <v>144</v>
      </c>
      <c r="CS13" s="28" t="s">
        <v>145</v>
      </c>
      <c r="CT13" s="28" t="s">
        <v>146</v>
      </c>
      <c r="CU13" s="28" t="s">
        <v>147</v>
      </c>
      <c r="CV13" s="28" t="s">
        <v>148</v>
      </c>
      <c r="CW13" s="28" t="s">
        <v>149</v>
      </c>
      <c r="CX13" s="28" t="s">
        <v>150</v>
      </c>
      <c r="CY13" s="28" t="s">
        <v>151</v>
      </c>
      <c r="CZ13" s="28" t="s">
        <v>152</v>
      </c>
      <c r="DA13" s="28" t="s">
        <v>153</v>
      </c>
      <c r="DB13" s="28" t="s">
        <v>154</v>
      </c>
      <c r="DC13" s="28" t="s">
        <v>155</v>
      </c>
      <c r="DD13" s="28" t="s">
        <v>156</v>
      </c>
      <c r="DE13" s="28" t="s">
        <v>157</v>
      </c>
      <c r="DF13" s="28" t="s">
        <v>158</v>
      </c>
      <c r="DG13" s="28" t="s">
        <v>159</v>
      </c>
      <c r="DH13" s="28" t="s">
        <v>160</v>
      </c>
      <c r="DI13" s="28" t="s">
        <v>161</v>
      </c>
      <c r="DJ13" s="28" t="s">
        <v>162</v>
      </c>
      <c r="DK13" s="29" t="s">
        <v>163</v>
      </c>
      <c r="DL13" s="29" t="s">
        <v>164</v>
      </c>
      <c r="DM13" s="29" t="s">
        <v>165</v>
      </c>
      <c r="DN13" s="29" t="s">
        <v>166</v>
      </c>
      <c r="DO13" s="29" t="s">
        <v>167</v>
      </c>
      <c r="DP13" s="29" t="s">
        <v>168</v>
      </c>
      <c r="DQ13" s="29" t="s">
        <v>169</v>
      </c>
      <c r="DR13" s="29" t="s">
        <v>170</v>
      </c>
      <c r="DS13" s="29" t="s">
        <v>171</v>
      </c>
      <c r="DT13" s="29" t="s">
        <v>172</v>
      </c>
      <c r="DU13" s="29" t="s">
        <v>173</v>
      </c>
      <c r="DV13" s="29" t="s">
        <v>174</v>
      </c>
      <c r="DW13" s="29" t="s">
        <v>175</v>
      </c>
      <c r="DX13" s="29" t="s">
        <v>176</v>
      </c>
      <c r="DY13" s="29" t="s">
        <v>177</v>
      </c>
      <c r="DZ13" s="29" t="s">
        <v>178</v>
      </c>
      <c r="EA13" s="29" t="s">
        <v>179</v>
      </c>
      <c r="EB13" s="31" t="s">
        <v>41</v>
      </c>
      <c r="EC13" s="31" t="s">
        <v>42</v>
      </c>
      <c r="ED13" s="31" t="s">
        <v>43</v>
      </c>
      <c r="EE13" s="11" t="s">
        <v>69</v>
      </c>
      <c r="EF13" s="11" t="s">
        <v>70</v>
      </c>
      <c r="EG13" s="11"/>
    </row>
    <row r="16" spans="1:137" x14ac:dyDescent="0.25">
      <c r="A16" t="s">
        <v>46</v>
      </c>
    </row>
    <row r="17" spans="1:137" x14ac:dyDescent="0.25">
      <c r="A17" s="3" t="s">
        <v>52</v>
      </c>
      <c r="B17" s="3" t="s">
        <v>53</v>
      </c>
      <c r="C17" s="3" t="s">
        <v>54</v>
      </c>
      <c r="D17" s="6" t="s">
        <v>55</v>
      </c>
      <c r="E17" s="6" t="s">
        <v>56</v>
      </c>
      <c r="F17" s="6" t="s">
        <v>57</v>
      </c>
      <c r="G17" s="41" t="s">
        <v>58</v>
      </c>
      <c r="H17" s="41" t="s">
        <v>59</v>
      </c>
      <c r="I17" s="41" t="s">
        <v>352</v>
      </c>
      <c r="J17" s="6" t="s">
        <v>60</v>
      </c>
      <c r="K17" s="41" t="s">
        <v>224</v>
      </c>
      <c r="L17" s="6" t="s">
        <v>61</v>
      </c>
      <c r="M17" s="6" t="s">
        <v>62</v>
      </c>
      <c r="N17" s="6" t="s">
        <v>63</v>
      </c>
      <c r="O17" s="6" t="s">
        <v>64</v>
      </c>
      <c r="P17" s="6" t="s">
        <v>65</v>
      </c>
      <c r="Q17" s="41" t="s">
        <v>66</v>
      </c>
      <c r="R17" s="6" t="s">
        <v>67</v>
      </c>
      <c r="S17" s="6" t="s">
        <v>68</v>
      </c>
      <c r="T17" s="6" t="s">
        <v>228</v>
      </c>
      <c r="U17" s="7" t="s">
        <v>74</v>
      </c>
      <c r="V17" s="7" t="s">
        <v>72</v>
      </c>
      <c r="W17" s="7" t="s">
        <v>73</v>
      </c>
      <c r="X17" s="8" t="s">
        <v>227</v>
      </c>
      <c r="Y17" s="8" t="s">
        <v>181</v>
      </c>
      <c r="Z17" s="8" t="s">
        <v>180</v>
      </c>
      <c r="AA17" s="8" t="s">
        <v>75</v>
      </c>
      <c r="AB17" s="8" t="s">
        <v>76</v>
      </c>
      <c r="AC17" s="8" t="s">
        <v>77</v>
      </c>
      <c r="AD17" s="8" t="s">
        <v>78</v>
      </c>
      <c r="AE17" s="8" t="s">
        <v>79</v>
      </c>
      <c r="AF17" s="8" t="s">
        <v>80</v>
      </c>
      <c r="AG17" s="8" t="s">
        <v>81</v>
      </c>
      <c r="AH17" s="8" t="s">
        <v>82</v>
      </c>
      <c r="AI17" s="8" t="s">
        <v>83</v>
      </c>
      <c r="AJ17" s="9" t="s">
        <v>84</v>
      </c>
      <c r="AK17" s="9" t="s">
        <v>85</v>
      </c>
      <c r="AL17" s="9" t="s">
        <v>86</v>
      </c>
      <c r="AM17" s="9" t="s">
        <v>87</v>
      </c>
      <c r="AN17" s="9" t="s">
        <v>88</v>
      </c>
      <c r="AO17" s="9" t="s">
        <v>89</v>
      </c>
      <c r="AP17" s="9" t="s">
        <v>90</v>
      </c>
      <c r="AQ17" s="9" t="s">
        <v>91</v>
      </c>
      <c r="AR17" s="9" t="s">
        <v>92</v>
      </c>
      <c r="AS17" s="9" t="s">
        <v>93</v>
      </c>
      <c r="AT17" s="9" t="s">
        <v>94</v>
      </c>
      <c r="AU17" s="9" t="s">
        <v>95</v>
      </c>
      <c r="AV17" s="9" t="s">
        <v>96</v>
      </c>
      <c r="AW17" s="9" t="s">
        <v>97</v>
      </c>
      <c r="AX17" s="9" t="s">
        <v>98</v>
      </c>
      <c r="AY17" s="9" t="s">
        <v>99</v>
      </c>
      <c r="AZ17" s="9" t="s">
        <v>100</v>
      </c>
      <c r="BA17" s="9" t="s">
        <v>101</v>
      </c>
      <c r="BB17" s="9" t="s">
        <v>102</v>
      </c>
      <c r="BC17" s="9" t="s">
        <v>103</v>
      </c>
      <c r="BD17" s="9" t="s">
        <v>104</v>
      </c>
      <c r="BE17" s="9" t="s">
        <v>105</v>
      </c>
      <c r="BF17" s="9" t="s">
        <v>106</v>
      </c>
      <c r="BG17" s="9" t="s">
        <v>107</v>
      </c>
      <c r="BH17" s="26" t="s">
        <v>108</v>
      </c>
      <c r="BI17" s="26" t="s">
        <v>109</v>
      </c>
      <c r="BJ17" s="26" t="s">
        <v>110</v>
      </c>
      <c r="BK17" s="26" t="s">
        <v>111</v>
      </c>
      <c r="BL17" s="26" t="s">
        <v>112</v>
      </c>
      <c r="BM17" s="26" t="s">
        <v>113</v>
      </c>
      <c r="BN17" s="26" t="s">
        <v>114</v>
      </c>
      <c r="BO17" s="26" t="s">
        <v>115</v>
      </c>
      <c r="BP17" s="26" t="s">
        <v>116</v>
      </c>
      <c r="BQ17" s="26" t="s">
        <v>117</v>
      </c>
      <c r="BR17" s="26" t="s">
        <v>118</v>
      </c>
      <c r="BS17" s="26" t="s">
        <v>119</v>
      </c>
      <c r="BT17" s="26" t="s">
        <v>120</v>
      </c>
      <c r="BU17" s="26" t="s">
        <v>121</v>
      </c>
      <c r="BV17" s="26" t="s">
        <v>122</v>
      </c>
      <c r="BW17" s="26" t="s">
        <v>123</v>
      </c>
      <c r="BX17" s="26" t="s">
        <v>124</v>
      </c>
      <c r="BY17" s="26" t="s">
        <v>125</v>
      </c>
      <c r="BZ17" s="26" t="s">
        <v>126</v>
      </c>
      <c r="CA17" s="26" t="s">
        <v>127</v>
      </c>
      <c r="CB17" s="26" t="s">
        <v>128</v>
      </c>
      <c r="CC17" s="26" t="s">
        <v>129</v>
      </c>
      <c r="CD17" s="26" t="s">
        <v>130</v>
      </c>
      <c r="CE17" s="26" t="s">
        <v>131</v>
      </c>
      <c r="CF17" s="26" t="s">
        <v>132</v>
      </c>
      <c r="CG17" s="26" t="s">
        <v>133</v>
      </c>
      <c r="CH17" s="26" t="s">
        <v>134</v>
      </c>
      <c r="CI17" s="26" t="s">
        <v>135</v>
      </c>
      <c r="CJ17" s="26" t="s">
        <v>136</v>
      </c>
      <c r="CK17" s="26" t="s">
        <v>137</v>
      </c>
      <c r="CL17" s="26" t="s">
        <v>138</v>
      </c>
      <c r="CM17" s="26" t="s">
        <v>139</v>
      </c>
      <c r="CN17" s="26" t="s">
        <v>140</v>
      </c>
      <c r="CO17" s="26" t="s">
        <v>141</v>
      </c>
      <c r="CP17" s="26" t="s">
        <v>142</v>
      </c>
      <c r="CQ17" s="26" t="s">
        <v>143</v>
      </c>
      <c r="CR17" s="28" t="s">
        <v>144</v>
      </c>
      <c r="CS17" s="28" t="s">
        <v>145</v>
      </c>
      <c r="CT17" s="28" t="s">
        <v>146</v>
      </c>
      <c r="CU17" s="28" t="s">
        <v>147</v>
      </c>
      <c r="CV17" s="28" t="s">
        <v>148</v>
      </c>
      <c r="CW17" s="28" t="s">
        <v>149</v>
      </c>
      <c r="CX17" s="28" t="s">
        <v>150</v>
      </c>
      <c r="CY17" s="28" t="s">
        <v>151</v>
      </c>
      <c r="CZ17" s="28" t="s">
        <v>152</v>
      </c>
      <c r="DA17" s="28" t="s">
        <v>153</v>
      </c>
      <c r="DB17" s="28" t="s">
        <v>154</v>
      </c>
      <c r="DC17" s="28" t="s">
        <v>155</v>
      </c>
      <c r="DD17" s="28" t="s">
        <v>156</v>
      </c>
      <c r="DE17" s="28" t="s">
        <v>157</v>
      </c>
      <c r="DF17" s="28" t="s">
        <v>158</v>
      </c>
      <c r="DG17" s="28" t="s">
        <v>159</v>
      </c>
      <c r="DH17" s="28" t="s">
        <v>160</v>
      </c>
      <c r="DI17" s="28" t="s">
        <v>161</v>
      </c>
      <c r="DJ17" s="28" t="s">
        <v>162</v>
      </c>
      <c r="DK17" s="29" t="s">
        <v>163</v>
      </c>
      <c r="DL17" s="29" t="s">
        <v>164</v>
      </c>
      <c r="DM17" s="29" t="s">
        <v>165</v>
      </c>
      <c r="DN17" s="29" t="s">
        <v>166</v>
      </c>
      <c r="DO17" s="29" t="s">
        <v>167</v>
      </c>
      <c r="DP17" s="29" t="s">
        <v>168</v>
      </c>
      <c r="DQ17" s="29" t="s">
        <v>169</v>
      </c>
      <c r="DR17" s="29" t="s">
        <v>170</v>
      </c>
      <c r="DS17" s="29" t="s">
        <v>171</v>
      </c>
      <c r="DT17" s="29" t="s">
        <v>172</v>
      </c>
      <c r="DU17" s="29" t="s">
        <v>173</v>
      </c>
      <c r="DV17" s="29" t="s">
        <v>174</v>
      </c>
      <c r="DW17" s="29" t="s">
        <v>175</v>
      </c>
      <c r="DX17" s="29" t="s">
        <v>176</v>
      </c>
      <c r="DY17" s="29" t="s">
        <v>177</v>
      </c>
      <c r="DZ17" s="29" t="s">
        <v>178</v>
      </c>
      <c r="EA17" s="29" t="s">
        <v>179</v>
      </c>
      <c r="EB17" s="31" t="s">
        <v>41</v>
      </c>
      <c r="EC17" s="31" t="s">
        <v>42</v>
      </c>
      <c r="ED17" s="31" t="s">
        <v>43</v>
      </c>
      <c r="EE17" s="11" t="s">
        <v>69</v>
      </c>
      <c r="EF17" s="11" t="s">
        <v>70</v>
      </c>
      <c r="EG17" s="11"/>
    </row>
    <row r="20" spans="1:137" x14ac:dyDescent="0.25">
      <c r="A20" t="s">
        <v>854</v>
      </c>
    </row>
    <row r="21" spans="1:137" x14ac:dyDescent="0.25">
      <c r="A21" s="3" t="s">
        <v>52</v>
      </c>
      <c r="B21" s="3" t="s">
        <v>53</v>
      </c>
      <c r="C21" s="3" t="s">
        <v>54</v>
      </c>
      <c r="D21" s="6" t="s">
        <v>55</v>
      </c>
      <c r="E21" s="6" t="s">
        <v>56</v>
      </c>
      <c r="F21" s="6" t="s">
        <v>57</v>
      </c>
      <c r="G21" s="41" t="s">
        <v>58</v>
      </c>
      <c r="H21" s="41" t="s">
        <v>59</v>
      </c>
      <c r="I21" s="41" t="s">
        <v>352</v>
      </c>
      <c r="J21" s="6" t="s">
        <v>60</v>
      </c>
      <c r="K21" s="41" t="s">
        <v>224</v>
      </c>
      <c r="L21" s="6" t="s">
        <v>61</v>
      </c>
      <c r="M21" s="6" t="s">
        <v>62</v>
      </c>
      <c r="N21" s="6" t="s">
        <v>63</v>
      </c>
      <c r="O21" s="6" t="s">
        <v>64</v>
      </c>
      <c r="P21" s="6" t="s">
        <v>65</v>
      </c>
      <c r="Q21" s="41" t="s">
        <v>66</v>
      </c>
      <c r="R21" s="6" t="s">
        <v>67</v>
      </c>
      <c r="S21" s="6" t="s">
        <v>68</v>
      </c>
      <c r="T21" s="6" t="s">
        <v>228</v>
      </c>
      <c r="U21" s="7" t="s">
        <v>74</v>
      </c>
      <c r="V21" s="7" t="s">
        <v>72</v>
      </c>
      <c r="W21" s="7" t="s">
        <v>73</v>
      </c>
      <c r="X21" s="8" t="s">
        <v>227</v>
      </c>
      <c r="Y21" s="8" t="s">
        <v>181</v>
      </c>
      <c r="Z21" s="8" t="s">
        <v>180</v>
      </c>
      <c r="AA21" s="8" t="s">
        <v>75</v>
      </c>
      <c r="AB21" s="8" t="s">
        <v>76</v>
      </c>
      <c r="AC21" s="8" t="s">
        <v>77</v>
      </c>
      <c r="AD21" s="8" t="s">
        <v>78</v>
      </c>
      <c r="AE21" s="8" t="s">
        <v>79</v>
      </c>
      <c r="AF21" s="8" t="s">
        <v>80</v>
      </c>
      <c r="AG21" s="8" t="s">
        <v>81</v>
      </c>
      <c r="AH21" s="8" t="s">
        <v>82</v>
      </c>
      <c r="AI21" s="8" t="s">
        <v>83</v>
      </c>
      <c r="AJ21" s="9" t="s">
        <v>84</v>
      </c>
      <c r="AK21" s="9" t="s">
        <v>85</v>
      </c>
      <c r="AL21" s="9" t="s">
        <v>86</v>
      </c>
      <c r="AM21" s="9" t="s">
        <v>87</v>
      </c>
      <c r="AN21" s="9" t="s">
        <v>88</v>
      </c>
      <c r="AO21" s="9" t="s">
        <v>89</v>
      </c>
      <c r="AP21" s="9" t="s">
        <v>90</v>
      </c>
      <c r="AQ21" s="9" t="s">
        <v>91</v>
      </c>
      <c r="AR21" s="9" t="s">
        <v>92</v>
      </c>
      <c r="AS21" s="9" t="s">
        <v>93</v>
      </c>
      <c r="AT21" s="9" t="s">
        <v>94</v>
      </c>
      <c r="AU21" s="9" t="s">
        <v>95</v>
      </c>
      <c r="AV21" s="9" t="s">
        <v>96</v>
      </c>
      <c r="AW21" s="9" t="s">
        <v>97</v>
      </c>
      <c r="AX21" s="9" t="s">
        <v>98</v>
      </c>
      <c r="AY21" s="9" t="s">
        <v>99</v>
      </c>
      <c r="AZ21" s="9" t="s">
        <v>100</v>
      </c>
      <c r="BA21" s="9" t="s">
        <v>101</v>
      </c>
      <c r="BB21" s="9" t="s">
        <v>102</v>
      </c>
      <c r="BC21" s="9" t="s">
        <v>103</v>
      </c>
      <c r="BD21" s="9" t="s">
        <v>104</v>
      </c>
      <c r="BE21" s="9" t="s">
        <v>105</v>
      </c>
      <c r="BF21" s="9" t="s">
        <v>106</v>
      </c>
      <c r="BG21" s="9" t="s">
        <v>107</v>
      </c>
      <c r="BH21" s="26" t="s">
        <v>108</v>
      </c>
      <c r="BI21" s="26" t="s">
        <v>109</v>
      </c>
      <c r="BJ21" s="26" t="s">
        <v>110</v>
      </c>
      <c r="BK21" s="26" t="s">
        <v>111</v>
      </c>
      <c r="BL21" s="26" t="s">
        <v>112</v>
      </c>
      <c r="BM21" s="26" t="s">
        <v>113</v>
      </c>
      <c r="BN21" s="26" t="s">
        <v>114</v>
      </c>
      <c r="BO21" s="26" t="s">
        <v>115</v>
      </c>
      <c r="BP21" s="26" t="s">
        <v>116</v>
      </c>
      <c r="BQ21" s="26" t="s">
        <v>117</v>
      </c>
      <c r="BR21" s="26" t="s">
        <v>118</v>
      </c>
      <c r="BS21" s="26" t="s">
        <v>119</v>
      </c>
      <c r="BT21" s="26" t="s">
        <v>120</v>
      </c>
      <c r="BU21" s="26" t="s">
        <v>121</v>
      </c>
      <c r="BV21" s="26" t="s">
        <v>122</v>
      </c>
      <c r="BW21" s="26" t="s">
        <v>123</v>
      </c>
      <c r="BX21" s="26" t="s">
        <v>124</v>
      </c>
      <c r="BY21" s="26" t="s">
        <v>125</v>
      </c>
      <c r="BZ21" s="26" t="s">
        <v>126</v>
      </c>
      <c r="CA21" s="26" t="s">
        <v>127</v>
      </c>
      <c r="CB21" s="26" t="s">
        <v>128</v>
      </c>
      <c r="CC21" s="26" t="s">
        <v>129</v>
      </c>
      <c r="CD21" s="26" t="s">
        <v>130</v>
      </c>
      <c r="CE21" s="26" t="s">
        <v>131</v>
      </c>
      <c r="CF21" s="26" t="s">
        <v>132</v>
      </c>
      <c r="CG21" s="26" t="s">
        <v>133</v>
      </c>
      <c r="CH21" s="26" t="s">
        <v>134</v>
      </c>
      <c r="CI21" s="26" t="s">
        <v>135</v>
      </c>
      <c r="CJ21" s="26" t="s">
        <v>136</v>
      </c>
      <c r="CK21" s="26" t="s">
        <v>137</v>
      </c>
      <c r="CL21" s="26" t="s">
        <v>138</v>
      </c>
      <c r="CM21" s="26" t="s">
        <v>139</v>
      </c>
      <c r="CN21" s="26" t="s">
        <v>140</v>
      </c>
      <c r="CO21" s="26" t="s">
        <v>141</v>
      </c>
      <c r="CP21" s="26" t="s">
        <v>142</v>
      </c>
      <c r="CQ21" s="26" t="s">
        <v>143</v>
      </c>
      <c r="CR21" s="28" t="s">
        <v>144</v>
      </c>
      <c r="CS21" s="28" t="s">
        <v>145</v>
      </c>
      <c r="CT21" s="28" t="s">
        <v>146</v>
      </c>
      <c r="CU21" s="28" t="s">
        <v>147</v>
      </c>
      <c r="CV21" s="28" t="s">
        <v>148</v>
      </c>
      <c r="CW21" s="28" t="s">
        <v>149</v>
      </c>
      <c r="CX21" s="28" t="s">
        <v>150</v>
      </c>
      <c r="CY21" s="28" t="s">
        <v>151</v>
      </c>
      <c r="CZ21" s="28" t="s">
        <v>152</v>
      </c>
      <c r="DA21" s="28" t="s">
        <v>153</v>
      </c>
      <c r="DB21" s="28" t="s">
        <v>154</v>
      </c>
      <c r="DC21" s="28" t="s">
        <v>155</v>
      </c>
      <c r="DD21" s="28" t="s">
        <v>156</v>
      </c>
      <c r="DE21" s="28" t="s">
        <v>157</v>
      </c>
      <c r="DF21" s="28" t="s">
        <v>158</v>
      </c>
      <c r="DG21" s="28" t="s">
        <v>159</v>
      </c>
      <c r="DH21" s="28" t="s">
        <v>160</v>
      </c>
      <c r="DI21" s="28" t="s">
        <v>161</v>
      </c>
      <c r="DJ21" s="28" t="s">
        <v>162</v>
      </c>
      <c r="DK21" s="29" t="s">
        <v>163</v>
      </c>
      <c r="DL21" s="29" t="s">
        <v>164</v>
      </c>
      <c r="DM21" s="29" t="s">
        <v>165</v>
      </c>
      <c r="DN21" s="29" t="s">
        <v>166</v>
      </c>
      <c r="DO21" s="29" t="s">
        <v>167</v>
      </c>
      <c r="DP21" s="29" t="s">
        <v>168</v>
      </c>
      <c r="DQ21" s="29" t="s">
        <v>169</v>
      </c>
      <c r="DR21" s="29" t="s">
        <v>170</v>
      </c>
      <c r="DS21" s="29" t="s">
        <v>171</v>
      </c>
      <c r="DT21" s="29" t="s">
        <v>172</v>
      </c>
      <c r="DU21" s="29" t="s">
        <v>173</v>
      </c>
      <c r="DV21" s="29" t="s">
        <v>174</v>
      </c>
      <c r="DW21" s="29" t="s">
        <v>175</v>
      </c>
      <c r="DX21" s="29" t="s">
        <v>176</v>
      </c>
      <c r="DY21" s="29" t="s">
        <v>177</v>
      </c>
      <c r="DZ21" s="29" t="s">
        <v>178</v>
      </c>
      <c r="EA21" s="29" t="s">
        <v>179</v>
      </c>
      <c r="EB21" s="31" t="s">
        <v>41</v>
      </c>
      <c r="EC21" s="31" t="s">
        <v>42</v>
      </c>
      <c r="ED21" s="31" t="s">
        <v>43</v>
      </c>
      <c r="EE21" s="11" t="s">
        <v>69</v>
      </c>
      <c r="EF21" s="11" t="s">
        <v>70</v>
      </c>
      <c r="EG21" s="11"/>
    </row>
    <row r="25" spans="1:137" x14ac:dyDescent="0.25">
      <c r="A25" s="3" t="s">
        <v>52</v>
      </c>
      <c r="B25" s="3" t="s">
        <v>53</v>
      </c>
      <c r="C25" s="3" t="s">
        <v>54</v>
      </c>
      <c r="D25" s="6" t="s">
        <v>55</v>
      </c>
      <c r="E25" s="6" t="s">
        <v>56</v>
      </c>
      <c r="F25" s="6" t="s">
        <v>57</v>
      </c>
      <c r="G25" s="41" t="s">
        <v>58</v>
      </c>
      <c r="H25" s="41" t="s">
        <v>59</v>
      </c>
      <c r="I25" s="41" t="s">
        <v>352</v>
      </c>
      <c r="J25" s="6" t="s">
        <v>60</v>
      </c>
      <c r="K25" s="41" t="s">
        <v>224</v>
      </c>
      <c r="L25" s="6" t="s">
        <v>61</v>
      </c>
      <c r="M25" s="6" t="s">
        <v>62</v>
      </c>
      <c r="N25" s="6" t="s">
        <v>63</v>
      </c>
      <c r="O25" s="6" t="s">
        <v>64</v>
      </c>
      <c r="P25" s="6" t="s">
        <v>65</v>
      </c>
      <c r="Q25" s="41" t="s">
        <v>66</v>
      </c>
      <c r="R25" s="6" t="s">
        <v>67</v>
      </c>
      <c r="S25" s="6" t="s">
        <v>68</v>
      </c>
      <c r="T25" s="6" t="s">
        <v>228</v>
      </c>
      <c r="U25" s="7" t="s">
        <v>74</v>
      </c>
      <c r="V25" s="7" t="s">
        <v>72</v>
      </c>
      <c r="W25" s="7" t="s">
        <v>73</v>
      </c>
      <c r="X25" s="8" t="s">
        <v>227</v>
      </c>
      <c r="Y25" s="8" t="s">
        <v>181</v>
      </c>
      <c r="Z25" s="8" t="s">
        <v>180</v>
      </c>
      <c r="AA25" s="8" t="s">
        <v>75</v>
      </c>
      <c r="AB25" s="8" t="s">
        <v>76</v>
      </c>
      <c r="AC25" s="8" t="s">
        <v>77</v>
      </c>
      <c r="AD25" s="8" t="s">
        <v>78</v>
      </c>
      <c r="AE25" s="8" t="s">
        <v>79</v>
      </c>
      <c r="AF25" s="8" t="s">
        <v>80</v>
      </c>
      <c r="AG25" s="8" t="s">
        <v>81</v>
      </c>
      <c r="AH25" s="8" t="s">
        <v>82</v>
      </c>
      <c r="AI25" s="8" t="s">
        <v>83</v>
      </c>
      <c r="AJ25" s="9" t="s">
        <v>84</v>
      </c>
      <c r="AK25" s="9" t="s">
        <v>85</v>
      </c>
      <c r="AL25" s="9" t="s">
        <v>86</v>
      </c>
      <c r="AM25" s="9" t="s">
        <v>87</v>
      </c>
      <c r="AN25" s="9" t="s">
        <v>88</v>
      </c>
      <c r="AO25" s="9" t="s">
        <v>89</v>
      </c>
      <c r="AP25" s="9" t="s">
        <v>90</v>
      </c>
      <c r="AQ25" s="9" t="s">
        <v>91</v>
      </c>
      <c r="AR25" s="9" t="s">
        <v>92</v>
      </c>
      <c r="AS25" s="9" t="s">
        <v>93</v>
      </c>
      <c r="AT25" s="9" t="s">
        <v>94</v>
      </c>
      <c r="AU25" s="9" t="s">
        <v>95</v>
      </c>
      <c r="AV25" s="9" t="s">
        <v>96</v>
      </c>
      <c r="AW25" s="9" t="s">
        <v>97</v>
      </c>
      <c r="AX25" s="9" t="s">
        <v>98</v>
      </c>
      <c r="AY25" s="9" t="s">
        <v>99</v>
      </c>
      <c r="AZ25" s="9" t="s">
        <v>100</v>
      </c>
      <c r="BA25" s="9" t="s">
        <v>101</v>
      </c>
      <c r="BB25" s="9" t="s">
        <v>102</v>
      </c>
      <c r="BC25" s="9" t="s">
        <v>103</v>
      </c>
      <c r="BD25" s="9" t="s">
        <v>104</v>
      </c>
      <c r="BE25" s="9" t="s">
        <v>105</v>
      </c>
      <c r="BF25" s="9" t="s">
        <v>106</v>
      </c>
      <c r="BG25" s="9" t="s">
        <v>107</v>
      </c>
      <c r="BH25" s="26" t="s">
        <v>108</v>
      </c>
      <c r="BI25" s="26" t="s">
        <v>109</v>
      </c>
      <c r="BJ25" s="26" t="s">
        <v>110</v>
      </c>
      <c r="BK25" s="26" t="s">
        <v>111</v>
      </c>
      <c r="BL25" s="26" t="s">
        <v>112</v>
      </c>
      <c r="BM25" s="26" t="s">
        <v>113</v>
      </c>
      <c r="BN25" s="26" t="s">
        <v>114</v>
      </c>
      <c r="BO25" s="26" t="s">
        <v>115</v>
      </c>
      <c r="BP25" s="26" t="s">
        <v>116</v>
      </c>
      <c r="BQ25" s="26" t="s">
        <v>117</v>
      </c>
      <c r="BR25" s="26" t="s">
        <v>118</v>
      </c>
      <c r="BS25" s="26" t="s">
        <v>119</v>
      </c>
      <c r="BT25" s="26" t="s">
        <v>120</v>
      </c>
      <c r="BU25" s="26" t="s">
        <v>121</v>
      </c>
      <c r="BV25" s="26" t="s">
        <v>122</v>
      </c>
      <c r="BW25" s="26" t="s">
        <v>123</v>
      </c>
      <c r="BX25" s="26" t="s">
        <v>124</v>
      </c>
      <c r="BY25" s="26" t="s">
        <v>125</v>
      </c>
      <c r="BZ25" s="26" t="s">
        <v>126</v>
      </c>
      <c r="CA25" s="26" t="s">
        <v>127</v>
      </c>
      <c r="CB25" s="26" t="s">
        <v>128</v>
      </c>
      <c r="CC25" s="26" t="s">
        <v>129</v>
      </c>
      <c r="CD25" s="26" t="s">
        <v>130</v>
      </c>
      <c r="CE25" s="26" t="s">
        <v>131</v>
      </c>
      <c r="CF25" s="26" t="s">
        <v>132</v>
      </c>
      <c r="CG25" s="26" t="s">
        <v>133</v>
      </c>
      <c r="CH25" s="26" t="s">
        <v>134</v>
      </c>
      <c r="CI25" s="26" t="s">
        <v>135</v>
      </c>
      <c r="CJ25" s="26" t="s">
        <v>136</v>
      </c>
      <c r="CK25" s="26" t="s">
        <v>137</v>
      </c>
      <c r="CL25" s="26" t="s">
        <v>138</v>
      </c>
      <c r="CM25" s="26" t="s">
        <v>139</v>
      </c>
      <c r="CN25" s="26" t="s">
        <v>140</v>
      </c>
      <c r="CO25" s="26" t="s">
        <v>141</v>
      </c>
      <c r="CP25" s="26" t="s">
        <v>142</v>
      </c>
      <c r="CQ25" s="26" t="s">
        <v>143</v>
      </c>
      <c r="CR25" s="28" t="s">
        <v>144</v>
      </c>
      <c r="CS25" s="28" t="s">
        <v>145</v>
      </c>
      <c r="CT25" s="28" t="s">
        <v>146</v>
      </c>
      <c r="CU25" s="28" t="s">
        <v>147</v>
      </c>
      <c r="CV25" s="28" t="s">
        <v>148</v>
      </c>
      <c r="CW25" s="28" t="s">
        <v>149</v>
      </c>
      <c r="CX25" s="28" t="s">
        <v>150</v>
      </c>
      <c r="CY25" s="28" t="s">
        <v>151</v>
      </c>
      <c r="CZ25" s="28" t="s">
        <v>152</v>
      </c>
      <c r="DA25" s="28" t="s">
        <v>153</v>
      </c>
      <c r="DB25" s="28" t="s">
        <v>154</v>
      </c>
      <c r="DC25" s="28" t="s">
        <v>155</v>
      </c>
      <c r="DD25" s="28" t="s">
        <v>156</v>
      </c>
      <c r="DE25" s="28" t="s">
        <v>157</v>
      </c>
      <c r="DF25" s="28" t="s">
        <v>158</v>
      </c>
      <c r="DG25" s="28" t="s">
        <v>159</v>
      </c>
      <c r="DH25" s="28" t="s">
        <v>160</v>
      </c>
      <c r="DI25" s="28" t="s">
        <v>161</v>
      </c>
      <c r="DJ25" s="28" t="s">
        <v>162</v>
      </c>
      <c r="DK25" s="29" t="s">
        <v>163</v>
      </c>
      <c r="DL25" s="29" t="s">
        <v>164</v>
      </c>
      <c r="DM25" s="29" t="s">
        <v>165</v>
      </c>
      <c r="DN25" s="29" t="s">
        <v>166</v>
      </c>
      <c r="DO25" s="29" t="s">
        <v>167</v>
      </c>
      <c r="DP25" s="29" t="s">
        <v>168</v>
      </c>
      <c r="DQ25" s="29" t="s">
        <v>169</v>
      </c>
      <c r="DR25" s="29" t="s">
        <v>170</v>
      </c>
      <c r="DS25" s="29" t="s">
        <v>171</v>
      </c>
      <c r="DT25" s="29" t="s">
        <v>172</v>
      </c>
      <c r="DU25" s="29" t="s">
        <v>173</v>
      </c>
      <c r="DV25" s="29" t="s">
        <v>174</v>
      </c>
      <c r="DW25" s="29" t="s">
        <v>175</v>
      </c>
      <c r="DX25" s="29" t="s">
        <v>176</v>
      </c>
      <c r="DY25" s="29" t="s">
        <v>177</v>
      </c>
      <c r="DZ25" s="29" t="s">
        <v>178</v>
      </c>
      <c r="EA25" s="29" t="s">
        <v>179</v>
      </c>
      <c r="EB25" s="31" t="s">
        <v>41</v>
      </c>
      <c r="EC25" s="31" t="s">
        <v>42</v>
      </c>
      <c r="ED25" s="31" t="s">
        <v>43</v>
      </c>
      <c r="EE25" s="11" t="s">
        <v>69</v>
      </c>
      <c r="EF25" s="11" t="s">
        <v>70</v>
      </c>
      <c r="EG25" s="11"/>
    </row>
    <row r="26" spans="1:137" x14ac:dyDescent="0.25">
      <c r="A26">
        <v>7880.9916936230647</v>
      </c>
      <c r="B26">
        <v>8565.0448142205205</v>
      </c>
      <c r="C26">
        <v>255.55763900838215</v>
      </c>
      <c r="D26" t="e">
        <v>#DIV/0!</v>
      </c>
      <c r="G26">
        <v>2.3780444649443866</v>
      </c>
      <c r="H26">
        <v>22944.142647182016</v>
      </c>
      <c r="I26">
        <v>86869.031697717059</v>
      </c>
      <c r="K26">
        <v>78454.115447200369</v>
      </c>
      <c r="Q26">
        <v>61875.625321228566</v>
      </c>
      <c r="T26">
        <v>108797.50540957499</v>
      </c>
      <c r="U26">
        <v>98.261095212238772</v>
      </c>
      <c r="V26">
        <v>36856.731529848585</v>
      </c>
      <c r="W26">
        <v>19871.740464062474</v>
      </c>
      <c r="X26">
        <v>4.8152245291761275</v>
      </c>
      <c r="Y26" t="e">
        <v>#DIV/0!</v>
      </c>
      <c r="Z26">
        <v>0.12309146756269446</v>
      </c>
      <c r="AA26">
        <v>0.85957647435676332</v>
      </c>
      <c r="AB26">
        <v>3.192604382558152</v>
      </c>
      <c r="AC26">
        <v>0.5339994327151083</v>
      </c>
      <c r="AD26">
        <v>2.5290113117233211</v>
      </c>
      <c r="AE26">
        <v>15.119453734327861</v>
      </c>
      <c r="AF26">
        <v>2.5185779898648959</v>
      </c>
      <c r="AG26">
        <v>0.18445162337462875</v>
      </c>
      <c r="AH26">
        <v>0.79317098462746582</v>
      </c>
      <c r="AI26">
        <v>9.5105234808351664</v>
      </c>
      <c r="AJ26">
        <v>0.16808325812155389</v>
      </c>
      <c r="AK26">
        <v>1.3926300582790514</v>
      </c>
      <c r="AL26">
        <v>0.33464713519937811</v>
      </c>
      <c r="AM26">
        <v>3.7499442516210138E-2</v>
      </c>
      <c r="AN26">
        <v>0.55628056208595011</v>
      </c>
      <c r="AO26">
        <v>3.709771236734577E-2</v>
      </c>
      <c r="AP26">
        <v>2.8640603413657888</v>
      </c>
      <c r="AV26">
        <v>1.8425721462447842</v>
      </c>
      <c r="BF26">
        <v>9.0752498775605359E-2</v>
      </c>
      <c r="BG26">
        <v>0.50819525682099864</v>
      </c>
      <c r="BH26">
        <v>67270.845168199594</v>
      </c>
      <c r="BJ26">
        <v>95.383406170655988</v>
      </c>
      <c r="BK26">
        <v>95.383406170655988</v>
      </c>
      <c r="BL26">
        <v>28593.029581239138</v>
      </c>
      <c r="BM26">
        <v>157.08263411315059</v>
      </c>
      <c r="BN26">
        <v>1794.9870259784673</v>
      </c>
      <c r="BO26">
        <v>69413.454560687736</v>
      </c>
      <c r="BP26">
        <v>41362.860539817797</v>
      </c>
      <c r="BQ26">
        <v>336.09760075756071</v>
      </c>
      <c r="BR26">
        <v>4515.4849397222379</v>
      </c>
      <c r="BS26">
        <v>295290.41922213638</v>
      </c>
      <c r="BT26">
        <v>53964.49085142697</v>
      </c>
      <c r="BU26">
        <v>96502.093664169224</v>
      </c>
      <c r="BV26">
        <v>6785.1437417433372</v>
      </c>
      <c r="BW26">
        <v>1144.3059007709069</v>
      </c>
      <c r="BX26">
        <v>76.645370881256738</v>
      </c>
      <c r="BY26">
        <v>142.58911077197632</v>
      </c>
      <c r="BZ26">
        <v>71829.255511854062</v>
      </c>
      <c r="CF26">
        <v>162300.34130667039</v>
      </c>
      <c r="CP26">
        <v>14.014119649875115</v>
      </c>
      <c r="CQ26">
        <v>13.528651345410795</v>
      </c>
      <c r="CR26">
        <v>660811170.2247169</v>
      </c>
      <c r="CT26">
        <v>24115316.017091807</v>
      </c>
      <c r="CU26">
        <v>519713049.63037533</v>
      </c>
      <c r="CV26">
        <v>286817348.38469374</v>
      </c>
      <c r="CW26">
        <v>48985163.461423278</v>
      </c>
      <c r="CX26">
        <v>575855172.65900385</v>
      </c>
      <c r="CY26">
        <v>1480897728.9138761</v>
      </c>
      <c r="CZ26">
        <v>172769950.90932974</v>
      </c>
      <c r="DA26">
        <v>81376624.643342257</v>
      </c>
      <c r="DB26">
        <v>221061958.01802272</v>
      </c>
      <c r="DC26">
        <v>402188149.4065671</v>
      </c>
      <c r="DD26">
        <v>52407032.415912598</v>
      </c>
      <c r="DE26">
        <v>191472275.7927371</v>
      </c>
      <c r="DF26">
        <v>97951966.277728364</v>
      </c>
      <c r="DG26">
        <v>100625019.64937848</v>
      </c>
      <c r="DH26">
        <v>157961564.31438869</v>
      </c>
      <c r="DI26">
        <v>22332058.908796895</v>
      </c>
      <c r="DJ26">
        <v>463268441.65823627</v>
      </c>
      <c r="DP26">
        <v>156205025.66921374</v>
      </c>
      <c r="DZ26">
        <v>66262547.444622979</v>
      </c>
      <c r="EA26">
        <v>27112916.357320864</v>
      </c>
      <c r="EB26">
        <v>6.5364175151600863</v>
      </c>
      <c r="EC26">
        <v>12.996193508587123</v>
      </c>
      <c r="ED26">
        <v>6.4425716714901569</v>
      </c>
    </row>
    <row r="36" spans="29:31" x14ac:dyDescent="0.25">
      <c r="AC36" s="31" t="s">
        <v>41</v>
      </c>
      <c r="AD36" s="31" t="s">
        <v>42</v>
      </c>
      <c r="AE36" s="31" t="s">
        <v>43</v>
      </c>
    </row>
    <row r="37" spans="29:31" x14ac:dyDescent="0.25">
      <c r="AC37">
        <v>6.5364175151600863</v>
      </c>
      <c r="AD37">
        <v>12.996193508587123</v>
      </c>
      <c r="AE37">
        <v>6.4425716714901569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Definitions</vt:lpstr>
      <vt:lpstr>Core IT - Perfmon 2026 6hr</vt:lpstr>
      <vt:lpstr>Pilot Offices - Perfmon 2026 6h</vt:lpstr>
      <vt:lpstr>Charts</vt:lpstr>
      <vt:lpstr>By Office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Doss, Randy (Greenville)</dc:creator>
  <cp:lastModifiedBy>Doss, Randy (Greenville)</cp:lastModifiedBy>
  <dcterms:created xsi:type="dcterms:W3CDTF">2026-03-05T21:27:42Z</dcterms:created>
  <dcterms:modified xsi:type="dcterms:W3CDTF">2026-04-16T20:15:02Z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aec8aae-5a08-43f8-b819-bbaf1ec51ec4_Enabled">
    <vt:lpwstr>true</vt:lpwstr>
  </property>
  <property fmtid="{D5CDD505-2E9C-101B-9397-08002B2CF9AE}" pid="3" name="MSIP_Label_2aec8aae-5a08-43f8-b819-bbaf1ec51ec4_SetDate">
    <vt:lpwstr>2026-03-05T23:12:43Z</vt:lpwstr>
  </property>
  <property fmtid="{D5CDD505-2E9C-101B-9397-08002B2CF9AE}" pid="4" name="MSIP_Label_2aec8aae-5a08-43f8-b819-bbaf1ec51ec4_Method">
    <vt:lpwstr>Standard</vt:lpwstr>
  </property>
  <property fmtid="{D5CDD505-2E9C-101B-9397-08002B2CF9AE}" pid="5" name="MSIP_Label_2aec8aae-5a08-43f8-b819-bbaf1ec51ec4_Name">
    <vt:lpwstr>Confidential</vt:lpwstr>
  </property>
  <property fmtid="{D5CDD505-2E9C-101B-9397-08002B2CF9AE}" pid="6" name="MSIP_Label_2aec8aae-5a08-43f8-b819-bbaf1ec51ec4_SiteId">
    <vt:lpwstr>6ab77482-4dda-43b3-9e50-82db3e426c2c</vt:lpwstr>
  </property>
  <property fmtid="{D5CDD505-2E9C-101B-9397-08002B2CF9AE}" pid="7" name="MSIP_Label_2aec8aae-5a08-43f8-b819-bbaf1ec51ec4_ActionId">
    <vt:lpwstr>b851668c-8cc7-47f2-bc6a-0bd84ae65e03</vt:lpwstr>
  </property>
  <property fmtid="{D5CDD505-2E9C-101B-9397-08002B2CF9AE}" pid="8" name="MSIP_Label_2aec8aae-5a08-43f8-b819-bbaf1ec51ec4_ContentBits">
    <vt:lpwstr>0</vt:lpwstr>
  </property>
  <property fmtid="{D5CDD505-2E9C-101B-9397-08002B2CF9AE}" pid="9" name="MSIP_Label_2aec8aae-5a08-43f8-b819-bbaf1ec51ec4_Tag">
    <vt:lpwstr>10, 1, 2, 1</vt:lpwstr>
  </property>
</Properties>
</file>